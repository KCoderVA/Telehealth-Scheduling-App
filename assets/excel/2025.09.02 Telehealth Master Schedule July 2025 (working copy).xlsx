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codeName="ThisWorkbook" defaultThemeVersion="124226"/>
  <xr:revisionPtr revIDLastSave="0" documentId="13_ncr:1_{C09B392F-696D-4B51-AE2E-48DC6071EA6C}" xr6:coauthVersionLast="47" xr6:coauthVersionMax="47" xr10:uidLastSave="{00000000-0000-0000-0000-000000000000}"/>
  <bookViews>
    <workbookView xWindow="28680" yWindow="-120" windowWidth="29040" windowHeight="15720" tabRatio="651" firstSheet="5" activeTab="5" xr2:uid="{00000000-000D-0000-FFFF-FFFF00000000}"/>
  </bookViews>
  <sheets>
    <sheet name="Hines Bldg 1 Equip" sheetId="9" state="hidden" r:id="rId1"/>
    <sheet name="Hines Bldg 228" sheetId="8" state="hidden" r:id="rId2"/>
    <sheet name="Hines TeleEye Bldg 200 Rm 3063" sheetId="10" state="hidden" r:id="rId3"/>
    <sheet name="Aurora Old" sheetId="16" state="hidden" r:id="rId4"/>
    <sheet name="Lasalle OLD" sheetId="14" state="hidden" r:id="rId5"/>
    <sheet name="CombinedTable" sheetId="47" r:id="rId6"/>
    <sheet name="Aurora_table" sheetId="50" r:id="rId7"/>
    <sheet name="HoffmanEstates_table" sheetId="53" r:id="rId8"/>
    <sheet name="Joliet_table" sheetId="51" r:id="rId9"/>
    <sheet name="Kankakee_table" sheetId="52" r:id="rId10"/>
    <sheet name="Lasalle_table" sheetId="54" r:id="rId11"/>
    <sheet name="Oaklawn_table" sheetId="49" r:id="rId12"/>
    <sheet name="OakLawn102" sheetId="22" r:id="rId13"/>
    <sheet name="OakLawn103" sheetId="23" r:id="rId14"/>
    <sheet name="OakLawn104" sheetId="24" r:id="rId15"/>
    <sheet name="OakLawn105" sheetId="25" r:id="rId16"/>
    <sheet name="Aurora120" sheetId="26" r:id="rId17"/>
    <sheet name="Aurora121" sheetId="27" r:id="rId18"/>
    <sheet name="Joliet1010" sheetId="28" r:id="rId19"/>
    <sheet name="Joliet1011" sheetId="29" r:id="rId20"/>
    <sheet name="Joliet1012" sheetId="30" r:id="rId21"/>
    <sheet name="Joliet1013" sheetId="31" r:id="rId22"/>
    <sheet name="HoffmanEstates106" sheetId="32" r:id="rId23"/>
    <sheet name="HoffmanEstates104" sheetId="33" r:id="rId24"/>
    <sheet name="HoffmanEstates105" sheetId="34" r:id="rId25"/>
    <sheet name="HoffmanEstates103" sheetId="35" r:id="rId26"/>
    <sheet name="Kankakee101" sheetId="36" r:id="rId27"/>
    <sheet name="Kankakee102" sheetId="37" r:id="rId28"/>
    <sheet name="Kankakee103" sheetId="38" r:id="rId29"/>
    <sheet name="Kankakee104" sheetId="39" r:id="rId30"/>
    <sheet name="Kankakee113" sheetId="40" r:id="rId31"/>
    <sheet name="Lasalle130" sheetId="41" r:id="rId32"/>
    <sheet name="Lasalle129" sheetId="42" r:id="rId33"/>
    <sheet name="Lasalle128" sheetId="44" r:id="rId34"/>
    <sheet name="Lasalle127" sheetId="45" r:id="rId35"/>
    <sheet name="AuroraCBOC" sheetId="20" r:id="rId36"/>
    <sheet name="HoffmanEstatesCBOC" sheetId="12" r:id="rId37"/>
    <sheet name="JolietCBOC" sheetId="13" r:id="rId38"/>
    <sheet name="KankakeeCBOC" sheetId="17" r:id="rId39"/>
    <sheet name="LasalleCBOC" sheetId="19" r:id="rId40"/>
    <sheet name="OaklawnCBOC" sheetId="18" r:id="rId41"/>
  </sheets>
  <definedNames>
    <definedName name="_xlnm._FilterDatabase" localSheetId="6" hidden="1">Aurora_table!$A$1:$AQ$33</definedName>
    <definedName name="_xlnm._FilterDatabase" localSheetId="5" hidden="1">CombinedTable!$A$1:$AQ$369</definedName>
    <definedName name="_xlnm._FilterDatabase" localSheetId="7" hidden="1">HoffmanEstates_table!$A$1:$AQ$65</definedName>
    <definedName name="_xlnm._FilterDatabase" localSheetId="8" hidden="1">Joliet_table!$A$1:$AQ$65</definedName>
    <definedName name="_xlnm._FilterDatabase" localSheetId="9" hidden="1">Kankakee_table!$A$1:$AQ$81</definedName>
    <definedName name="_xlnm._FilterDatabase" localSheetId="4" hidden="1">'Lasalle OLD'!$H$4:$M$22</definedName>
    <definedName name="_xlnm._FilterDatabase" localSheetId="10" hidden="1">Lasalle_table!$A$1:$AQ$65</definedName>
    <definedName name="_xlnm._FilterDatabase" localSheetId="11" hidden="1">Oaklawn_table!$A$1:$AQ$65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5" i="54" l="1"/>
  <c r="S65" i="54"/>
  <c r="T65" i="54" s="1"/>
  <c r="V64" i="54"/>
  <c r="S64" i="54"/>
  <c r="T64" i="54" s="1"/>
  <c r="V63" i="54"/>
  <c r="S63" i="54"/>
  <c r="T63" i="54" s="1"/>
  <c r="V62" i="54"/>
  <c r="S62" i="54"/>
  <c r="T62" i="54" s="1"/>
  <c r="V61" i="54"/>
  <c r="S61" i="54"/>
  <c r="T61" i="54" s="1"/>
  <c r="V60" i="54"/>
  <c r="S60" i="54"/>
  <c r="T60" i="54" s="1"/>
  <c r="V59" i="54"/>
  <c r="S59" i="54"/>
  <c r="T59" i="54" s="1"/>
  <c r="V58" i="54"/>
  <c r="S58" i="54"/>
  <c r="T58" i="54" s="1"/>
  <c r="V57" i="54"/>
  <c r="S57" i="54"/>
  <c r="T57" i="54" s="1"/>
  <c r="V56" i="54"/>
  <c r="S56" i="54"/>
  <c r="T56" i="54" s="1"/>
  <c r="V55" i="54"/>
  <c r="S55" i="54"/>
  <c r="T55" i="54" s="1"/>
  <c r="V54" i="54"/>
  <c r="S54" i="54"/>
  <c r="T54" i="54" s="1"/>
  <c r="V53" i="54"/>
  <c r="S53" i="54"/>
  <c r="T53" i="54" s="1"/>
  <c r="V52" i="54"/>
  <c r="S52" i="54"/>
  <c r="T52" i="54" s="1"/>
  <c r="V51" i="54"/>
  <c r="S51" i="54"/>
  <c r="T51" i="54" s="1"/>
  <c r="V50" i="54"/>
  <c r="S50" i="54"/>
  <c r="T50" i="54" s="1"/>
  <c r="V49" i="54"/>
  <c r="S49" i="54"/>
  <c r="T49" i="54" s="1"/>
  <c r="V48" i="54"/>
  <c r="S48" i="54"/>
  <c r="T48" i="54" s="1"/>
  <c r="V47" i="54"/>
  <c r="S47" i="54"/>
  <c r="T47" i="54" s="1"/>
  <c r="V46" i="54"/>
  <c r="S46" i="54"/>
  <c r="T46" i="54" s="1"/>
  <c r="V45" i="54"/>
  <c r="S45" i="54"/>
  <c r="T45" i="54" s="1"/>
  <c r="V44" i="54"/>
  <c r="S44" i="54"/>
  <c r="T44" i="54" s="1"/>
  <c r="V43" i="54"/>
  <c r="S43" i="54"/>
  <c r="T43" i="54" s="1"/>
  <c r="V42" i="54"/>
  <c r="S42" i="54"/>
  <c r="T42" i="54" s="1"/>
  <c r="V41" i="54"/>
  <c r="S41" i="54"/>
  <c r="T41" i="54" s="1"/>
  <c r="V40" i="54"/>
  <c r="S40" i="54"/>
  <c r="T40" i="54" s="1"/>
  <c r="V39" i="54"/>
  <c r="S39" i="54"/>
  <c r="T39" i="54" s="1"/>
  <c r="V38" i="54"/>
  <c r="S38" i="54"/>
  <c r="T38" i="54" s="1"/>
  <c r="V37" i="54"/>
  <c r="S37" i="54"/>
  <c r="T37" i="54" s="1"/>
  <c r="V36" i="54"/>
  <c r="S36" i="54"/>
  <c r="T36" i="54" s="1"/>
  <c r="V35" i="54"/>
  <c r="S35" i="54"/>
  <c r="T35" i="54" s="1"/>
  <c r="V34" i="54"/>
  <c r="S34" i="54"/>
  <c r="T34" i="54" s="1"/>
  <c r="V33" i="54"/>
  <c r="S33" i="54"/>
  <c r="T33" i="54" s="1"/>
  <c r="V32" i="54"/>
  <c r="S32" i="54"/>
  <c r="T32" i="54" s="1"/>
  <c r="V31" i="54"/>
  <c r="S31" i="54"/>
  <c r="T31" i="54" s="1"/>
  <c r="V30" i="54"/>
  <c r="S30" i="54"/>
  <c r="T30" i="54" s="1"/>
  <c r="V29" i="54"/>
  <c r="S29" i="54"/>
  <c r="T29" i="54" s="1"/>
  <c r="V28" i="54"/>
  <c r="S28" i="54"/>
  <c r="T28" i="54" s="1"/>
  <c r="V27" i="54"/>
  <c r="S27" i="54"/>
  <c r="T27" i="54" s="1"/>
  <c r="V26" i="54"/>
  <c r="S26" i="54"/>
  <c r="T26" i="54" s="1"/>
  <c r="V25" i="54"/>
  <c r="S25" i="54"/>
  <c r="T25" i="54" s="1"/>
  <c r="V24" i="54"/>
  <c r="S24" i="54"/>
  <c r="T24" i="54" s="1"/>
  <c r="V23" i="54"/>
  <c r="S23" i="54"/>
  <c r="T23" i="54" s="1"/>
  <c r="V22" i="54"/>
  <c r="S22" i="54"/>
  <c r="T22" i="54" s="1"/>
  <c r="V21" i="54"/>
  <c r="S21" i="54"/>
  <c r="T21" i="54" s="1"/>
  <c r="V20" i="54"/>
  <c r="S20" i="54"/>
  <c r="T20" i="54" s="1"/>
  <c r="V19" i="54"/>
  <c r="S19" i="54"/>
  <c r="T19" i="54" s="1"/>
  <c r="V18" i="54"/>
  <c r="S18" i="54"/>
  <c r="T18" i="54" s="1"/>
  <c r="V17" i="54"/>
  <c r="S17" i="54"/>
  <c r="T17" i="54" s="1"/>
  <c r="V16" i="54"/>
  <c r="S16" i="54"/>
  <c r="T16" i="54" s="1"/>
  <c r="V15" i="54"/>
  <c r="S15" i="54"/>
  <c r="T15" i="54" s="1"/>
  <c r="V14" i="54"/>
  <c r="S14" i="54"/>
  <c r="T14" i="54" s="1"/>
  <c r="V13" i="54"/>
  <c r="S13" i="54"/>
  <c r="T13" i="54" s="1"/>
  <c r="V12" i="54"/>
  <c r="S12" i="54"/>
  <c r="T12" i="54" s="1"/>
  <c r="V11" i="54"/>
  <c r="S11" i="54"/>
  <c r="T11" i="54" s="1"/>
  <c r="V10" i="54"/>
  <c r="S10" i="54"/>
  <c r="T10" i="54" s="1"/>
  <c r="V9" i="54"/>
  <c r="S9" i="54"/>
  <c r="T9" i="54" s="1"/>
  <c r="V8" i="54"/>
  <c r="S8" i="54"/>
  <c r="T8" i="54" s="1"/>
  <c r="V7" i="54"/>
  <c r="S7" i="54"/>
  <c r="T7" i="54" s="1"/>
  <c r="V6" i="54"/>
  <c r="S6" i="54"/>
  <c r="T6" i="54" s="1"/>
  <c r="V5" i="54"/>
  <c r="S5" i="54"/>
  <c r="T5" i="54" s="1"/>
  <c r="V4" i="54"/>
  <c r="S4" i="54"/>
  <c r="T4" i="54" s="1"/>
  <c r="V3" i="54"/>
  <c r="S3" i="54"/>
  <c r="T3" i="54" s="1"/>
  <c r="V2" i="54"/>
  <c r="S2" i="54"/>
  <c r="T2" i="54" s="1"/>
  <c r="S2" i="50"/>
  <c r="T2" i="50" s="1"/>
  <c r="V2" i="50"/>
  <c r="V3" i="50"/>
  <c r="V4" i="50"/>
  <c r="V5" i="50"/>
  <c r="V6" i="50"/>
  <c r="V7" i="50"/>
  <c r="V8" i="50"/>
  <c r="V9" i="50"/>
  <c r="V10" i="50"/>
  <c r="V11" i="50"/>
  <c r="V12" i="50"/>
  <c r="V13" i="50"/>
  <c r="V14" i="50"/>
  <c r="V15" i="50"/>
  <c r="V16" i="50"/>
  <c r="V17" i="50"/>
  <c r="V18" i="50"/>
  <c r="V19" i="50"/>
  <c r="V20" i="50"/>
  <c r="V21" i="50"/>
  <c r="V22" i="50"/>
  <c r="V23" i="50"/>
  <c r="V24" i="50"/>
  <c r="V25" i="50"/>
  <c r="V26" i="50"/>
  <c r="V27" i="50"/>
  <c r="V28" i="50"/>
  <c r="V29" i="50"/>
  <c r="V30" i="50"/>
  <c r="V31" i="50"/>
  <c r="V32" i="50"/>
  <c r="V33" i="50"/>
  <c r="V65" i="53"/>
  <c r="S65" i="53"/>
  <c r="T65" i="53" s="1"/>
  <c r="V64" i="53"/>
  <c r="S64" i="53"/>
  <c r="T64" i="53" s="1"/>
  <c r="V63" i="53"/>
  <c r="S63" i="53"/>
  <c r="T63" i="53" s="1"/>
  <c r="V62" i="53"/>
  <c r="S62" i="53"/>
  <c r="T62" i="53" s="1"/>
  <c r="V61" i="53"/>
  <c r="S61" i="53"/>
  <c r="T61" i="53" s="1"/>
  <c r="V60" i="53"/>
  <c r="S60" i="53"/>
  <c r="T60" i="53" s="1"/>
  <c r="V59" i="53"/>
  <c r="T59" i="53"/>
  <c r="S59" i="53"/>
  <c r="V58" i="53"/>
  <c r="S58" i="53"/>
  <c r="T58" i="53" s="1"/>
  <c r="V57" i="53"/>
  <c r="S57" i="53"/>
  <c r="T57" i="53" s="1"/>
  <c r="V56" i="53"/>
  <c r="S56" i="53"/>
  <c r="T56" i="53" s="1"/>
  <c r="V55" i="53"/>
  <c r="S55" i="53"/>
  <c r="T55" i="53" s="1"/>
  <c r="V54" i="53"/>
  <c r="S54" i="53"/>
  <c r="T54" i="53" s="1"/>
  <c r="V53" i="53"/>
  <c r="S53" i="53"/>
  <c r="T53" i="53" s="1"/>
  <c r="V52" i="53"/>
  <c r="S52" i="53"/>
  <c r="T52" i="53" s="1"/>
  <c r="V51" i="53"/>
  <c r="S51" i="53"/>
  <c r="T51" i="53" s="1"/>
  <c r="V50" i="53"/>
  <c r="S50" i="53"/>
  <c r="T50" i="53" s="1"/>
  <c r="V49" i="53"/>
  <c r="S49" i="53"/>
  <c r="T49" i="53" s="1"/>
  <c r="V48" i="53"/>
  <c r="S48" i="53"/>
  <c r="T48" i="53" s="1"/>
  <c r="V47" i="53"/>
  <c r="S47" i="53"/>
  <c r="T47" i="53" s="1"/>
  <c r="V46" i="53"/>
  <c r="S46" i="53"/>
  <c r="T46" i="53" s="1"/>
  <c r="V45" i="53"/>
  <c r="S45" i="53"/>
  <c r="T45" i="53" s="1"/>
  <c r="V44" i="53"/>
  <c r="S44" i="53"/>
  <c r="T44" i="53" s="1"/>
  <c r="V43" i="53"/>
  <c r="S43" i="53"/>
  <c r="T43" i="53" s="1"/>
  <c r="V42" i="53"/>
  <c r="S42" i="53"/>
  <c r="T42" i="53" s="1"/>
  <c r="V41" i="53"/>
  <c r="S41" i="53"/>
  <c r="T41" i="53" s="1"/>
  <c r="V40" i="53"/>
  <c r="S40" i="53"/>
  <c r="T40" i="53" s="1"/>
  <c r="V39" i="53"/>
  <c r="S39" i="53"/>
  <c r="T39" i="53" s="1"/>
  <c r="V38" i="53"/>
  <c r="S38" i="53"/>
  <c r="T38" i="53" s="1"/>
  <c r="V37" i="53"/>
  <c r="S37" i="53"/>
  <c r="T37" i="53" s="1"/>
  <c r="V36" i="53"/>
  <c r="S36" i="53"/>
  <c r="T36" i="53" s="1"/>
  <c r="V35" i="53"/>
  <c r="S35" i="53"/>
  <c r="T35" i="53" s="1"/>
  <c r="V34" i="53"/>
  <c r="S34" i="53"/>
  <c r="T34" i="53" s="1"/>
  <c r="V33" i="53"/>
  <c r="S33" i="53"/>
  <c r="T33" i="53" s="1"/>
  <c r="V32" i="53"/>
  <c r="S32" i="53"/>
  <c r="T32" i="53" s="1"/>
  <c r="V31" i="53"/>
  <c r="S31" i="53"/>
  <c r="T31" i="53" s="1"/>
  <c r="V30" i="53"/>
  <c r="S30" i="53"/>
  <c r="T30" i="53" s="1"/>
  <c r="V29" i="53"/>
  <c r="S29" i="53"/>
  <c r="T29" i="53" s="1"/>
  <c r="V28" i="53"/>
  <c r="S28" i="53"/>
  <c r="T28" i="53" s="1"/>
  <c r="V27" i="53"/>
  <c r="S27" i="53"/>
  <c r="T27" i="53" s="1"/>
  <c r="V26" i="53"/>
  <c r="S26" i="53"/>
  <c r="T26" i="53" s="1"/>
  <c r="V25" i="53"/>
  <c r="S25" i="53"/>
  <c r="T25" i="53" s="1"/>
  <c r="V24" i="53"/>
  <c r="S24" i="53"/>
  <c r="T24" i="53" s="1"/>
  <c r="V23" i="53"/>
  <c r="S23" i="53"/>
  <c r="T23" i="53" s="1"/>
  <c r="V22" i="53"/>
  <c r="S22" i="53"/>
  <c r="T22" i="53" s="1"/>
  <c r="V21" i="53"/>
  <c r="S21" i="53"/>
  <c r="T21" i="53" s="1"/>
  <c r="V20" i="53"/>
  <c r="S20" i="53"/>
  <c r="T20" i="53" s="1"/>
  <c r="V19" i="53"/>
  <c r="S19" i="53"/>
  <c r="T19" i="53" s="1"/>
  <c r="V18" i="53"/>
  <c r="S18" i="53"/>
  <c r="T18" i="53" s="1"/>
  <c r="V17" i="53"/>
  <c r="S17" i="53"/>
  <c r="T17" i="53" s="1"/>
  <c r="V16" i="53"/>
  <c r="S16" i="53"/>
  <c r="T16" i="53" s="1"/>
  <c r="V15" i="53"/>
  <c r="S15" i="53"/>
  <c r="T15" i="53" s="1"/>
  <c r="V14" i="53"/>
  <c r="S14" i="53"/>
  <c r="T14" i="53" s="1"/>
  <c r="V13" i="53"/>
  <c r="S13" i="53"/>
  <c r="T13" i="53" s="1"/>
  <c r="V12" i="53"/>
  <c r="S12" i="53"/>
  <c r="T12" i="53" s="1"/>
  <c r="V11" i="53"/>
  <c r="S11" i="53"/>
  <c r="T11" i="53" s="1"/>
  <c r="V10" i="53"/>
  <c r="S10" i="53"/>
  <c r="T10" i="53" s="1"/>
  <c r="V9" i="53"/>
  <c r="S9" i="53"/>
  <c r="T9" i="53" s="1"/>
  <c r="V8" i="53"/>
  <c r="S8" i="53"/>
  <c r="T8" i="53" s="1"/>
  <c r="V7" i="53"/>
  <c r="S7" i="53"/>
  <c r="T7" i="53" s="1"/>
  <c r="V6" i="53"/>
  <c r="S6" i="53"/>
  <c r="T6" i="53" s="1"/>
  <c r="V5" i="53"/>
  <c r="S5" i="53"/>
  <c r="T5" i="53" s="1"/>
  <c r="V4" i="53"/>
  <c r="S4" i="53"/>
  <c r="T4" i="53" s="1"/>
  <c r="V3" i="53"/>
  <c r="S3" i="53"/>
  <c r="T3" i="53" s="1"/>
  <c r="V2" i="53"/>
  <c r="S2" i="53"/>
  <c r="T2" i="53" s="1"/>
  <c r="V81" i="52"/>
  <c r="S81" i="52"/>
  <c r="T81" i="52" s="1"/>
  <c r="V80" i="52"/>
  <c r="S80" i="52"/>
  <c r="T80" i="52" s="1"/>
  <c r="V79" i="52"/>
  <c r="S79" i="52"/>
  <c r="T79" i="52" s="1"/>
  <c r="V78" i="52"/>
  <c r="S78" i="52"/>
  <c r="T78" i="52" s="1"/>
  <c r="V77" i="52"/>
  <c r="S77" i="52"/>
  <c r="T77" i="52" s="1"/>
  <c r="V76" i="52"/>
  <c r="S76" i="52"/>
  <c r="T76" i="52" s="1"/>
  <c r="V75" i="52"/>
  <c r="S75" i="52"/>
  <c r="T75" i="52" s="1"/>
  <c r="V74" i="52"/>
  <c r="S74" i="52"/>
  <c r="T74" i="52" s="1"/>
  <c r="V73" i="52"/>
  <c r="S73" i="52"/>
  <c r="T73" i="52" s="1"/>
  <c r="V72" i="52"/>
  <c r="S72" i="52"/>
  <c r="T72" i="52" s="1"/>
  <c r="V71" i="52"/>
  <c r="S71" i="52"/>
  <c r="T71" i="52" s="1"/>
  <c r="V70" i="52"/>
  <c r="S70" i="52"/>
  <c r="T70" i="52" s="1"/>
  <c r="V69" i="52"/>
  <c r="S69" i="52"/>
  <c r="T69" i="52" s="1"/>
  <c r="V68" i="52"/>
  <c r="S68" i="52"/>
  <c r="T68" i="52" s="1"/>
  <c r="V67" i="52"/>
  <c r="S67" i="52"/>
  <c r="T67" i="52" s="1"/>
  <c r="V66" i="52"/>
  <c r="S66" i="52"/>
  <c r="T66" i="52" s="1"/>
  <c r="V65" i="52"/>
  <c r="S65" i="52"/>
  <c r="T65" i="52" s="1"/>
  <c r="V64" i="52"/>
  <c r="S64" i="52"/>
  <c r="T64" i="52" s="1"/>
  <c r="V63" i="52"/>
  <c r="S63" i="52"/>
  <c r="T63" i="52" s="1"/>
  <c r="V62" i="52"/>
  <c r="T62" i="52"/>
  <c r="S62" i="52"/>
  <c r="V61" i="52"/>
  <c r="S61" i="52"/>
  <c r="T61" i="52" s="1"/>
  <c r="V60" i="52"/>
  <c r="S60" i="52"/>
  <c r="T60" i="52" s="1"/>
  <c r="V59" i="52"/>
  <c r="S59" i="52"/>
  <c r="T59" i="52" s="1"/>
  <c r="V58" i="52"/>
  <c r="S58" i="52"/>
  <c r="T58" i="52" s="1"/>
  <c r="V57" i="52"/>
  <c r="S57" i="52"/>
  <c r="T57" i="52" s="1"/>
  <c r="V56" i="52"/>
  <c r="S56" i="52"/>
  <c r="T56" i="52" s="1"/>
  <c r="V55" i="52"/>
  <c r="T55" i="52"/>
  <c r="S55" i="52"/>
  <c r="V54" i="52"/>
  <c r="S54" i="52"/>
  <c r="T54" i="52" s="1"/>
  <c r="V53" i="52"/>
  <c r="S53" i="52"/>
  <c r="T53" i="52" s="1"/>
  <c r="V52" i="52"/>
  <c r="S52" i="52"/>
  <c r="T52" i="52" s="1"/>
  <c r="V51" i="52"/>
  <c r="S51" i="52"/>
  <c r="T51" i="52" s="1"/>
  <c r="V50" i="52"/>
  <c r="S50" i="52"/>
  <c r="T50" i="52" s="1"/>
  <c r="V49" i="52"/>
  <c r="S49" i="52"/>
  <c r="T49" i="52" s="1"/>
  <c r="V48" i="52"/>
  <c r="S48" i="52"/>
  <c r="T48" i="52" s="1"/>
  <c r="V47" i="52"/>
  <c r="S47" i="52"/>
  <c r="T47" i="52" s="1"/>
  <c r="V46" i="52"/>
  <c r="S46" i="52"/>
  <c r="T46" i="52" s="1"/>
  <c r="V45" i="52"/>
  <c r="S45" i="52"/>
  <c r="T45" i="52" s="1"/>
  <c r="V44" i="52"/>
  <c r="S44" i="52"/>
  <c r="T44" i="52" s="1"/>
  <c r="V43" i="52"/>
  <c r="S43" i="52"/>
  <c r="T43" i="52" s="1"/>
  <c r="V42" i="52"/>
  <c r="T42" i="52"/>
  <c r="S42" i="52"/>
  <c r="V41" i="52"/>
  <c r="S41" i="52"/>
  <c r="T41" i="52" s="1"/>
  <c r="V40" i="52"/>
  <c r="S40" i="52"/>
  <c r="T40" i="52" s="1"/>
  <c r="V39" i="52"/>
  <c r="S39" i="52"/>
  <c r="T39" i="52" s="1"/>
  <c r="V38" i="52"/>
  <c r="S38" i="52"/>
  <c r="T38" i="52" s="1"/>
  <c r="V37" i="52"/>
  <c r="S37" i="52"/>
  <c r="T37" i="52" s="1"/>
  <c r="V36" i="52"/>
  <c r="S36" i="52"/>
  <c r="T36" i="52" s="1"/>
  <c r="V35" i="52"/>
  <c r="S35" i="52"/>
  <c r="T35" i="52" s="1"/>
  <c r="V34" i="52"/>
  <c r="S34" i="52"/>
  <c r="T34" i="52" s="1"/>
  <c r="V33" i="52"/>
  <c r="S33" i="52"/>
  <c r="T33" i="52" s="1"/>
  <c r="V32" i="52"/>
  <c r="S32" i="52"/>
  <c r="T32" i="52" s="1"/>
  <c r="V31" i="52"/>
  <c r="S31" i="52"/>
  <c r="T31" i="52" s="1"/>
  <c r="V30" i="52"/>
  <c r="S30" i="52"/>
  <c r="T30" i="52" s="1"/>
  <c r="V29" i="52"/>
  <c r="S29" i="52"/>
  <c r="T29" i="52" s="1"/>
  <c r="V28" i="52"/>
  <c r="S28" i="52"/>
  <c r="T28" i="52" s="1"/>
  <c r="V27" i="52"/>
  <c r="S27" i="52"/>
  <c r="T27" i="52" s="1"/>
  <c r="V26" i="52"/>
  <c r="S26" i="52"/>
  <c r="T26" i="52" s="1"/>
  <c r="V25" i="52"/>
  <c r="S25" i="52"/>
  <c r="T25" i="52" s="1"/>
  <c r="V24" i="52"/>
  <c r="S24" i="52"/>
  <c r="T24" i="52" s="1"/>
  <c r="V23" i="52"/>
  <c r="T23" i="52"/>
  <c r="S23" i="52"/>
  <c r="V22" i="52"/>
  <c r="S22" i="52"/>
  <c r="T22" i="52" s="1"/>
  <c r="V21" i="52"/>
  <c r="S21" i="52"/>
  <c r="T21" i="52" s="1"/>
  <c r="V20" i="52"/>
  <c r="S20" i="52"/>
  <c r="T20" i="52" s="1"/>
  <c r="V19" i="52"/>
  <c r="S19" i="52"/>
  <c r="T19" i="52" s="1"/>
  <c r="V18" i="52"/>
  <c r="S18" i="52"/>
  <c r="T18" i="52" s="1"/>
  <c r="V17" i="52"/>
  <c r="S17" i="52"/>
  <c r="T17" i="52" s="1"/>
  <c r="V16" i="52"/>
  <c r="S16" i="52"/>
  <c r="T16" i="52" s="1"/>
  <c r="V15" i="52"/>
  <c r="S15" i="52"/>
  <c r="T15" i="52" s="1"/>
  <c r="V14" i="52"/>
  <c r="S14" i="52"/>
  <c r="T14" i="52" s="1"/>
  <c r="V13" i="52"/>
  <c r="S13" i="52"/>
  <c r="T13" i="52" s="1"/>
  <c r="V12" i="52"/>
  <c r="S12" i="52"/>
  <c r="T12" i="52" s="1"/>
  <c r="V11" i="52"/>
  <c r="S11" i="52"/>
  <c r="T11" i="52" s="1"/>
  <c r="V10" i="52"/>
  <c r="S10" i="52"/>
  <c r="T10" i="52" s="1"/>
  <c r="V9" i="52"/>
  <c r="S9" i="52"/>
  <c r="T9" i="52" s="1"/>
  <c r="V8" i="52"/>
  <c r="S8" i="52"/>
  <c r="T8" i="52" s="1"/>
  <c r="V7" i="52"/>
  <c r="S7" i="52"/>
  <c r="T7" i="52" s="1"/>
  <c r="V6" i="52"/>
  <c r="S6" i="52"/>
  <c r="T6" i="52" s="1"/>
  <c r="V5" i="52"/>
  <c r="S5" i="52"/>
  <c r="T5" i="52" s="1"/>
  <c r="V4" i="52"/>
  <c r="S4" i="52"/>
  <c r="T4" i="52" s="1"/>
  <c r="V3" i="52"/>
  <c r="S3" i="52"/>
  <c r="T3" i="52" s="1"/>
  <c r="V2" i="52"/>
  <c r="S2" i="52"/>
  <c r="T2" i="52" s="1"/>
  <c r="V65" i="51"/>
  <c r="S65" i="51"/>
  <c r="T65" i="51" s="1"/>
  <c r="V64" i="51"/>
  <c r="S64" i="51"/>
  <c r="T64" i="51" s="1"/>
  <c r="V63" i="51"/>
  <c r="S63" i="51"/>
  <c r="T63" i="51" s="1"/>
  <c r="V62" i="51"/>
  <c r="S62" i="51"/>
  <c r="T62" i="51" s="1"/>
  <c r="V61" i="51"/>
  <c r="S61" i="51"/>
  <c r="T61" i="51" s="1"/>
  <c r="V60" i="51"/>
  <c r="S60" i="51"/>
  <c r="T60" i="51" s="1"/>
  <c r="V59" i="51"/>
  <c r="S59" i="51"/>
  <c r="T59" i="51" s="1"/>
  <c r="V58" i="51"/>
  <c r="S58" i="51"/>
  <c r="T58" i="51" s="1"/>
  <c r="V57" i="51"/>
  <c r="S57" i="51"/>
  <c r="T57" i="51" s="1"/>
  <c r="V56" i="51"/>
  <c r="S56" i="51"/>
  <c r="T56" i="51" s="1"/>
  <c r="V55" i="51"/>
  <c r="S55" i="51"/>
  <c r="T55" i="51" s="1"/>
  <c r="V54" i="51"/>
  <c r="S54" i="51"/>
  <c r="T54" i="51" s="1"/>
  <c r="V53" i="51"/>
  <c r="S53" i="51"/>
  <c r="T53" i="51" s="1"/>
  <c r="V52" i="51"/>
  <c r="S52" i="51"/>
  <c r="T52" i="51" s="1"/>
  <c r="V51" i="51"/>
  <c r="S51" i="51"/>
  <c r="T51" i="51" s="1"/>
  <c r="V50" i="51"/>
  <c r="S50" i="51"/>
  <c r="T50" i="51" s="1"/>
  <c r="V49" i="51"/>
  <c r="S49" i="51"/>
  <c r="T49" i="51" s="1"/>
  <c r="V48" i="51"/>
  <c r="S48" i="51"/>
  <c r="T48" i="51" s="1"/>
  <c r="V47" i="51"/>
  <c r="S47" i="51"/>
  <c r="T47" i="51" s="1"/>
  <c r="V46" i="51"/>
  <c r="S46" i="51"/>
  <c r="T46" i="51" s="1"/>
  <c r="V45" i="51"/>
  <c r="S45" i="51"/>
  <c r="T45" i="51" s="1"/>
  <c r="V44" i="51"/>
  <c r="S44" i="51"/>
  <c r="T44" i="51" s="1"/>
  <c r="V43" i="51"/>
  <c r="S43" i="51"/>
  <c r="T43" i="51" s="1"/>
  <c r="V42" i="51"/>
  <c r="S42" i="51"/>
  <c r="T42" i="51" s="1"/>
  <c r="V41" i="51"/>
  <c r="S41" i="51"/>
  <c r="T41" i="51" s="1"/>
  <c r="V40" i="51"/>
  <c r="S40" i="51"/>
  <c r="T40" i="51" s="1"/>
  <c r="V39" i="51"/>
  <c r="S39" i="51"/>
  <c r="T39" i="51" s="1"/>
  <c r="V38" i="51"/>
  <c r="T38" i="51"/>
  <c r="S38" i="51"/>
  <c r="V37" i="51"/>
  <c r="S37" i="51"/>
  <c r="T37" i="51" s="1"/>
  <c r="V36" i="51"/>
  <c r="S36" i="51"/>
  <c r="T36" i="51" s="1"/>
  <c r="V35" i="51"/>
  <c r="S35" i="51"/>
  <c r="T35" i="51" s="1"/>
  <c r="V34" i="51"/>
  <c r="S34" i="51"/>
  <c r="T34" i="51" s="1"/>
  <c r="V33" i="51"/>
  <c r="S33" i="51"/>
  <c r="T33" i="51" s="1"/>
  <c r="V32" i="51"/>
  <c r="S32" i="51"/>
  <c r="T32" i="51" s="1"/>
  <c r="V31" i="51"/>
  <c r="S31" i="51"/>
  <c r="T31" i="51" s="1"/>
  <c r="V30" i="51"/>
  <c r="S30" i="51"/>
  <c r="T30" i="51" s="1"/>
  <c r="V29" i="51"/>
  <c r="S29" i="51"/>
  <c r="T29" i="51" s="1"/>
  <c r="V28" i="51"/>
  <c r="S28" i="51"/>
  <c r="T28" i="51" s="1"/>
  <c r="V27" i="51"/>
  <c r="S27" i="51"/>
  <c r="T27" i="51" s="1"/>
  <c r="V26" i="51"/>
  <c r="S26" i="51"/>
  <c r="T26" i="51" s="1"/>
  <c r="V25" i="51"/>
  <c r="S25" i="51"/>
  <c r="T25" i="51" s="1"/>
  <c r="V24" i="51"/>
  <c r="S24" i="51"/>
  <c r="T24" i="51" s="1"/>
  <c r="V23" i="51"/>
  <c r="S23" i="51"/>
  <c r="T23" i="51" s="1"/>
  <c r="V22" i="51"/>
  <c r="T22" i="51"/>
  <c r="S22" i="51"/>
  <c r="V21" i="51"/>
  <c r="S21" i="51"/>
  <c r="T21" i="51" s="1"/>
  <c r="V20" i="51"/>
  <c r="S20" i="51"/>
  <c r="T20" i="51" s="1"/>
  <c r="V19" i="51"/>
  <c r="S19" i="51"/>
  <c r="T19" i="51" s="1"/>
  <c r="V18" i="51"/>
  <c r="S18" i="51"/>
  <c r="T18" i="51" s="1"/>
  <c r="V17" i="51"/>
  <c r="S17" i="51"/>
  <c r="T17" i="51" s="1"/>
  <c r="V16" i="51"/>
  <c r="S16" i="51"/>
  <c r="T16" i="51" s="1"/>
  <c r="V15" i="51"/>
  <c r="S15" i="51"/>
  <c r="T15" i="51" s="1"/>
  <c r="V14" i="51"/>
  <c r="S14" i="51"/>
  <c r="T14" i="51" s="1"/>
  <c r="V13" i="51"/>
  <c r="S13" i="51"/>
  <c r="T13" i="51" s="1"/>
  <c r="V12" i="51"/>
  <c r="S12" i="51"/>
  <c r="T12" i="51" s="1"/>
  <c r="V11" i="51"/>
  <c r="S11" i="51"/>
  <c r="T11" i="51" s="1"/>
  <c r="V10" i="51"/>
  <c r="S10" i="51"/>
  <c r="T10" i="51" s="1"/>
  <c r="V9" i="51"/>
  <c r="S9" i="51"/>
  <c r="T9" i="51" s="1"/>
  <c r="V8" i="51"/>
  <c r="S8" i="51"/>
  <c r="T8" i="51" s="1"/>
  <c r="V7" i="51"/>
  <c r="S7" i="51"/>
  <c r="T7" i="51" s="1"/>
  <c r="V6" i="51"/>
  <c r="S6" i="51"/>
  <c r="T6" i="51" s="1"/>
  <c r="V5" i="51"/>
  <c r="S5" i="51"/>
  <c r="T5" i="51" s="1"/>
  <c r="V4" i="51"/>
  <c r="S4" i="51"/>
  <c r="T4" i="51" s="1"/>
  <c r="V3" i="51"/>
  <c r="S3" i="51"/>
  <c r="T3" i="51" s="1"/>
  <c r="V2" i="51"/>
  <c r="S2" i="51"/>
  <c r="T2" i="51" s="1"/>
  <c r="S33" i="50"/>
  <c r="T33" i="50" s="1"/>
  <c r="S32" i="50"/>
  <c r="T32" i="50" s="1"/>
  <c r="S31" i="50"/>
  <c r="T31" i="50" s="1"/>
  <c r="S30" i="50"/>
  <c r="T30" i="50" s="1"/>
  <c r="S29" i="50"/>
  <c r="T29" i="50" s="1"/>
  <c r="S28" i="50"/>
  <c r="T28" i="50" s="1"/>
  <c r="S27" i="50"/>
  <c r="T27" i="50" s="1"/>
  <c r="S26" i="50"/>
  <c r="T26" i="50" s="1"/>
  <c r="S25" i="50"/>
  <c r="T25" i="50" s="1"/>
  <c r="S24" i="50"/>
  <c r="T24" i="50" s="1"/>
  <c r="S23" i="50"/>
  <c r="T23" i="50" s="1"/>
  <c r="S22" i="50"/>
  <c r="T22" i="50" s="1"/>
  <c r="S21" i="50"/>
  <c r="T21" i="50" s="1"/>
  <c r="S20" i="50"/>
  <c r="T20" i="50" s="1"/>
  <c r="S19" i="50"/>
  <c r="T19" i="50" s="1"/>
  <c r="S18" i="50"/>
  <c r="T18" i="50" s="1"/>
  <c r="S17" i="50"/>
  <c r="T17" i="50" s="1"/>
  <c r="S16" i="50"/>
  <c r="T16" i="50" s="1"/>
  <c r="S15" i="50"/>
  <c r="T15" i="50" s="1"/>
  <c r="S14" i="50"/>
  <c r="T14" i="50" s="1"/>
  <c r="S13" i="50"/>
  <c r="T13" i="50" s="1"/>
  <c r="S12" i="50"/>
  <c r="T12" i="50" s="1"/>
  <c r="S11" i="50"/>
  <c r="T11" i="50" s="1"/>
  <c r="S10" i="50"/>
  <c r="T10" i="50" s="1"/>
  <c r="S9" i="50"/>
  <c r="T9" i="50" s="1"/>
  <c r="S8" i="50"/>
  <c r="T8" i="50" s="1"/>
  <c r="S7" i="50"/>
  <c r="T7" i="50" s="1"/>
  <c r="S6" i="50"/>
  <c r="T6" i="50" s="1"/>
  <c r="S5" i="50"/>
  <c r="T5" i="50" s="1"/>
  <c r="S4" i="50"/>
  <c r="T4" i="50" s="1"/>
  <c r="S3" i="50"/>
  <c r="T3" i="50" s="1"/>
  <c r="V65" i="49"/>
  <c r="S65" i="49"/>
  <c r="T65" i="49" s="1"/>
  <c r="V64" i="49"/>
  <c r="S64" i="49"/>
  <c r="T64" i="49" s="1"/>
  <c r="V63" i="49"/>
  <c r="S63" i="49"/>
  <c r="T63" i="49" s="1"/>
  <c r="V62" i="49"/>
  <c r="S62" i="49"/>
  <c r="T62" i="49" s="1"/>
  <c r="V61" i="49"/>
  <c r="S61" i="49"/>
  <c r="T61" i="49" s="1"/>
  <c r="V60" i="49"/>
  <c r="S60" i="49"/>
  <c r="T60" i="49" s="1"/>
  <c r="V59" i="49"/>
  <c r="S59" i="49"/>
  <c r="T59" i="49" s="1"/>
  <c r="V58" i="49"/>
  <c r="S58" i="49"/>
  <c r="T58" i="49" s="1"/>
  <c r="V57" i="49"/>
  <c r="S57" i="49"/>
  <c r="T57" i="49" s="1"/>
  <c r="V56" i="49"/>
  <c r="S56" i="49"/>
  <c r="T56" i="49" s="1"/>
  <c r="V55" i="49"/>
  <c r="S55" i="49"/>
  <c r="T55" i="49" s="1"/>
  <c r="V54" i="49"/>
  <c r="S54" i="49"/>
  <c r="T54" i="49" s="1"/>
  <c r="V53" i="49"/>
  <c r="S53" i="49"/>
  <c r="T53" i="49" s="1"/>
  <c r="V52" i="49"/>
  <c r="S52" i="49"/>
  <c r="T52" i="49" s="1"/>
  <c r="V51" i="49"/>
  <c r="S51" i="49"/>
  <c r="T51" i="49" s="1"/>
  <c r="V50" i="49"/>
  <c r="S50" i="49"/>
  <c r="T50" i="49" s="1"/>
  <c r="V49" i="49"/>
  <c r="S49" i="49"/>
  <c r="T49" i="49" s="1"/>
  <c r="V48" i="49"/>
  <c r="S48" i="49"/>
  <c r="T48" i="49" s="1"/>
  <c r="V47" i="49"/>
  <c r="S47" i="49"/>
  <c r="T47" i="49" s="1"/>
  <c r="V46" i="49"/>
  <c r="S46" i="49"/>
  <c r="T46" i="49" s="1"/>
  <c r="V45" i="49"/>
  <c r="S45" i="49"/>
  <c r="T45" i="49" s="1"/>
  <c r="V44" i="49"/>
  <c r="S44" i="49"/>
  <c r="T44" i="49" s="1"/>
  <c r="V43" i="49"/>
  <c r="S43" i="49"/>
  <c r="T43" i="49" s="1"/>
  <c r="V42" i="49"/>
  <c r="S42" i="49"/>
  <c r="T42" i="49" s="1"/>
  <c r="V41" i="49"/>
  <c r="S41" i="49"/>
  <c r="T41" i="49" s="1"/>
  <c r="V40" i="49"/>
  <c r="S40" i="49"/>
  <c r="T40" i="49" s="1"/>
  <c r="V39" i="49"/>
  <c r="S39" i="49"/>
  <c r="T39" i="49" s="1"/>
  <c r="V38" i="49"/>
  <c r="S38" i="49"/>
  <c r="T38" i="49" s="1"/>
  <c r="V37" i="49"/>
  <c r="S37" i="49"/>
  <c r="T37" i="49" s="1"/>
  <c r="V36" i="49"/>
  <c r="S36" i="49"/>
  <c r="T36" i="49" s="1"/>
  <c r="V35" i="49"/>
  <c r="S35" i="49"/>
  <c r="T35" i="49" s="1"/>
  <c r="V34" i="49"/>
  <c r="S34" i="49"/>
  <c r="T34" i="49" s="1"/>
  <c r="V33" i="49"/>
  <c r="S33" i="49"/>
  <c r="T33" i="49" s="1"/>
  <c r="V32" i="49"/>
  <c r="S32" i="49"/>
  <c r="T32" i="49" s="1"/>
  <c r="V31" i="49"/>
  <c r="S31" i="49"/>
  <c r="T31" i="49" s="1"/>
  <c r="V30" i="49"/>
  <c r="S30" i="49"/>
  <c r="T30" i="49" s="1"/>
  <c r="V29" i="49"/>
  <c r="S29" i="49"/>
  <c r="T29" i="49" s="1"/>
  <c r="V28" i="49"/>
  <c r="S28" i="49"/>
  <c r="T28" i="49" s="1"/>
  <c r="V27" i="49"/>
  <c r="S27" i="49"/>
  <c r="T27" i="49" s="1"/>
  <c r="V26" i="49"/>
  <c r="S26" i="49"/>
  <c r="T26" i="49" s="1"/>
  <c r="V25" i="49"/>
  <c r="S25" i="49"/>
  <c r="T25" i="49" s="1"/>
  <c r="V24" i="49"/>
  <c r="S24" i="49"/>
  <c r="T24" i="49" s="1"/>
  <c r="V23" i="49"/>
  <c r="S23" i="49"/>
  <c r="T23" i="49" s="1"/>
  <c r="V22" i="49"/>
  <c r="S22" i="49"/>
  <c r="T22" i="49" s="1"/>
  <c r="V21" i="49"/>
  <c r="S21" i="49"/>
  <c r="T21" i="49" s="1"/>
  <c r="V20" i="49"/>
  <c r="S20" i="49"/>
  <c r="T20" i="49" s="1"/>
  <c r="V19" i="49"/>
  <c r="S19" i="49"/>
  <c r="T19" i="49" s="1"/>
  <c r="V18" i="49"/>
  <c r="S18" i="49"/>
  <c r="T18" i="49" s="1"/>
  <c r="V17" i="49"/>
  <c r="S17" i="49"/>
  <c r="T17" i="49" s="1"/>
  <c r="V16" i="49"/>
  <c r="S16" i="49"/>
  <c r="T16" i="49" s="1"/>
  <c r="V15" i="49"/>
  <c r="S15" i="49"/>
  <c r="T15" i="49" s="1"/>
  <c r="V14" i="49"/>
  <c r="S14" i="49"/>
  <c r="T14" i="49" s="1"/>
  <c r="V13" i="49"/>
  <c r="S13" i="49"/>
  <c r="T13" i="49" s="1"/>
  <c r="V12" i="49"/>
  <c r="S12" i="49"/>
  <c r="T12" i="49" s="1"/>
  <c r="V11" i="49"/>
  <c r="S11" i="49"/>
  <c r="T11" i="49" s="1"/>
  <c r="V10" i="49"/>
  <c r="S10" i="49"/>
  <c r="T10" i="49" s="1"/>
  <c r="V9" i="49"/>
  <c r="S9" i="49"/>
  <c r="T9" i="49" s="1"/>
  <c r="V8" i="49"/>
  <c r="S8" i="49"/>
  <c r="T8" i="49" s="1"/>
  <c r="V7" i="49"/>
  <c r="S7" i="49"/>
  <c r="T7" i="49" s="1"/>
  <c r="V6" i="49"/>
  <c r="S6" i="49"/>
  <c r="T6" i="49" s="1"/>
  <c r="V5" i="49"/>
  <c r="S5" i="49"/>
  <c r="T5" i="49" s="1"/>
  <c r="V4" i="49"/>
  <c r="S4" i="49"/>
  <c r="T4" i="49" s="1"/>
  <c r="V3" i="49"/>
  <c r="S3" i="49"/>
  <c r="T3" i="49" s="1"/>
  <c r="V2" i="49"/>
  <c r="S2" i="49"/>
  <c r="T2" i="49" s="1"/>
  <c r="V369" i="47"/>
  <c r="V368" i="47"/>
  <c r="V367" i="47"/>
  <c r="V366" i="47"/>
  <c r="V365" i="47"/>
  <c r="V364" i="47"/>
  <c r="V363" i="47"/>
  <c r="V362" i="47"/>
  <c r="V361" i="47"/>
  <c r="V360" i="47"/>
  <c r="V359" i="47"/>
  <c r="V358" i="47"/>
  <c r="V357" i="47"/>
  <c r="V356" i="47"/>
  <c r="V355" i="47"/>
  <c r="V354" i="47"/>
  <c r="V353" i="47"/>
  <c r="V352" i="47"/>
  <c r="V351" i="47"/>
  <c r="V350" i="47"/>
  <c r="V349" i="47"/>
  <c r="V348" i="47"/>
  <c r="V347" i="47"/>
  <c r="V346" i="47"/>
  <c r="V345" i="47"/>
  <c r="V344" i="47"/>
  <c r="V343" i="47"/>
  <c r="V342" i="47"/>
  <c r="V341" i="47"/>
  <c r="V340" i="47"/>
  <c r="V339" i="47"/>
  <c r="V338" i="47"/>
  <c r="V337" i="47"/>
  <c r="V336" i="47"/>
  <c r="V335" i="47"/>
  <c r="V334" i="47"/>
  <c r="V333" i="47"/>
  <c r="V332" i="47"/>
  <c r="V331" i="47"/>
  <c r="V330" i="47"/>
  <c r="V329" i="47"/>
  <c r="V328" i="47"/>
  <c r="V327" i="47"/>
  <c r="V326" i="47"/>
  <c r="V325" i="47"/>
  <c r="V324" i="47"/>
  <c r="V323" i="47"/>
  <c r="V322" i="47"/>
  <c r="V321" i="47"/>
  <c r="V320" i="47"/>
  <c r="V319" i="47"/>
  <c r="V318" i="47"/>
  <c r="V317" i="47"/>
  <c r="V316" i="47"/>
  <c r="V315" i="47"/>
  <c r="V314" i="47"/>
  <c r="V313" i="47"/>
  <c r="V312" i="47"/>
  <c r="V311" i="47"/>
  <c r="V310" i="47"/>
  <c r="V309" i="47"/>
  <c r="V308" i="47"/>
  <c r="V307" i="47"/>
  <c r="V306" i="47"/>
  <c r="V305" i="47"/>
  <c r="V304" i="47"/>
  <c r="V303" i="47"/>
  <c r="V302" i="47"/>
  <c r="V301" i="47"/>
  <c r="V300" i="47"/>
  <c r="V299" i="47"/>
  <c r="V298" i="47"/>
  <c r="V297" i="47"/>
  <c r="V296" i="47"/>
  <c r="V295" i="47"/>
  <c r="V294" i="47"/>
  <c r="V293" i="47"/>
  <c r="V292" i="47"/>
  <c r="V291" i="47"/>
  <c r="V290" i="47"/>
  <c r="V289" i="47"/>
  <c r="V288" i="47"/>
  <c r="V287" i="47"/>
  <c r="V286" i="47"/>
  <c r="V285" i="47"/>
  <c r="V284" i="47"/>
  <c r="V283" i="47"/>
  <c r="V282" i="47"/>
  <c r="V281" i="47"/>
  <c r="V280" i="47"/>
  <c r="V279" i="47"/>
  <c r="V278" i="47"/>
  <c r="V277" i="47"/>
  <c r="V276" i="47"/>
  <c r="V275" i="47"/>
  <c r="V274" i="47"/>
  <c r="V273" i="47"/>
  <c r="V272" i="47"/>
  <c r="V271" i="47"/>
  <c r="V270" i="47"/>
  <c r="V269" i="47"/>
  <c r="V268" i="47"/>
  <c r="V267" i="47"/>
  <c r="V266" i="47"/>
  <c r="V265" i="47"/>
  <c r="V264" i="47"/>
  <c r="V263" i="47"/>
  <c r="V262" i="47"/>
  <c r="V261" i="47"/>
  <c r="V260" i="47"/>
  <c r="V259" i="47"/>
  <c r="V258" i="47"/>
  <c r="V257" i="47"/>
  <c r="V256" i="47"/>
  <c r="V255" i="47"/>
  <c r="V254" i="47"/>
  <c r="V253" i="47"/>
  <c r="V252" i="47"/>
  <c r="V251" i="47"/>
  <c r="V250" i="47"/>
  <c r="V249" i="47"/>
  <c r="V248" i="47"/>
  <c r="V247" i="47"/>
  <c r="V246" i="47"/>
  <c r="V245" i="47"/>
  <c r="V244" i="47"/>
  <c r="V243" i="47"/>
  <c r="V242" i="47"/>
  <c r="V241" i="47"/>
  <c r="V240" i="47"/>
  <c r="V239" i="47"/>
  <c r="V238" i="47"/>
  <c r="V237" i="47"/>
  <c r="V236" i="47"/>
  <c r="V235" i="47"/>
  <c r="V234" i="47"/>
  <c r="V233" i="47"/>
  <c r="V232" i="47"/>
  <c r="V231" i="47"/>
  <c r="V230" i="47"/>
  <c r="V229" i="47"/>
  <c r="V228" i="47"/>
  <c r="V227" i="47"/>
  <c r="V226" i="47"/>
  <c r="V225" i="47"/>
  <c r="V224" i="47"/>
  <c r="V223" i="47"/>
  <c r="V222" i="47"/>
  <c r="V221" i="47"/>
  <c r="V220" i="47"/>
  <c r="V219" i="47"/>
  <c r="V218" i="47"/>
  <c r="V217" i="47"/>
  <c r="V216" i="47"/>
  <c r="V215" i="47"/>
  <c r="V214" i="47"/>
  <c r="V213" i="47"/>
  <c r="V212" i="47"/>
  <c r="V211" i="47"/>
  <c r="V210" i="47"/>
  <c r="V209" i="47"/>
  <c r="V208" i="47"/>
  <c r="V207" i="47"/>
  <c r="V206" i="47"/>
  <c r="V205" i="47"/>
  <c r="V204" i="47"/>
  <c r="V203" i="47"/>
  <c r="V202" i="47"/>
  <c r="V201" i="47"/>
  <c r="V200" i="47"/>
  <c r="V199" i="47"/>
  <c r="V198" i="47"/>
  <c r="V197" i="47"/>
  <c r="V196" i="47"/>
  <c r="V195" i="47"/>
  <c r="V194" i="47"/>
  <c r="V193" i="47"/>
  <c r="V192" i="47"/>
  <c r="V191" i="47"/>
  <c r="V190" i="47"/>
  <c r="V189" i="47"/>
  <c r="V188" i="47"/>
  <c r="V187" i="47"/>
  <c r="V186" i="47"/>
  <c r="V185" i="47"/>
  <c r="V184" i="47"/>
  <c r="V183" i="47"/>
  <c r="V182" i="47"/>
  <c r="V181" i="47"/>
  <c r="V180" i="47"/>
  <c r="V179" i="47"/>
  <c r="V178" i="47"/>
  <c r="V177" i="47"/>
  <c r="V176" i="47"/>
  <c r="V175" i="47"/>
  <c r="V174" i="47"/>
  <c r="V173" i="47"/>
  <c r="V172" i="47"/>
  <c r="V171" i="47"/>
  <c r="V170" i="47"/>
  <c r="V169" i="47"/>
  <c r="V168" i="47"/>
  <c r="V167" i="47"/>
  <c r="V166" i="47"/>
  <c r="V165" i="47"/>
  <c r="V164" i="47"/>
  <c r="V163" i="47"/>
  <c r="V162" i="47"/>
  <c r="V161" i="47"/>
  <c r="V160" i="47"/>
  <c r="V159" i="47"/>
  <c r="V158" i="47"/>
  <c r="V157" i="47"/>
  <c r="V156" i="47"/>
  <c r="V155" i="47"/>
  <c r="V154" i="47"/>
  <c r="V153" i="47"/>
  <c r="V152" i="47"/>
  <c r="V151" i="47"/>
  <c r="V150" i="47"/>
  <c r="V149" i="47"/>
  <c r="V148" i="47"/>
  <c r="V147" i="47"/>
  <c r="V146" i="47"/>
  <c r="V145" i="47"/>
  <c r="V144" i="47"/>
  <c r="V143" i="47"/>
  <c r="V142" i="47"/>
  <c r="V141" i="47"/>
  <c r="V140" i="47"/>
  <c r="V139" i="47"/>
  <c r="V138" i="47"/>
  <c r="V137" i="47"/>
  <c r="V136" i="47"/>
  <c r="V135" i="47"/>
  <c r="V134" i="47"/>
  <c r="V133" i="47"/>
  <c r="V132" i="47"/>
  <c r="V131" i="47"/>
  <c r="V130" i="47"/>
  <c r="V129" i="47"/>
  <c r="V128" i="47"/>
  <c r="V127" i="47"/>
  <c r="V126" i="47"/>
  <c r="V125" i="47"/>
  <c r="V124" i="47"/>
  <c r="V123" i="47"/>
  <c r="V122" i="47"/>
  <c r="V121" i="47"/>
  <c r="V120" i="47"/>
  <c r="V119" i="47"/>
  <c r="V118" i="47"/>
  <c r="V117" i="47"/>
  <c r="V116" i="47"/>
  <c r="V115" i="47"/>
  <c r="V114" i="47"/>
  <c r="V113" i="47"/>
  <c r="V112" i="47"/>
  <c r="V111" i="47"/>
  <c r="V110" i="47"/>
  <c r="V109" i="47"/>
  <c r="V108" i="47"/>
  <c r="V107" i="47"/>
  <c r="V106" i="47"/>
  <c r="V105" i="47"/>
  <c r="V104" i="47"/>
  <c r="V103" i="47"/>
  <c r="V102" i="47"/>
  <c r="V101" i="47"/>
  <c r="V100" i="47"/>
  <c r="V99" i="47"/>
  <c r="V98" i="47"/>
  <c r="V97" i="47"/>
  <c r="V96" i="47"/>
  <c r="V95" i="47"/>
  <c r="V94" i="47"/>
  <c r="V93" i="47"/>
  <c r="V92" i="47"/>
  <c r="V91" i="47"/>
  <c r="V90" i="47"/>
  <c r="V89" i="47"/>
  <c r="V88" i="47"/>
  <c r="V87" i="47"/>
  <c r="V86" i="47"/>
  <c r="V85" i="47"/>
  <c r="V84" i="47"/>
  <c r="V83" i="47"/>
  <c r="V82" i="47"/>
  <c r="V81" i="47"/>
  <c r="V80" i="47"/>
  <c r="V79" i="47"/>
  <c r="V78" i="47"/>
  <c r="V77" i="47"/>
  <c r="V76" i="47"/>
  <c r="V75" i="47"/>
  <c r="V74" i="47"/>
  <c r="V73" i="47"/>
  <c r="V72" i="47"/>
  <c r="V71" i="47"/>
  <c r="V70" i="47"/>
  <c r="V69" i="47"/>
  <c r="V68" i="47"/>
  <c r="V67" i="47"/>
  <c r="V66" i="47"/>
  <c r="V65" i="47"/>
  <c r="V64" i="47"/>
  <c r="V63" i="47"/>
  <c r="V62" i="47"/>
  <c r="V61" i="47"/>
  <c r="V60" i="47"/>
  <c r="V59" i="47"/>
  <c r="V58" i="47"/>
  <c r="V57" i="47"/>
  <c r="V56" i="47"/>
  <c r="V55" i="47"/>
  <c r="V54" i="47"/>
  <c r="V53" i="47"/>
  <c r="V52" i="47"/>
  <c r="V51" i="47"/>
  <c r="V50" i="47"/>
  <c r="V49" i="47"/>
  <c r="V48" i="47"/>
  <c r="V47" i="47"/>
  <c r="V46" i="47"/>
  <c r="V45" i="47"/>
  <c r="V44" i="47"/>
  <c r="V43" i="47"/>
  <c r="V42" i="47"/>
  <c r="V41" i="47"/>
  <c r="V40" i="47"/>
  <c r="V39" i="47"/>
  <c r="V38" i="47"/>
  <c r="V37" i="47"/>
  <c r="V36" i="47"/>
  <c r="V35" i="47"/>
  <c r="V34" i="47"/>
  <c r="V33" i="47"/>
  <c r="V32" i="47"/>
  <c r="V31" i="47"/>
  <c r="V30" i="47"/>
  <c r="V29" i="47"/>
  <c r="V28" i="47"/>
  <c r="V27" i="47"/>
  <c r="V26" i="47"/>
  <c r="V25" i="47"/>
  <c r="V24" i="47"/>
  <c r="V23" i="47"/>
  <c r="V22" i="47"/>
  <c r="V21" i="47"/>
  <c r="V20" i="47"/>
  <c r="V19" i="47"/>
  <c r="V18" i="47"/>
  <c r="V17" i="47"/>
  <c r="V16" i="47"/>
  <c r="V15" i="47"/>
  <c r="V14" i="47"/>
  <c r="V13" i="47"/>
  <c r="V12" i="47"/>
  <c r="V11" i="47"/>
  <c r="V10" i="47"/>
  <c r="V9" i="47"/>
  <c r="V8" i="47"/>
  <c r="V7" i="47"/>
  <c r="V6" i="47"/>
  <c r="V5" i="47"/>
  <c r="V4" i="47"/>
  <c r="V3" i="47"/>
  <c r="V2" i="47"/>
  <c r="S2" i="47"/>
  <c r="T2" i="47" s="1"/>
  <c r="S3" i="47"/>
  <c r="T3" i="47" s="1"/>
  <c r="S4" i="47"/>
  <c r="T4" i="47" s="1"/>
  <c r="S5" i="47"/>
  <c r="T5" i="47" s="1"/>
  <c r="S6" i="47"/>
  <c r="T6" i="47" s="1"/>
  <c r="S7" i="47"/>
  <c r="T7" i="47" s="1"/>
  <c r="S8" i="47"/>
  <c r="T8" i="47" s="1"/>
  <c r="S9" i="47"/>
  <c r="T9" i="47" s="1"/>
  <c r="S10" i="47"/>
  <c r="T10" i="47" s="1"/>
  <c r="S11" i="47"/>
  <c r="T11" i="47" s="1"/>
  <c r="S12" i="47"/>
  <c r="T12" i="47" s="1"/>
  <c r="S13" i="47"/>
  <c r="T13" i="47" s="1"/>
  <c r="S14" i="47"/>
  <c r="T14" i="47" s="1"/>
  <c r="S15" i="47"/>
  <c r="T15" i="47" s="1"/>
  <c r="S16" i="47"/>
  <c r="T16" i="47" s="1"/>
  <c r="S17" i="47"/>
  <c r="T17" i="47" s="1"/>
  <c r="S18" i="47"/>
  <c r="T18" i="47" s="1"/>
  <c r="S19" i="47"/>
  <c r="T19" i="47" s="1"/>
  <c r="S20" i="47"/>
  <c r="T20" i="47" s="1"/>
  <c r="S21" i="47"/>
  <c r="T21" i="47" s="1"/>
  <c r="S22" i="47"/>
  <c r="T22" i="47" s="1"/>
  <c r="S23" i="47"/>
  <c r="T23" i="47" s="1"/>
  <c r="S24" i="47"/>
  <c r="T24" i="47" s="1"/>
  <c r="S25" i="47"/>
  <c r="T25" i="47" s="1"/>
  <c r="S26" i="47"/>
  <c r="T26" i="47" s="1"/>
  <c r="S27" i="47"/>
  <c r="T27" i="47" s="1"/>
  <c r="S28" i="47"/>
  <c r="T28" i="47" s="1"/>
  <c r="S29" i="47"/>
  <c r="T29" i="47" s="1"/>
  <c r="S30" i="47"/>
  <c r="T30" i="47" s="1"/>
  <c r="S31" i="47"/>
  <c r="T31" i="47" s="1"/>
  <c r="S32" i="47"/>
  <c r="T32" i="47" s="1"/>
  <c r="S33" i="47"/>
  <c r="T33" i="47" s="1"/>
  <c r="S34" i="47"/>
  <c r="T34" i="47" s="1"/>
  <c r="S35" i="47"/>
  <c r="T35" i="47" s="1"/>
  <c r="S36" i="47"/>
  <c r="T36" i="47" s="1"/>
  <c r="S37" i="47"/>
  <c r="T37" i="47" s="1"/>
  <c r="S38" i="47"/>
  <c r="T38" i="47" s="1"/>
  <c r="S39" i="47"/>
  <c r="T39" i="47" s="1"/>
  <c r="S40" i="47"/>
  <c r="T40" i="47" s="1"/>
  <c r="S41" i="47"/>
  <c r="T41" i="47" s="1"/>
  <c r="S42" i="47"/>
  <c r="T42" i="47" s="1"/>
  <c r="S43" i="47"/>
  <c r="T43" i="47" s="1"/>
  <c r="S44" i="47"/>
  <c r="T44" i="47" s="1"/>
  <c r="S45" i="47"/>
  <c r="T45" i="47" s="1"/>
  <c r="S46" i="47"/>
  <c r="T46" i="47" s="1"/>
  <c r="S47" i="47"/>
  <c r="T47" i="47" s="1"/>
  <c r="S48" i="47"/>
  <c r="T48" i="47" s="1"/>
  <c r="S49" i="47"/>
  <c r="T49" i="47" s="1"/>
  <c r="S50" i="47"/>
  <c r="T50" i="47" s="1"/>
  <c r="S51" i="47"/>
  <c r="T51" i="47" s="1"/>
  <c r="S52" i="47"/>
  <c r="T52" i="47" s="1"/>
  <c r="S53" i="47"/>
  <c r="T53" i="47" s="1"/>
  <c r="S54" i="47"/>
  <c r="T54" i="47" s="1"/>
  <c r="S55" i="47"/>
  <c r="T55" i="47" s="1"/>
  <c r="S56" i="47"/>
  <c r="T56" i="47" s="1"/>
  <c r="S57" i="47"/>
  <c r="T57" i="47" s="1"/>
  <c r="S58" i="47"/>
  <c r="T58" i="47" s="1"/>
  <c r="S59" i="47"/>
  <c r="T59" i="47" s="1"/>
  <c r="S60" i="47"/>
  <c r="T60" i="47" s="1"/>
  <c r="S61" i="47"/>
  <c r="T61" i="47" s="1"/>
  <c r="S62" i="47"/>
  <c r="T62" i="47" s="1"/>
  <c r="S63" i="47"/>
  <c r="T63" i="47" s="1"/>
  <c r="S64" i="47"/>
  <c r="T64" i="47" s="1"/>
  <c r="S65" i="47"/>
  <c r="T65" i="47" s="1"/>
  <c r="S66" i="47"/>
  <c r="T66" i="47" s="1"/>
  <c r="S67" i="47"/>
  <c r="T67" i="47" s="1"/>
  <c r="S68" i="47"/>
  <c r="T68" i="47" s="1"/>
  <c r="S69" i="47"/>
  <c r="T69" i="47" s="1"/>
  <c r="S70" i="47"/>
  <c r="T70" i="47" s="1"/>
  <c r="S71" i="47"/>
  <c r="T71" i="47" s="1"/>
  <c r="S72" i="47"/>
  <c r="T72" i="47" s="1"/>
  <c r="S73" i="47"/>
  <c r="T73" i="47" s="1"/>
  <c r="S74" i="47"/>
  <c r="T74" i="47" s="1"/>
  <c r="S75" i="47"/>
  <c r="T75" i="47" s="1"/>
  <c r="S76" i="47"/>
  <c r="T76" i="47" s="1"/>
  <c r="S77" i="47"/>
  <c r="T77" i="47" s="1"/>
  <c r="S78" i="47"/>
  <c r="T78" i="47" s="1"/>
  <c r="S79" i="47"/>
  <c r="T79" i="47" s="1"/>
  <c r="S80" i="47"/>
  <c r="T80" i="47" s="1"/>
  <c r="S81" i="47"/>
  <c r="T81" i="47" s="1"/>
  <c r="S82" i="47"/>
  <c r="T82" i="47" s="1"/>
  <c r="S83" i="47"/>
  <c r="T83" i="47" s="1"/>
  <c r="S84" i="47"/>
  <c r="T84" i="47" s="1"/>
  <c r="S85" i="47"/>
  <c r="T85" i="47" s="1"/>
  <c r="S86" i="47"/>
  <c r="T86" i="47" s="1"/>
  <c r="S87" i="47"/>
  <c r="T87" i="47" s="1"/>
  <c r="S88" i="47"/>
  <c r="T88" i="47" s="1"/>
  <c r="S89" i="47"/>
  <c r="T89" i="47" s="1"/>
  <c r="S90" i="47"/>
  <c r="T90" i="47" s="1"/>
  <c r="S91" i="47"/>
  <c r="T91" i="47" s="1"/>
  <c r="S92" i="47"/>
  <c r="T92" i="47" s="1"/>
  <c r="S93" i="47"/>
  <c r="T93" i="47" s="1"/>
  <c r="S94" i="47"/>
  <c r="T94" i="47" s="1"/>
  <c r="S95" i="47"/>
  <c r="T95" i="47" s="1"/>
  <c r="S96" i="47"/>
  <c r="T96" i="47" s="1"/>
  <c r="S97" i="47"/>
  <c r="T97" i="47" s="1"/>
  <c r="S98" i="47"/>
  <c r="T98" i="47" s="1"/>
  <c r="S99" i="47"/>
  <c r="T99" i="47" s="1"/>
  <c r="S100" i="47"/>
  <c r="T100" i="47" s="1"/>
  <c r="S101" i="47"/>
  <c r="T101" i="47" s="1"/>
  <c r="S102" i="47"/>
  <c r="T102" i="47" s="1"/>
  <c r="S103" i="47"/>
  <c r="T103" i="47" s="1"/>
  <c r="S104" i="47"/>
  <c r="T104" i="47" s="1"/>
  <c r="S105" i="47"/>
  <c r="T105" i="47" s="1"/>
  <c r="S106" i="47"/>
  <c r="T106" i="47" s="1"/>
  <c r="S107" i="47"/>
  <c r="T107" i="47" s="1"/>
  <c r="S108" i="47"/>
  <c r="T108" i="47" s="1"/>
  <c r="S109" i="47"/>
  <c r="T109" i="47" s="1"/>
  <c r="S110" i="47"/>
  <c r="T110" i="47" s="1"/>
  <c r="S111" i="47"/>
  <c r="T111" i="47" s="1"/>
  <c r="S112" i="47"/>
  <c r="T112" i="47" s="1"/>
  <c r="S113" i="47"/>
  <c r="T113" i="47" s="1"/>
  <c r="S114" i="47"/>
  <c r="T114" i="47" s="1"/>
  <c r="S115" i="47"/>
  <c r="T115" i="47" s="1"/>
  <c r="S116" i="47"/>
  <c r="T116" i="47" s="1"/>
  <c r="S117" i="47"/>
  <c r="T117" i="47" s="1"/>
  <c r="S118" i="47"/>
  <c r="T118" i="47" s="1"/>
  <c r="S119" i="47"/>
  <c r="T119" i="47" s="1"/>
  <c r="S120" i="47"/>
  <c r="T120" i="47" s="1"/>
  <c r="S121" i="47"/>
  <c r="T121" i="47" s="1"/>
  <c r="S122" i="47"/>
  <c r="T122" i="47" s="1"/>
  <c r="S123" i="47"/>
  <c r="T123" i="47" s="1"/>
  <c r="S124" i="47"/>
  <c r="T124" i="47" s="1"/>
  <c r="S125" i="47"/>
  <c r="T125" i="47" s="1"/>
  <c r="S126" i="47"/>
  <c r="T126" i="47" s="1"/>
  <c r="S127" i="47"/>
  <c r="T127" i="47" s="1"/>
  <c r="S128" i="47"/>
  <c r="T128" i="47" s="1"/>
  <c r="S129" i="47"/>
  <c r="T129" i="47" s="1"/>
  <c r="S130" i="47"/>
  <c r="T130" i="47" s="1"/>
  <c r="S131" i="47"/>
  <c r="T131" i="47" s="1"/>
  <c r="S132" i="47"/>
  <c r="T132" i="47" s="1"/>
  <c r="S133" i="47"/>
  <c r="T133" i="47" s="1"/>
  <c r="S134" i="47"/>
  <c r="T134" i="47" s="1"/>
  <c r="S135" i="47"/>
  <c r="T135" i="47" s="1"/>
  <c r="S136" i="47"/>
  <c r="T136" i="47" s="1"/>
  <c r="S137" i="47"/>
  <c r="T137" i="47" s="1"/>
  <c r="S138" i="47"/>
  <c r="T138" i="47" s="1"/>
  <c r="S139" i="47"/>
  <c r="T139" i="47" s="1"/>
  <c r="S140" i="47"/>
  <c r="T140" i="47" s="1"/>
  <c r="S141" i="47"/>
  <c r="T141" i="47" s="1"/>
  <c r="S142" i="47"/>
  <c r="T142" i="47" s="1"/>
  <c r="S143" i="47"/>
  <c r="T143" i="47" s="1"/>
  <c r="S144" i="47"/>
  <c r="T144" i="47" s="1"/>
  <c r="S145" i="47"/>
  <c r="T145" i="47" s="1"/>
  <c r="S146" i="47"/>
  <c r="T146" i="47" s="1"/>
  <c r="S147" i="47"/>
  <c r="T147" i="47" s="1"/>
  <c r="S148" i="47"/>
  <c r="T148" i="47" s="1"/>
  <c r="S149" i="47"/>
  <c r="T149" i="47" s="1"/>
  <c r="S150" i="47"/>
  <c r="T150" i="47" s="1"/>
  <c r="S151" i="47"/>
  <c r="T151" i="47" s="1"/>
  <c r="S152" i="47"/>
  <c r="T152" i="47" s="1"/>
  <c r="S153" i="47"/>
  <c r="T153" i="47" s="1"/>
  <c r="S154" i="47"/>
  <c r="T154" i="47" s="1"/>
  <c r="S155" i="47"/>
  <c r="T155" i="47" s="1"/>
  <c r="S156" i="47"/>
  <c r="T156" i="47" s="1"/>
  <c r="S157" i="47"/>
  <c r="T157" i="47" s="1"/>
  <c r="S158" i="47"/>
  <c r="T158" i="47" s="1"/>
  <c r="S159" i="47"/>
  <c r="T159" i="47" s="1"/>
  <c r="S160" i="47"/>
  <c r="T160" i="47" s="1"/>
  <c r="S161" i="47"/>
  <c r="T161" i="47" s="1"/>
  <c r="S162" i="47"/>
  <c r="T162" i="47" s="1"/>
  <c r="S163" i="47"/>
  <c r="T163" i="47" s="1"/>
  <c r="S164" i="47"/>
  <c r="T164" i="47" s="1"/>
  <c r="S165" i="47"/>
  <c r="T165" i="47" s="1"/>
  <c r="S166" i="47"/>
  <c r="T166" i="47" s="1"/>
  <c r="S167" i="47"/>
  <c r="T167" i="47" s="1"/>
  <c r="S168" i="47"/>
  <c r="T168" i="47" s="1"/>
  <c r="S169" i="47"/>
  <c r="T169" i="47" s="1"/>
  <c r="S170" i="47"/>
  <c r="T170" i="47" s="1"/>
  <c r="S171" i="47"/>
  <c r="T171" i="47" s="1"/>
  <c r="S172" i="47"/>
  <c r="T172" i="47" s="1"/>
  <c r="S173" i="47"/>
  <c r="T173" i="47" s="1"/>
  <c r="S174" i="47"/>
  <c r="T174" i="47" s="1"/>
  <c r="S175" i="47"/>
  <c r="T175" i="47" s="1"/>
  <c r="S176" i="47"/>
  <c r="T176" i="47" s="1"/>
  <c r="S177" i="47"/>
  <c r="T177" i="47" s="1"/>
  <c r="S178" i="47"/>
  <c r="T178" i="47" s="1"/>
  <c r="S179" i="47"/>
  <c r="T179" i="47" s="1"/>
  <c r="S180" i="47"/>
  <c r="T180" i="47" s="1"/>
  <c r="S181" i="47"/>
  <c r="T181" i="47" s="1"/>
  <c r="S182" i="47"/>
  <c r="T182" i="47" s="1"/>
  <c r="S183" i="47"/>
  <c r="T183" i="47" s="1"/>
  <c r="S184" i="47"/>
  <c r="T184" i="47" s="1"/>
  <c r="S185" i="47"/>
  <c r="T185" i="47" s="1"/>
  <c r="S186" i="47"/>
  <c r="T186" i="47" s="1"/>
  <c r="S187" i="47"/>
  <c r="T187" i="47" s="1"/>
  <c r="S188" i="47"/>
  <c r="T188" i="47" s="1"/>
  <c r="S189" i="47"/>
  <c r="T189" i="47" s="1"/>
  <c r="S190" i="47"/>
  <c r="T190" i="47" s="1"/>
  <c r="S191" i="47"/>
  <c r="T191" i="47" s="1"/>
  <c r="S192" i="47"/>
  <c r="T192" i="47" s="1"/>
  <c r="S193" i="47"/>
  <c r="T193" i="47" s="1"/>
  <c r="S194" i="47"/>
  <c r="T194" i="47" s="1"/>
  <c r="S195" i="47"/>
  <c r="T195" i="47" s="1"/>
  <c r="S196" i="47"/>
  <c r="T196" i="47" s="1"/>
  <c r="S197" i="47"/>
  <c r="T197" i="47" s="1"/>
  <c r="S198" i="47"/>
  <c r="T198" i="47" s="1"/>
  <c r="S199" i="47"/>
  <c r="T199" i="47" s="1"/>
  <c r="S200" i="47"/>
  <c r="T200" i="47" s="1"/>
  <c r="S201" i="47"/>
  <c r="T201" i="47" s="1"/>
  <c r="S202" i="47"/>
  <c r="T202" i="47" s="1"/>
  <c r="S203" i="47"/>
  <c r="T203" i="47" s="1"/>
  <c r="S204" i="47"/>
  <c r="T204" i="47" s="1"/>
  <c r="S205" i="47"/>
  <c r="T205" i="47" s="1"/>
  <c r="S206" i="47"/>
  <c r="T206" i="47" s="1"/>
  <c r="S207" i="47"/>
  <c r="T207" i="47" s="1"/>
  <c r="S208" i="47"/>
  <c r="T208" i="47" s="1"/>
  <c r="S209" i="47"/>
  <c r="T209" i="47" s="1"/>
  <c r="S210" i="47"/>
  <c r="T210" i="47" s="1"/>
  <c r="S211" i="47"/>
  <c r="T211" i="47" s="1"/>
  <c r="S212" i="47"/>
  <c r="T212" i="47" s="1"/>
  <c r="S213" i="47"/>
  <c r="T213" i="47" s="1"/>
  <c r="S214" i="47"/>
  <c r="T214" i="47" s="1"/>
  <c r="S215" i="47"/>
  <c r="T215" i="47" s="1"/>
  <c r="S216" i="47"/>
  <c r="T216" i="47" s="1"/>
  <c r="S217" i="47"/>
  <c r="T217" i="47" s="1"/>
  <c r="S218" i="47"/>
  <c r="T218" i="47" s="1"/>
  <c r="S219" i="47"/>
  <c r="T219" i="47" s="1"/>
  <c r="S220" i="47"/>
  <c r="T220" i="47" s="1"/>
  <c r="S221" i="47"/>
  <c r="T221" i="47" s="1"/>
  <c r="S222" i="47"/>
  <c r="T222" i="47" s="1"/>
  <c r="S223" i="47"/>
  <c r="T223" i="47" s="1"/>
  <c r="S224" i="47"/>
  <c r="T224" i="47" s="1"/>
  <c r="S225" i="47"/>
  <c r="T225" i="47" s="1"/>
  <c r="S226" i="47"/>
  <c r="T226" i="47" s="1"/>
  <c r="S227" i="47"/>
  <c r="T227" i="47" s="1"/>
  <c r="S228" i="47"/>
  <c r="T228" i="47" s="1"/>
  <c r="S229" i="47"/>
  <c r="T229" i="47" s="1"/>
  <c r="S230" i="47"/>
  <c r="T230" i="47" s="1"/>
  <c r="S231" i="47"/>
  <c r="T231" i="47" s="1"/>
  <c r="S232" i="47"/>
  <c r="T232" i="47" s="1"/>
  <c r="S233" i="47"/>
  <c r="T233" i="47" s="1"/>
  <c r="S234" i="47"/>
  <c r="T234" i="47" s="1"/>
  <c r="S235" i="47"/>
  <c r="T235" i="47" s="1"/>
  <c r="S236" i="47"/>
  <c r="T236" i="47" s="1"/>
  <c r="S237" i="47"/>
  <c r="T237" i="47" s="1"/>
  <c r="S238" i="47"/>
  <c r="T238" i="47" s="1"/>
  <c r="S239" i="47"/>
  <c r="T239" i="47" s="1"/>
  <c r="S240" i="47"/>
  <c r="T240" i="47" s="1"/>
  <c r="S241" i="47"/>
  <c r="T241" i="47" s="1"/>
  <c r="S242" i="47"/>
  <c r="T242" i="47" s="1"/>
  <c r="S243" i="47"/>
  <c r="T243" i="47" s="1"/>
  <c r="S244" i="47"/>
  <c r="T244" i="47" s="1"/>
  <c r="S245" i="47"/>
  <c r="T245" i="47" s="1"/>
  <c r="S246" i="47"/>
  <c r="T246" i="47" s="1"/>
  <c r="S247" i="47"/>
  <c r="T247" i="47" s="1"/>
  <c r="S248" i="47"/>
  <c r="T248" i="47" s="1"/>
  <c r="S249" i="47"/>
  <c r="T249" i="47" s="1"/>
  <c r="S250" i="47"/>
  <c r="T250" i="47" s="1"/>
  <c r="S251" i="47"/>
  <c r="T251" i="47" s="1"/>
  <c r="S252" i="47"/>
  <c r="T252" i="47" s="1"/>
  <c r="S253" i="47"/>
  <c r="T253" i="47" s="1"/>
  <c r="S254" i="47"/>
  <c r="T254" i="47" s="1"/>
  <c r="S255" i="47"/>
  <c r="T255" i="47" s="1"/>
  <c r="S256" i="47"/>
  <c r="T256" i="47" s="1"/>
  <c r="S257" i="47"/>
  <c r="T257" i="47" s="1"/>
  <c r="S258" i="47"/>
  <c r="T258" i="47" s="1"/>
  <c r="S259" i="47"/>
  <c r="T259" i="47" s="1"/>
  <c r="S260" i="47"/>
  <c r="T260" i="47" s="1"/>
  <c r="S261" i="47"/>
  <c r="T261" i="47" s="1"/>
  <c r="S262" i="47"/>
  <c r="T262" i="47" s="1"/>
  <c r="S263" i="47"/>
  <c r="T263" i="47" s="1"/>
  <c r="S264" i="47"/>
  <c r="T264" i="47" s="1"/>
  <c r="S265" i="47"/>
  <c r="T265" i="47" s="1"/>
  <c r="S266" i="47"/>
  <c r="T266" i="47" s="1"/>
  <c r="S267" i="47"/>
  <c r="T267" i="47" s="1"/>
  <c r="S268" i="47"/>
  <c r="T268" i="47" s="1"/>
  <c r="S269" i="47"/>
  <c r="T269" i="47" s="1"/>
  <c r="S270" i="47"/>
  <c r="T270" i="47" s="1"/>
  <c r="S271" i="47"/>
  <c r="T271" i="47" s="1"/>
  <c r="S272" i="47"/>
  <c r="T272" i="47" s="1"/>
  <c r="S273" i="47"/>
  <c r="T273" i="47" s="1"/>
  <c r="S274" i="47"/>
  <c r="T274" i="47" s="1"/>
  <c r="S275" i="47"/>
  <c r="T275" i="47" s="1"/>
  <c r="S276" i="47"/>
  <c r="T276" i="47" s="1"/>
  <c r="S277" i="47"/>
  <c r="T277" i="47" s="1"/>
  <c r="S278" i="47"/>
  <c r="T278" i="47" s="1"/>
  <c r="S279" i="47"/>
  <c r="T279" i="47" s="1"/>
  <c r="S280" i="47"/>
  <c r="T280" i="47" s="1"/>
  <c r="S281" i="47"/>
  <c r="T281" i="47" s="1"/>
  <c r="S282" i="47"/>
  <c r="T282" i="47" s="1"/>
  <c r="S283" i="47"/>
  <c r="T283" i="47" s="1"/>
  <c r="S284" i="47"/>
  <c r="T284" i="47" s="1"/>
  <c r="S285" i="47"/>
  <c r="T285" i="47" s="1"/>
  <c r="S286" i="47"/>
  <c r="T286" i="47" s="1"/>
  <c r="S287" i="47"/>
  <c r="T287" i="47" s="1"/>
  <c r="S288" i="47"/>
  <c r="T288" i="47" s="1"/>
  <c r="S289" i="47"/>
  <c r="T289" i="47" s="1"/>
  <c r="S290" i="47"/>
  <c r="T290" i="47" s="1"/>
  <c r="S291" i="47"/>
  <c r="T291" i="47" s="1"/>
  <c r="S292" i="47"/>
  <c r="T292" i="47" s="1"/>
  <c r="S293" i="47"/>
  <c r="T293" i="47" s="1"/>
  <c r="S294" i="47"/>
  <c r="T294" i="47" s="1"/>
  <c r="S295" i="47"/>
  <c r="T295" i="47" s="1"/>
  <c r="S296" i="47"/>
  <c r="T296" i="47" s="1"/>
  <c r="S297" i="47"/>
  <c r="T297" i="47" s="1"/>
  <c r="S298" i="47"/>
  <c r="T298" i="47" s="1"/>
  <c r="S299" i="47"/>
  <c r="T299" i="47" s="1"/>
  <c r="S300" i="47"/>
  <c r="T300" i="47" s="1"/>
  <c r="S301" i="47"/>
  <c r="T301" i="47" s="1"/>
  <c r="S302" i="47"/>
  <c r="T302" i="47" s="1"/>
  <c r="S303" i="47"/>
  <c r="T303" i="47" s="1"/>
  <c r="S304" i="47"/>
  <c r="T304" i="47" s="1"/>
  <c r="S305" i="47"/>
  <c r="T305" i="47" s="1"/>
  <c r="S306" i="47"/>
  <c r="T306" i="47" s="1"/>
  <c r="S307" i="47"/>
  <c r="T307" i="47" s="1"/>
  <c r="S308" i="47"/>
  <c r="T308" i="47" s="1"/>
  <c r="S309" i="47"/>
  <c r="T309" i="47" s="1"/>
  <c r="S310" i="47"/>
  <c r="T310" i="47" s="1"/>
  <c r="S311" i="47"/>
  <c r="T311" i="47" s="1"/>
  <c r="S312" i="47"/>
  <c r="T312" i="47" s="1"/>
  <c r="S313" i="47"/>
  <c r="T313" i="47" s="1"/>
  <c r="S314" i="47"/>
  <c r="T314" i="47" s="1"/>
  <c r="S315" i="47"/>
  <c r="T315" i="47" s="1"/>
  <c r="S316" i="47"/>
  <c r="T316" i="47" s="1"/>
  <c r="S317" i="47"/>
  <c r="T317" i="47" s="1"/>
  <c r="S318" i="47"/>
  <c r="T318" i="47" s="1"/>
  <c r="S319" i="47"/>
  <c r="T319" i="47" s="1"/>
  <c r="S320" i="47"/>
  <c r="T320" i="47" s="1"/>
  <c r="S321" i="47"/>
  <c r="T321" i="47" s="1"/>
  <c r="S322" i="47"/>
  <c r="T322" i="47" s="1"/>
  <c r="S323" i="47"/>
  <c r="T323" i="47" s="1"/>
  <c r="S324" i="47"/>
  <c r="T324" i="47" s="1"/>
  <c r="S325" i="47"/>
  <c r="T325" i="47" s="1"/>
  <c r="S326" i="47"/>
  <c r="T326" i="47" s="1"/>
  <c r="S327" i="47"/>
  <c r="T327" i="47" s="1"/>
  <c r="S328" i="47"/>
  <c r="T328" i="47" s="1"/>
  <c r="S329" i="47"/>
  <c r="T329" i="47" s="1"/>
  <c r="S330" i="47"/>
  <c r="T330" i="47" s="1"/>
  <c r="S331" i="47"/>
  <c r="T331" i="47" s="1"/>
  <c r="S332" i="47"/>
  <c r="T332" i="47" s="1"/>
  <c r="S333" i="47"/>
  <c r="T333" i="47" s="1"/>
  <c r="S334" i="47"/>
  <c r="T334" i="47" s="1"/>
  <c r="S335" i="47"/>
  <c r="T335" i="47" s="1"/>
  <c r="S336" i="47"/>
  <c r="T336" i="47" s="1"/>
  <c r="S337" i="47"/>
  <c r="T337" i="47" s="1"/>
  <c r="S338" i="47"/>
  <c r="T338" i="47" s="1"/>
  <c r="S339" i="47"/>
  <c r="T339" i="47" s="1"/>
  <c r="S340" i="47"/>
  <c r="T340" i="47" s="1"/>
  <c r="S341" i="47"/>
  <c r="T341" i="47" s="1"/>
  <c r="S342" i="47"/>
  <c r="T342" i="47" s="1"/>
  <c r="S343" i="47"/>
  <c r="T343" i="47" s="1"/>
  <c r="S344" i="47"/>
  <c r="T344" i="47" s="1"/>
  <c r="S345" i="47"/>
  <c r="T345" i="47" s="1"/>
  <c r="S346" i="47"/>
  <c r="T346" i="47" s="1"/>
  <c r="S347" i="47"/>
  <c r="T347" i="47" s="1"/>
  <c r="S348" i="47"/>
  <c r="T348" i="47" s="1"/>
  <c r="S349" i="47"/>
  <c r="T349" i="47" s="1"/>
  <c r="S350" i="47"/>
  <c r="T350" i="47" s="1"/>
  <c r="S351" i="47"/>
  <c r="T351" i="47" s="1"/>
  <c r="S352" i="47"/>
  <c r="T352" i="47" s="1"/>
  <c r="S353" i="47"/>
  <c r="T353" i="47" s="1"/>
  <c r="S354" i="47"/>
  <c r="T354" i="47" s="1"/>
  <c r="S355" i="47"/>
  <c r="T355" i="47" s="1"/>
  <c r="S356" i="47"/>
  <c r="T356" i="47" s="1"/>
  <c r="S357" i="47"/>
  <c r="T357" i="47" s="1"/>
  <c r="S358" i="47"/>
  <c r="T358" i="47" s="1"/>
  <c r="S359" i="47"/>
  <c r="T359" i="47" s="1"/>
  <c r="S360" i="47"/>
  <c r="T360" i="47" s="1"/>
  <c r="S361" i="47"/>
  <c r="T361" i="47" s="1"/>
  <c r="S362" i="47"/>
  <c r="T362" i="47" s="1"/>
  <c r="S363" i="47"/>
  <c r="T363" i="47" s="1"/>
  <c r="S364" i="47"/>
  <c r="T364" i="47" s="1"/>
  <c r="S365" i="47"/>
  <c r="T365" i="47" s="1"/>
  <c r="S366" i="47"/>
  <c r="T366" i="47" s="1"/>
  <c r="S367" i="47"/>
  <c r="T367" i="47" s="1"/>
  <c r="S368" i="47"/>
  <c r="T368" i="47" s="1"/>
  <c r="S369" i="47"/>
  <c r="T369" i="47" s="1"/>
</calcChain>
</file>

<file path=xl/sharedStrings.xml><?xml version="1.0" encoding="utf-8"?>
<sst xmlns="http://schemas.openxmlformats.org/spreadsheetml/2006/main" count="25001" uniqueCount="1105">
  <si>
    <t>Building</t>
  </si>
  <si>
    <t>Office</t>
  </si>
  <si>
    <t>Provider</t>
  </si>
  <si>
    <t>Device</t>
  </si>
  <si>
    <t>Shared?</t>
  </si>
  <si>
    <t>EE Number</t>
  </si>
  <si>
    <t>Alias</t>
  </si>
  <si>
    <t>ext in office</t>
  </si>
  <si>
    <t>IP Address</t>
  </si>
  <si>
    <t>Comments</t>
  </si>
  <si>
    <t>113B</t>
  </si>
  <si>
    <t xml:space="preserve">Robert Jusino                                               Facility Telehealth               Co ordinator </t>
  </si>
  <si>
    <t xml:space="preserve">Samsung Monitor /web cam </t>
  </si>
  <si>
    <t>no</t>
  </si>
  <si>
    <t>EE 85263</t>
  </si>
  <si>
    <r>
      <rPr>
        <u/>
        <sz val="10"/>
        <color theme="10"/>
        <rFont val="Arial"/>
        <family val="2"/>
      </rPr>
      <t>robert.jusino@evn.va.gov</t>
    </r>
  </si>
  <si>
    <t>X22438</t>
  </si>
  <si>
    <t>NA</t>
  </si>
  <si>
    <t>Equipment  Not on Tss</t>
  </si>
  <si>
    <t>Updated 8/13/2015 BW</t>
  </si>
  <si>
    <t xml:space="preserve">Telehealth Training Center </t>
  </si>
  <si>
    <t>Global Cart</t>
  </si>
  <si>
    <t>yes</t>
  </si>
  <si>
    <t>EE 76587</t>
  </si>
  <si>
    <t>9520292</t>
  </si>
  <si>
    <t>10.101.8.4</t>
  </si>
  <si>
    <t>Tandberg 1000</t>
  </si>
  <si>
    <t>EE 87872</t>
  </si>
  <si>
    <t>9504608</t>
  </si>
  <si>
    <t>?</t>
  </si>
  <si>
    <t>Not on TSS</t>
  </si>
  <si>
    <t>Polycom HDX 4000 / Codec</t>
  </si>
  <si>
    <t>EE 71841/EE71967</t>
  </si>
  <si>
    <t>9520313</t>
  </si>
  <si>
    <t>10.101.8.142</t>
  </si>
  <si>
    <t>EX90 (Multipresence)</t>
  </si>
  <si>
    <t>EE 77238</t>
  </si>
  <si>
    <t>9520299</t>
  </si>
  <si>
    <t>X22348</t>
  </si>
  <si>
    <t>10.101.8.140</t>
  </si>
  <si>
    <t>115C</t>
  </si>
  <si>
    <t>Zachary Jones, LPN, Tct</t>
  </si>
  <si>
    <t>Samsung Monitor and web cam</t>
  </si>
  <si>
    <t xml:space="preserve">EE 85260 </t>
  </si>
  <si>
    <t>Zachary.jones@evn.va.gov</t>
  </si>
  <si>
    <t>X20019</t>
  </si>
  <si>
    <t xml:space="preserve">yes </t>
  </si>
  <si>
    <t>EE 71839/EE 71965</t>
  </si>
  <si>
    <t>9520315</t>
  </si>
  <si>
    <t>x20019 or x20020 orx22438</t>
  </si>
  <si>
    <t xml:space="preserve">  10.101.8.224</t>
  </si>
  <si>
    <t>117C</t>
  </si>
  <si>
    <t xml:space="preserve">Barbara Wishart </t>
  </si>
  <si>
    <t>Samsung Monitor  and web cam</t>
  </si>
  <si>
    <t>EE 85261</t>
  </si>
  <si>
    <t>Barbara.wishart@evn.va.gov</t>
  </si>
  <si>
    <t>x20020                             work cell 708-426-3994</t>
  </si>
  <si>
    <t>159B*</t>
  </si>
  <si>
    <t>Lisa Korpolinski/Move</t>
  </si>
  <si>
    <t>No</t>
  </si>
  <si>
    <t>EE 85270</t>
  </si>
  <si>
    <t>lisa.korpolinski@evn.va.gov</t>
  </si>
  <si>
    <t>x27190</t>
  </si>
  <si>
    <t xml:space="preserve">Nutrition </t>
  </si>
  <si>
    <t>Gundy  Mitcheff, 708-988-4048</t>
  </si>
  <si>
    <t xml:space="preserve">Samsung Monitor with web cam </t>
  </si>
  <si>
    <t>EE 85267</t>
  </si>
  <si>
    <t>megan.mitcheff@evn.va.gov</t>
  </si>
  <si>
    <t>x20720</t>
  </si>
  <si>
    <t>233F*</t>
  </si>
  <si>
    <t xml:space="preserve">Wendy Yim </t>
  </si>
  <si>
    <t xml:space="preserve">EX90 </t>
  </si>
  <si>
    <t>EE 96280*</t>
  </si>
  <si>
    <t>9504657</t>
  </si>
  <si>
    <t>x22822</t>
  </si>
  <si>
    <t>10.101.8.9</t>
  </si>
  <si>
    <t xml:space="preserve">Mental Health </t>
  </si>
  <si>
    <t>246G*</t>
  </si>
  <si>
    <t xml:space="preserve">                                                  NUTRITION MOVE Dietieicans, Cassie Castillo-x23041,708-988-4005                     
</t>
  </si>
  <si>
    <t>EE75144</t>
  </si>
  <si>
    <t>708-202-5904</t>
  </si>
  <si>
    <t>251D*</t>
  </si>
  <si>
    <t xml:space="preserve">Dr. Sahirene Nourbash, Primary Care Telehealth </t>
  </si>
  <si>
    <t>Polycom / Codec</t>
  </si>
  <si>
    <t>EE 71847</t>
  </si>
  <si>
    <t>9504633</t>
  </si>
  <si>
    <t>X22707</t>
  </si>
  <si>
    <t>10.101.8.1</t>
  </si>
  <si>
    <t xml:space="preserve">Primary Care </t>
  </si>
  <si>
    <t xml:space="preserve">Laptop </t>
  </si>
  <si>
    <t>EE86423</t>
  </si>
  <si>
    <t xml:space="preserve">NA </t>
  </si>
  <si>
    <t xml:space="preserve">IP Steth receiver </t>
  </si>
  <si>
    <t xml:space="preserve">No </t>
  </si>
  <si>
    <t>EE72084</t>
  </si>
  <si>
    <t>E255B*</t>
  </si>
  <si>
    <t xml:space="preserve">Dr. Kartik Shah , Teleprimary Care Telehealth </t>
  </si>
  <si>
    <t xml:space="preserve">HDX 4000 Codec EE 71953      Polycom monitor EE71827                                  IP Stethoscope receiver EE71070            </t>
  </si>
  <si>
    <t>EE71953</t>
  </si>
  <si>
    <t>9504628</t>
  </si>
  <si>
    <t>X24345</t>
  </si>
  <si>
    <t>10.101.8.19</t>
  </si>
  <si>
    <t>347E*</t>
  </si>
  <si>
    <t xml:space="preserve">CURRENTLY UNDER CONSTRUCTION Move/Nutrition </t>
  </si>
  <si>
    <t xml:space="preserve">Yes </t>
  </si>
  <si>
    <t xml:space="preserve">No EE numbers on Equipment/Owned by Education Department </t>
  </si>
  <si>
    <t>10.101.8.226</t>
  </si>
  <si>
    <r>
      <t>shared/group rm/seats 150 comfortably/Need to check technology in this room /Plus room is owned by Education Dept /l</t>
    </r>
    <r>
      <rPr>
        <b/>
        <sz val="11"/>
        <color theme="1"/>
        <rFont val="Calibri"/>
        <family val="2"/>
        <scheme val="minor"/>
      </rPr>
      <t>isted on TSS -Room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based Video Conferenceing System</t>
    </r>
  </si>
  <si>
    <t>352E*</t>
  </si>
  <si>
    <t xml:space="preserve">Kathy Ambrose/Cell 708-355-0013 Nutrition </t>
  </si>
  <si>
    <t>Polycom EE 71829 Codec EE71955</t>
  </si>
  <si>
    <t>x22014</t>
  </si>
  <si>
    <t>10.101.8.161</t>
  </si>
  <si>
    <t xml:space="preserve"> Look at moving this Polycom to Bldg1/G246 for use with Move/replace it with Tandberg in Bld1/G246. Dieticians like to have a monitor here for back up.</t>
  </si>
  <si>
    <t>439F</t>
  </si>
  <si>
    <t xml:space="preserve">Clinic Infomatics Training Room </t>
  </si>
  <si>
    <t>6(each)- Samsung Monitor/web cam</t>
  </si>
  <si>
    <t xml:space="preserve">1.EE85266                  2. EE85275                    3.EE 85258                      4. EE85274              5. EE 85265                 6. EE85269  </t>
  </si>
  <si>
    <t>440F</t>
  </si>
  <si>
    <t xml:space="preserve">Michael Schwartz                                                                           Chief Clinical Informatics                                                    </t>
  </si>
  <si>
    <t xml:space="preserve">EX 90 </t>
  </si>
  <si>
    <t>EE80718</t>
  </si>
  <si>
    <t>X22759</t>
  </si>
  <si>
    <t>10.101.8.197</t>
  </si>
  <si>
    <t>Rubin Holandes</t>
  </si>
  <si>
    <t>Sansung monitor/web cam</t>
  </si>
  <si>
    <t>EE85278</t>
  </si>
  <si>
    <t>Ruben.Holandes@evn.va.gov</t>
  </si>
  <si>
    <t>x24290</t>
  </si>
  <si>
    <t>Rommel Pardo</t>
  </si>
  <si>
    <t xml:space="preserve">Samsung Monitor/Web cam </t>
  </si>
  <si>
    <t>EE 85281</t>
  </si>
  <si>
    <t xml:space="preserve">Rommel.Pardo@evn.va.gov </t>
  </si>
  <si>
    <t>x27244</t>
  </si>
  <si>
    <t>471E ??????*</t>
  </si>
  <si>
    <r>
      <t xml:space="preserve"> NUTRITION MOVE!-- First and </t>
    </r>
    <r>
      <rPr>
        <b/>
        <sz val="11"/>
        <color theme="1"/>
        <rFont val="Calibri"/>
        <family val="2"/>
        <scheme val="minor"/>
      </rPr>
      <t>Third</t>
    </r>
    <r>
      <rPr>
        <sz val="11"/>
        <color theme="1"/>
        <rFont val="Calibri"/>
        <family val="2"/>
        <scheme val="minor"/>
      </rPr>
      <t xml:space="preserve"> Tuesdays of the month(9am-10am) to Elgin
MOVE!-- Third Tuesdays of the month(9am-10am) to Oak Lawn and Aurora
</t>
    </r>
  </si>
  <si>
    <t>shared/group room/seats 150 comfortably/Monitor have been down for 1 year  Need to check Technology in this room to document/plus this is owned by education dept.</t>
  </si>
  <si>
    <t>9206172</t>
  </si>
  <si>
    <r>
      <t>Owned by Education Dept/Contact Mike Wass x20049, Rm has 2 42 inch monitor and projectors. They currently  working. /</t>
    </r>
    <r>
      <rPr>
        <b/>
        <sz val="10"/>
        <color theme="1"/>
        <rFont val="Arial"/>
        <family val="2"/>
      </rPr>
      <t>Listed under Room Based Video Conferencin</t>
    </r>
    <r>
      <rPr>
        <sz val="10"/>
        <color theme="1"/>
        <rFont val="Arial"/>
        <family val="2"/>
      </rPr>
      <t xml:space="preserve">g </t>
    </r>
    <r>
      <rPr>
        <b/>
        <sz val="10"/>
        <color theme="1"/>
        <rFont val="Arial"/>
        <family val="2"/>
      </rPr>
      <t>System/Has teleconferencing ability which could be combined with Lync meeting.</t>
    </r>
  </si>
  <si>
    <t>MHSL</t>
  </si>
  <si>
    <t>MOVE!</t>
  </si>
  <si>
    <t>Diabetes</t>
  </si>
  <si>
    <t>To Update Please Contact</t>
  </si>
  <si>
    <t>VISN Troubleshooting:</t>
  </si>
  <si>
    <t>Pharmacy</t>
  </si>
  <si>
    <t>Polytrauma</t>
  </si>
  <si>
    <t>tiffany.richmond@va.gov</t>
  </si>
  <si>
    <t>Jim Wienke x17167</t>
  </si>
  <si>
    <t>Speech &amp; Audiology</t>
  </si>
  <si>
    <t>GI Prep</t>
  </si>
  <si>
    <t>Dietetics</t>
  </si>
  <si>
    <t>NOT AVAILABLE</t>
  </si>
  <si>
    <t>228, Rm 1023 GROUP ROOM  V12.HIN.TMH.b228.r1023.MHSL Cisco TelePresence SX20  (IP: 9504614   )  UPDATED 4/17/17 BKW</t>
  </si>
  <si>
    <t>Monday</t>
  </si>
  <si>
    <t>Tuesday</t>
  </si>
  <si>
    <t>Wednesday</t>
  </si>
  <si>
    <t>Thursday</t>
  </si>
  <si>
    <t>Friday</t>
  </si>
  <si>
    <t>228, Rm 1064  V12.HIN.AUD.B228Rm1064 (IP: 9520291  ) AUDIOLOGY UPDATED 4/17/17 BKW</t>
  </si>
  <si>
    <t>228, Rm 1070B  V12.HIN.TMD.b228.R1070b   EX 90    (IP: 9504658   )  UPDATED 4/17/17 BKW</t>
  </si>
  <si>
    <t>228, Rm 1079C Intake Center Telehealth Room (IP: 9504576)</t>
  </si>
  <si>
    <t>Intake* / Aurora 1</t>
  </si>
  <si>
    <t>Mielselman/Elgin2</t>
  </si>
  <si>
    <t>Mieselman/Aurora 1</t>
  </si>
  <si>
    <t>Brown/Mellin  Aurora</t>
  </si>
  <si>
    <t>Andrusyna/Elgin 1</t>
  </si>
  <si>
    <t>Intake/Joliet 2</t>
  </si>
  <si>
    <t>Kuk/La Salle 1</t>
  </si>
  <si>
    <t>* 2nd/4th Mon</t>
  </si>
  <si>
    <t>228, Rm 1079D Intake Center Telehealth Room (IP: 9504607)</t>
  </si>
  <si>
    <t>Intake/Kankakee 1</t>
  </si>
  <si>
    <t>Fitzgerald/La Salle 2</t>
  </si>
  <si>
    <t>Intake Center Brief/Oak Lawn 1</t>
  </si>
  <si>
    <t>Fitzgerald/Aurora 1</t>
  </si>
  <si>
    <t>Fitzgerald/Joliet 2</t>
  </si>
  <si>
    <t>Intake Center/Kankakee 1</t>
  </si>
  <si>
    <t>228, Rm 1081 CL Provider Office (IP: 9504601)</t>
  </si>
  <si>
    <t>228, Rm 1083A Intake Center Provider Office (IP: 9504598)</t>
  </si>
  <si>
    <t>Dannevik/Oak Lawn 1</t>
  </si>
  <si>
    <t>Dannevik/Kankakee 2</t>
  </si>
  <si>
    <t>Dannevik/La Salle 2</t>
  </si>
  <si>
    <t>228, Rm 1086C Intake Center Provider Office (IP: 9504619)</t>
  </si>
  <si>
    <t>Poddig/Elgin 1</t>
  </si>
  <si>
    <t>Poddig/Joliet 2</t>
  </si>
  <si>
    <t>Poddig/La Salle 2</t>
  </si>
  <si>
    <t>Poddig/Aurora 1</t>
  </si>
  <si>
    <t>228, Rm. 3000B - MHSL Telepsych Office (IP: 9504609) - changes to this schedule after 4016/4017 open</t>
  </si>
  <si>
    <t>Ghadiali / Oak Lawn 4</t>
  </si>
  <si>
    <t>Ghadiali / MHC</t>
  </si>
  <si>
    <t>Ghadiali /  PG4 Supervision</t>
  </si>
  <si>
    <t>228, Rm. 3000C - MHSL Telepsych Office (IP: 9504597)  This machine is awaiting relocation. Previous providers have moved to room 3086.</t>
  </si>
  <si>
    <t>228, Rm. 3006 - Staff Office (IP: ????)  - Will be used once IP is established</t>
  </si>
  <si>
    <t>Mayberry/Aurora  3</t>
  </si>
  <si>
    <t>Mayberry/Aurora  2</t>
  </si>
  <si>
    <t>Mayberry/Aurora  1</t>
  </si>
  <si>
    <t>228, Rm. 3014 - Staff Office (IP: 9504605)</t>
  </si>
  <si>
    <t>Blacconiere/Joliet 1</t>
  </si>
  <si>
    <t>228, Rm. 3017   V12.HIN.b228.r3017 - Staff Office  EX60  (IP: 9520301 ) UPDATED 4/17/17 BKW</t>
  </si>
  <si>
    <t>Raley/Oak Lawn 2</t>
  </si>
  <si>
    <t>Raley/Oak Lawn 1</t>
  </si>
  <si>
    <t>228, Rm 3027  GROUP ROOM    V12.HIN.TMD.B228Rm3027  Cisco TelePresence SX20  (IP: 9520319 ) UPDATED 4/17/17 BKW</t>
  </si>
  <si>
    <t>228, Rm. 3061  - Staff Office</t>
  </si>
  <si>
    <t>Alvi - Not Tele</t>
  </si>
  <si>
    <t>Mulligan- Not Tele</t>
  </si>
  <si>
    <t>Savant - Not Tele</t>
  </si>
  <si>
    <t>Brodericck/Kankakee 2</t>
  </si>
  <si>
    <t>228, Rm 3065  GROUP ROOM    V12.HIN.TMD.b228.r3065  Cisco TelePresence SX20  (IP: 9520290 ) UPDATED 4/17/17</t>
  </si>
  <si>
    <t>228, Rm. 3068 - Staff Office (IP: 9504586)</t>
  </si>
  <si>
    <t>Hanrahan / Oak Lawn 2</t>
  </si>
  <si>
    <t>228, Rm. 3070 - Staff Office (IP: 9504606)</t>
  </si>
  <si>
    <t>Lynn/Kankakee 2</t>
  </si>
  <si>
    <t>Lynn/Kankakee 2 - Consult</t>
  </si>
  <si>
    <t>228, Rm. 3071 - Desai moving to 3000C in 7/2011 (IP: 9504583)</t>
  </si>
  <si>
    <t>Desai/La Salle 1</t>
  </si>
  <si>
    <t>Desai/La Salle 1 - Consult</t>
  </si>
  <si>
    <t>Desai/Joliet 2</t>
  </si>
  <si>
    <t>Desai/Joliet 2 - Consult</t>
  </si>
  <si>
    <t>Desai/Joliet 2- Consult</t>
  </si>
  <si>
    <t>228, Rm. 3073 - Staff Office (IP: 9504596)</t>
  </si>
  <si>
    <t>Alvi</t>
  </si>
  <si>
    <t>228, Rm. 3075 - Staff Office (IP: 9504599)</t>
  </si>
  <si>
    <t>Zoko/La Salle 1</t>
  </si>
  <si>
    <t>Zoko/La Salle 3</t>
  </si>
  <si>
    <t>228, Rm. 3078 - Staff Office (IP: 9504608)</t>
  </si>
  <si>
    <t>Fleisher/Elgin 1 *</t>
  </si>
  <si>
    <t>Fleisher/Elgin 1</t>
  </si>
  <si>
    <t>Fleisher/Elgin 2</t>
  </si>
  <si>
    <t>Fleisher/Elgin 2 *</t>
  </si>
  <si>
    <t>* 1st/3rd/5th Tues</t>
  </si>
  <si>
    <t>* 2nd Wed</t>
  </si>
  <si>
    <t>M. Cherian/La Salle 4</t>
  </si>
  <si>
    <t>M. Cherian/Joliet 4</t>
  </si>
  <si>
    <t>228, Rm. 3091B - Staff Office (IP: 9504624)</t>
  </si>
  <si>
    <t>Jones-Martinez/Joliet 2</t>
  </si>
  <si>
    <t>Jones-Martinez/Joliet 2 - Consult</t>
  </si>
  <si>
    <t>Jones-Martinez/Joliet 1- Consult</t>
  </si>
  <si>
    <t>Jones-Martinez/Joliet 1</t>
  </si>
  <si>
    <t>228, Rm. 3091D - Staff Office (IP:???)</t>
  </si>
  <si>
    <t>Lassen Con/Oak Lawn 2</t>
  </si>
  <si>
    <t>Lassen /Oak Lawn 1</t>
  </si>
  <si>
    <t>Lassen Con/Oak Lawn 1</t>
  </si>
  <si>
    <t>Lassen /Oak Lawn 2</t>
  </si>
  <si>
    <t>228, Rm. 3092 - Staff Office (IP: 9504595)</t>
  </si>
  <si>
    <t>N. Collins/La Salle 1 (until 2/13/12)</t>
  </si>
  <si>
    <t>N. Collins/Joliet 1</t>
  </si>
  <si>
    <t>N. Collins/Elgin 1</t>
  </si>
  <si>
    <t>N. Collins/La Salle 1 * (until 2/13/12)</t>
  </si>
  <si>
    <t>N. Collins/Elgin 1 - Consult*</t>
  </si>
  <si>
    <t>* 1st/4th/5th Wed</t>
  </si>
  <si>
    <t>*1st/3rd</t>
  </si>
  <si>
    <t>228, Rm. 4016 - MHSL Staff Office (IP: 9500303)</t>
  </si>
  <si>
    <t>Desai/Elgin 1</t>
  </si>
  <si>
    <t>Desai / Joliet 2</t>
  </si>
  <si>
    <t>Desai / Elgin 2</t>
  </si>
  <si>
    <t>228, Rm. 4017 - MHSL Staff Office (IP: 9520304)</t>
  </si>
  <si>
    <t>Fraum / Kankakee 4</t>
  </si>
  <si>
    <t>Lim/Kankakee 1</t>
  </si>
  <si>
    <t>Lim/Kankakee 1 - Consult</t>
  </si>
  <si>
    <t>Lim/Kankakee 1 ** - Consult</t>
  </si>
  <si>
    <t>** 4th Wed</t>
  </si>
  <si>
    <t>228, Rm. 4033 - Staff Office (IP: 9504600)</t>
  </si>
  <si>
    <t>Cuaresma/Oak Lawn 1</t>
  </si>
  <si>
    <t>228, Rm B4034 GROUP  ROOM  V12.HIN.TMH.B228.Rm4034  Cisco TelePresence SX20 (IP: 9504578 ) UPDATED D4/17/17</t>
  </si>
  <si>
    <t>228, Rm. 4036A - TSP Research (IP: 9504582)</t>
  </si>
  <si>
    <t>228, Rm. 4037 - Provider Office (IP: 9504594)</t>
  </si>
  <si>
    <t>228, Rm. 4038 - Provider Office (IP: 9504593)</t>
  </si>
  <si>
    <t>228, Rm. 4089 - Staff Office (IP: 9504602)</t>
  </si>
  <si>
    <t>Stolarczyk/Joliet 1</t>
  </si>
  <si>
    <t>Stolarczyk/Aurora 1</t>
  </si>
  <si>
    <t>Stolarczyk/Oak Lawn 1</t>
  </si>
  <si>
    <t>Stolarczyk/LaSalle 1</t>
  </si>
  <si>
    <t>Stolarczyk/Kankakee 2</t>
  </si>
  <si>
    <t>Bldg 13 - Staff Office (IP: 9504623)</t>
  </si>
  <si>
    <t>Catalanotte/Joliet 1</t>
  </si>
  <si>
    <t>Catalanotte/Elgin 1</t>
  </si>
  <si>
    <t>Catalanotte/Kankakee 1</t>
  </si>
  <si>
    <t>Catalanotte/Aurora 1</t>
  </si>
  <si>
    <t>228, Rm B1128 (IP: 9504629)</t>
  </si>
  <si>
    <t>228, Rm B5013   V12.HIN.RHB.B228Rm5013 TANDBERG Edge 95MXP (IP:9520327  ) UPDATED 4/17/17 BKW</t>
  </si>
  <si>
    <t>200, Rm 1358 (IP: 9504622)</t>
  </si>
  <si>
    <t>GI Prep - Joliet 2</t>
  </si>
  <si>
    <t>GI Prep - Oak Lawn 1 **</t>
  </si>
  <si>
    <t>GI Prep LaSalle 2* / Elgin 2 **</t>
  </si>
  <si>
    <t>GI Prep - Aurora 3 *</t>
  </si>
  <si>
    <t>GI Prep - Kankakee 1 *</t>
  </si>
  <si>
    <t>* 1st/3rd      ** 2nd/4th</t>
  </si>
  <si>
    <t xml:space="preserve">* 1st/3rd </t>
  </si>
  <si>
    <t>1, Rm E219</t>
  </si>
  <si>
    <t>Polytrauma/La Salle 1 *</t>
  </si>
  <si>
    <t>* 3rd/4th</t>
  </si>
  <si>
    <t>1, Rm E352 (IP: 9504631)</t>
  </si>
  <si>
    <t>Dietetics/LaSalle 3 **</t>
  </si>
  <si>
    <t>Dietetics/Kankakee 3*</t>
  </si>
  <si>
    <t>Kankakee 2 --&gt; MOVE Dietician */ MOVE Intro ** / MOVE MD *** / MOVE Psychology *** / MOVE SW *** &amp;  La Salle 3 --&gt; MOVE Intro **</t>
  </si>
  <si>
    <t>Dietetics/Elgin 1 *</t>
  </si>
  <si>
    <t>* 1st Tues/ ** 2nd Tues/ *** 3rd Tues</t>
  </si>
  <si>
    <t>* 3rd/4th/5th; ** 2nd/4th</t>
  </si>
  <si>
    <t>* 3rd Thurs</t>
  </si>
  <si>
    <t xml:space="preserve">EDWARD HINES VA BUILDING 200  3rd Floor TELEHEALTH </t>
  </si>
  <si>
    <t xml:space="preserve">Department </t>
  </si>
  <si>
    <t xml:space="preserve">Phone </t>
  </si>
  <si>
    <t xml:space="preserve">Room </t>
  </si>
  <si>
    <t>Time</t>
  </si>
  <si>
    <t xml:space="preserve">Tele-Eye Imaging </t>
  </si>
  <si>
    <t>x27334</t>
  </si>
  <si>
    <t>9:00-9:30</t>
  </si>
  <si>
    <t xml:space="preserve">available </t>
  </si>
  <si>
    <t>MSA: Angela Ferguson</t>
  </si>
  <si>
    <t>9:30-10:00</t>
  </si>
  <si>
    <t>MSA: Terrell Hicks</t>
  </si>
  <si>
    <t>10:00-10:30</t>
  </si>
  <si>
    <t>MSA/Supervisor: Cynthia White</t>
  </si>
  <si>
    <t>10:30-11:00</t>
  </si>
  <si>
    <t>TCT: Barbara Wishart</t>
  </si>
  <si>
    <t>708-426-3994</t>
  </si>
  <si>
    <t>11:00-11:30</t>
  </si>
  <si>
    <t>TCT: Regina Clark</t>
  </si>
  <si>
    <t>708-904-1112</t>
  </si>
  <si>
    <t>1:00-1:30</t>
  </si>
  <si>
    <t>TCT: Yolanda-Osborne-Fadairo</t>
  </si>
  <si>
    <t>708-980-4052</t>
  </si>
  <si>
    <t>1:30-2:00</t>
  </si>
  <si>
    <t>TCT: Katrice Washington</t>
  </si>
  <si>
    <t>708-640-6429</t>
  </si>
  <si>
    <t>2:00-2:30</t>
  </si>
  <si>
    <t>2:30-3:00</t>
  </si>
  <si>
    <t>CBOC</t>
  </si>
  <si>
    <t>AURORA</t>
  </si>
  <si>
    <t>TCT:</t>
  </si>
  <si>
    <t>Myra Valera x29849</t>
  </si>
  <si>
    <t>Facility Telehealth Coordinator : Bradley Lomax</t>
  </si>
  <si>
    <t>CNM:</t>
  </si>
  <si>
    <t>Shirlynne Roan</t>
  </si>
  <si>
    <t>TCT Cell: (708)964-3999</t>
  </si>
  <si>
    <t>Cell: 708-208-0268</t>
  </si>
  <si>
    <t>*START AUGUST 4 , 2025</t>
  </si>
  <si>
    <t>Room: 120</t>
  </si>
  <si>
    <t>Alias:9504609</t>
  </si>
  <si>
    <t>Ext:29835</t>
  </si>
  <si>
    <t>IP Address:</t>
  </si>
  <si>
    <t>Room: 121</t>
  </si>
  <si>
    <t>Alias: 9504610</t>
  </si>
  <si>
    <t>Ext:29809</t>
  </si>
  <si>
    <t>8:00-8:30</t>
  </si>
  <si>
    <t>Puthamana (43)</t>
  </si>
  <si>
    <t xml:space="preserve">MH Intake </t>
  </si>
  <si>
    <t>COZZA (29)</t>
  </si>
  <si>
    <t>Nowlin (30)</t>
  </si>
  <si>
    <t xml:space="preserve"> Jones-Martinez (16)</t>
  </si>
  <si>
    <t>8:30-9:00</t>
  </si>
  <si>
    <t>MH Intake</t>
  </si>
  <si>
    <t xml:space="preserve">TSP </t>
  </si>
  <si>
    <t>11:30-12:00</t>
  </si>
  <si>
    <t>12:00-12:30</t>
  </si>
  <si>
    <t>TCT LUNCH 12:15- 12:45</t>
  </si>
  <si>
    <t>12:30-1:00</t>
  </si>
  <si>
    <t xml:space="preserve">AARONSON  ( 1 ) </t>
  </si>
  <si>
    <t>3:00-3:30</t>
  </si>
  <si>
    <t>3:30-4:00</t>
  </si>
  <si>
    <t>*ENDS August 4 2025</t>
  </si>
  <si>
    <t>Conference Room: 217</t>
  </si>
  <si>
    <t>Alias:</t>
  </si>
  <si>
    <t>Ext:</t>
  </si>
  <si>
    <t>GLOBAL KART ROOM</t>
  </si>
  <si>
    <r>
      <rPr>
        <b/>
        <sz val="12"/>
        <color theme="1"/>
        <rFont val="Calibri"/>
        <family val="2"/>
        <scheme val="minor"/>
      </rPr>
      <t>Teleretinal Room</t>
    </r>
    <r>
      <rPr>
        <sz val="11"/>
        <color theme="1"/>
        <rFont val="Calibri"/>
        <family val="2"/>
        <scheme val="minor"/>
      </rPr>
      <t>: 119</t>
    </r>
  </si>
  <si>
    <t>Ext:29831</t>
  </si>
  <si>
    <t>TELEHEALTH ON DEMAND TRI                                        TELEDERM                         TELE-SPIROMETRY</t>
  </si>
  <si>
    <t xml:space="preserve">Telespirometry  </t>
  </si>
  <si>
    <t xml:space="preserve">Teleretinal </t>
  </si>
  <si>
    <t xml:space="preserve">Teledermatology  </t>
  </si>
  <si>
    <t xml:space="preserve">Telespirometry </t>
  </si>
  <si>
    <t xml:space="preserve">TCT Meeting </t>
  </si>
  <si>
    <t>Facility Telehealth Coordinator : Jessica Wilson</t>
  </si>
  <si>
    <t>Vista Clinics</t>
  </si>
  <si>
    <t>Cell: 708-932-7433</t>
  </si>
  <si>
    <t xml:space="preserve">     1   AUR CVT CHAPLAIN PAT       NGWILA,FILBERT F</t>
  </si>
  <si>
    <t>Underutilized</t>
  </si>
  <si>
    <t xml:space="preserve">     2   AUR CVT CHAPLAIN PRO       NGWILA,FILBERT F</t>
  </si>
  <si>
    <t xml:space="preserve">     3   AUR CVT MH INTAKE PAT       </t>
  </si>
  <si>
    <t xml:space="preserve">     4   AUR CVT MH INTAKE PRO    </t>
  </si>
  <si>
    <t>TSP (60-90min)</t>
  </si>
  <si>
    <t>MH Intake (60-90mins)</t>
  </si>
  <si>
    <t xml:space="preserve">     5   AUR CVT MH INTAKE REVIEW PAT       </t>
  </si>
  <si>
    <t xml:space="preserve">     6   AUR CVT MH INTAKE REVIEW PRO       </t>
  </si>
  <si>
    <t xml:space="preserve">     7   AUR CVT MH TSP PAT       </t>
  </si>
  <si>
    <t xml:space="preserve">     8   AUR CVT MH TSP PRO       </t>
  </si>
  <si>
    <t xml:space="preserve">     9   AUR CVT MHC PHYSN 1 PAT       AARONSON,ALEXANDRA L MD</t>
  </si>
  <si>
    <t xml:space="preserve">     10  AUR CVT MHC PHYSN 1 PRO       AARONSON,ALEXANDRA L MD</t>
  </si>
  <si>
    <t xml:space="preserve">     11  AUR CVT MHC PHYSN 16 PAT       JONES-MARTINEZ,NICOLE C MD</t>
  </si>
  <si>
    <t xml:space="preserve">     12  AUR CVT MHC PHYSN 16 PRO       JONES-MARTINEZ,NICOLE C MD</t>
  </si>
  <si>
    <t xml:space="preserve">     13  AUR CVT MHC PHYSN 29 PAT       COZZA,EUGENE M</t>
  </si>
  <si>
    <t xml:space="preserve">     14  AUR CVT MHC PHYSN 29 PRO       COZZA,EUGENE M</t>
  </si>
  <si>
    <t xml:space="preserve">     15  AUR CVT MHC PHYSN 43 PAT       PUTHUMANA,KAMALOSHINI</t>
  </si>
  <si>
    <t xml:space="preserve">     16  AUR CVT MHC PHYSN 43 PRO       PUTHUMANA,KAMALOSHINI</t>
  </si>
  <si>
    <t xml:space="preserve">     17  AUR CVT MHC PSYCL 30 PAT       NOWLIN,PATRICK R</t>
  </si>
  <si>
    <t xml:space="preserve">     18  AUR CVT MHC PSYCL 30 PRO       NOWLIN,PATRICK R</t>
  </si>
  <si>
    <t xml:space="preserve">     19  AUR CVT SLC GMS PAT 2     </t>
  </si>
  <si>
    <t xml:space="preserve">     20  AUR CVT SPEECH PAT       </t>
  </si>
  <si>
    <t xml:space="preserve">     21  AUR CVT SPEECH PRO   </t>
  </si>
  <si>
    <t>CBOC:</t>
  </si>
  <si>
    <t>JOLIET</t>
  </si>
  <si>
    <t>Marcus Waddell (224)-254-0250</t>
  </si>
  <si>
    <t>x73104</t>
  </si>
  <si>
    <t>FTC : Jessica Wilson</t>
  </si>
  <si>
    <t>SHARON GUNDERSON x73040</t>
  </si>
  <si>
    <t xml:space="preserve">Robert Thou (708)-998-7986 </t>
  </si>
  <si>
    <t>x73047</t>
  </si>
  <si>
    <t>Room: 1010</t>
  </si>
  <si>
    <t>Alias:9504641</t>
  </si>
  <si>
    <t>Ext:73085</t>
  </si>
  <si>
    <t xml:space="preserve">IP Address: 10.101.227.68 </t>
  </si>
  <si>
    <t>Room: 1011</t>
  </si>
  <si>
    <t>Alias:9504642</t>
  </si>
  <si>
    <t>Ext:73086</t>
  </si>
  <si>
    <t xml:space="preserve">IP Address: 10.101.228.71 </t>
  </si>
  <si>
    <t>Joliet Room: 1012</t>
  </si>
  <si>
    <t>Alias:9504643</t>
  </si>
  <si>
    <t>Ext:73087</t>
  </si>
  <si>
    <t xml:space="preserve">IP Address: 10.101.228.72 </t>
  </si>
  <si>
    <t>Room: 1013</t>
  </si>
  <si>
    <t>Alias:9504644</t>
  </si>
  <si>
    <t>Ext: 73088</t>
  </si>
  <si>
    <t xml:space="preserve">IP Address: 10.101.228.73 </t>
  </si>
  <si>
    <t xml:space="preserve">  1   JOL CVT GI TELEPREP PAT       </t>
  </si>
  <si>
    <t xml:space="preserve">     2   JOL CVT GI TELEPREP PRO       </t>
  </si>
  <si>
    <t>Mankani (24)</t>
  </si>
  <si>
    <t>Dickson (12)</t>
  </si>
  <si>
    <t>Gende (13)</t>
  </si>
  <si>
    <t xml:space="preserve">     3   JOL CVT MH INTAKE PAT       </t>
  </si>
  <si>
    <t>Dr. Burkiri (25)</t>
  </si>
  <si>
    <t xml:space="preserve">     4   JOL CVT MH INTAKE PRO       </t>
  </si>
  <si>
    <t>M. Cherian (7)</t>
  </si>
  <si>
    <t xml:space="preserve">Couri (32) </t>
  </si>
  <si>
    <t xml:space="preserve">     5   JOL CVT MHC PHARM D 2 PAT       </t>
  </si>
  <si>
    <t xml:space="preserve">     6   JOL CVT MHC PHARM D 2 PRO       </t>
  </si>
  <si>
    <t>Romero (127)</t>
  </si>
  <si>
    <t xml:space="preserve">     7   JOL CVT MHC PHYSN 12 PAT       DICKSON,KATHARINE E MD</t>
  </si>
  <si>
    <t xml:space="preserve">     8   JOL CVT MHC PHYSN 12 PRO       DICKSON,KATHARINE E MD</t>
  </si>
  <si>
    <t xml:space="preserve">     9   JOL CVT MHC PHYSN 13 PAT       GENDE,JACK F</t>
  </si>
  <si>
    <t xml:space="preserve">     10  JOL CVT MHC PHYSN 13 PRO       GENDE,JACK F</t>
  </si>
  <si>
    <t xml:space="preserve">     11  JOL CVT MHC PHYSN 24 PAT       MANKANI,AMRITA P MD</t>
  </si>
  <si>
    <t xml:space="preserve">     12  JOL CVT MHC PHYSN 24 PRO       MANKANI,AMRITA P MD</t>
  </si>
  <si>
    <t>Speech</t>
  </si>
  <si>
    <t xml:space="preserve">     13  JOL CVT MHC PHYSN 25 PAT       BUKIRI,KATIE</t>
  </si>
  <si>
    <t xml:space="preserve">     14  JOL CVT MHC PHYSN 25 PRO       BUKIRI,KATIE</t>
  </si>
  <si>
    <t xml:space="preserve">     15  JOL CVT MHC PHYSN 7 PAT       CHERIAN,MARY T MD</t>
  </si>
  <si>
    <t>TCT MTG/ED</t>
  </si>
  <si>
    <t xml:space="preserve">     16  JOL CVT MHC PHYSN 7 PRO       CHERIAN,MARY T MD</t>
  </si>
  <si>
    <t xml:space="preserve">     17  JOL CVT MHC SW 127 PAT       ROMERO,RALPH M</t>
  </si>
  <si>
    <t xml:space="preserve">     18  JOL CVT MHC SW 127 PRO       ROMERO,RALPH M</t>
  </si>
  <si>
    <t xml:space="preserve">     19  JOL CVT MHC SW 32 PAT       COURI,REEM K</t>
  </si>
  <si>
    <t xml:space="preserve">     20  JOL CVT MHC SW 32 PRO       COURI,REEM K</t>
  </si>
  <si>
    <t xml:space="preserve">     21  JOL CVT PM&amp;R AMPUTATION PAT       MUTHUKRISHNAN,SRI RANJINI</t>
  </si>
  <si>
    <t xml:space="preserve">     22  JOL CVT PM&amp;R AMPUTATION PRO       MUTHUKRISHNAN,SRI RANJINI</t>
  </si>
  <si>
    <t xml:space="preserve">     23  JOL CVT PSYCL 5 PAT       BIRNHOLZ,JUSTIN L PHD</t>
  </si>
  <si>
    <t xml:space="preserve">     24  JOL CVT PSYCL 5 PRO       BIRNHOLZ,JUSTIN L PHD</t>
  </si>
  <si>
    <t xml:space="preserve">     25  JOL CVT SLC GMS PAT       </t>
  </si>
  <si>
    <t>UNDER CONSTRUCTION</t>
  </si>
  <si>
    <t xml:space="preserve">     26  JOL CVT SPEECH PAT       CHALCRAFT,LAURA C</t>
  </si>
  <si>
    <t>Room: 1038</t>
  </si>
  <si>
    <t>Alias:9601536</t>
  </si>
  <si>
    <t>Ext:73103</t>
  </si>
  <si>
    <t>IP Address:10.101.228.66</t>
  </si>
  <si>
    <t>Room: 1039</t>
  </si>
  <si>
    <t>Alias:9601245</t>
  </si>
  <si>
    <t>Ext:73017</t>
  </si>
  <si>
    <t xml:space="preserve">IP Address: 10.101.228.67 </t>
  </si>
  <si>
    <t>Room: 1009</t>
  </si>
  <si>
    <t>Alias:9504640</t>
  </si>
  <si>
    <t>Ext:73084</t>
  </si>
  <si>
    <t>IP Address: 10.101.228.69</t>
  </si>
  <si>
    <t xml:space="preserve">     27  JOL CVT SPEECH PRO       </t>
  </si>
  <si>
    <t xml:space="preserve">     28  JOL CVT TSP PAT       </t>
  </si>
  <si>
    <t xml:space="preserve">     29  JOL CVT TSP PRO  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</si>
  <si>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1021</t>
    </r>
  </si>
  <si>
    <t>Alias:9504626</t>
  </si>
  <si>
    <t>Ext: 73091</t>
  </si>
  <si>
    <t>IP Address: 10.101.228.78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</si>
  <si>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BO11</t>
    </r>
  </si>
  <si>
    <t>Alias:9504663</t>
  </si>
  <si>
    <t>Ext: 73066</t>
  </si>
  <si>
    <t>IP Address: 10.101.228.74</t>
  </si>
  <si>
    <t>Alias Device (2) : 9520320</t>
  </si>
  <si>
    <r>
      <rPr>
        <b/>
        <sz val="14"/>
        <color rgb="FF000000"/>
        <rFont val="Calibri"/>
        <family val="2"/>
      </rPr>
      <t>TeleVideo Group Room</t>
    </r>
    <r>
      <rPr>
        <sz val="14"/>
        <color rgb="FF000000"/>
        <rFont val="Calibri"/>
        <family val="2"/>
      </rPr>
      <t>: Auditorium</t>
    </r>
  </si>
  <si>
    <t>Alias:9520324</t>
  </si>
  <si>
    <t>Ext: 73069</t>
  </si>
  <si>
    <t xml:space="preserve">IP Address:  10.101.230.106  </t>
  </si>
  <si>
    <t>Group Room : BO23 aka Auditorium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</si>
  <si>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1019</t>
    </r>
  </si>
  <si>
    <t>Alias:9504665</t>
  </si>
  <si>
    <t>Ext: 73089</t>
  </si>
  <si>
    <t>IP Address: 10.101.228.77</t>
  </si>
  <si>
    <t>*TH--Providers' Monthly Mtg  8am-9am</t>
  </si>
  <si>
    <t xml:space="preserve">*TH--PCBH PAIN CLASS </t>
  </si>
  <si>
    <t>*F2F--Caregiver Group    8:30am--10:30am</t>
  </si>
  <si>
    <t xml:space="preserve">       1st Thurs of Odd months 8-12noon</t>
  </si>
  <si>
    <t xml:space="preserve">F2F - Orientation w/ Stephanie Thomas 8:30am-10:00am </t>
  </si>
  <si>
    <t>F2F- ATP Early Recovery</t>
  </si>
  <si>
    <t>F2F- ATP Unified Protocol Group</t>
  </si>
  <si>
    <t>F2F--MH Orientation 10am-12noon</t>
  </si>
  <si>
    <t xml:space="preserve"> </t>
  </si>
  <si>
    <t>F2F--ATP CBT-SUD    10am--11:30am</t>
  </si>
  <si>
    <t>F2F--Depression Group 10-11am KILEY</t>
  </si>
  <si>
    <t>10/16/23 CWT Orientation 10am-2pm</t>
  </si>
  <si>
    <t>F2F--MH SWS Group-KOHS  10- 11:30am</t>
  </si>
  <si>
    <t>F2F- ATP Alumni Group</t>
  </si>
  <si>
    <t xml:space="preserve">F2F--SW Consult    11am --12noon </t>
  </si>
  <si>
    <t>KOHS</t>
  </si>
  <si>
    <t>*F2F--MOVE! Preview 11am-12pm (2nd Friday every month)</t>
  </si>
  <si>
    <t xml:space="preserve">**F2F -CWT Orientation w/Stephanie Thomas 1pm - 3pm </t>
  </si>
  <si>
    <t>F2F--MH SWS Group-KOHS 1:00pm - 2:30pm</t>
  </si>
  <si>
    <t>**F2F- CWT Job Club 1-2pm Start 3/7/2023</t>
  </si>
  <si>
    <t xml:space="preserve">**F2F--DIABETES CLASS 1-3PM (1st Friday of ODD Months) </t>
  </si>
  <si>
    <t>*F2F-- CHAPLAIN ANDERSON 1:30-2:30pm the 1st, 2nd,and 4th Mondays of each Month</t>
  </si>
  <si>
    <t>F2F--PTSD group--KILEY  2-3pm</t>
  </si>
  <si>
    <t>*F2F - America Works 2-5pm (2nd Tuesday Of Month)</t>
  </si>
  <si>
    <t xml:space="preserve">*F2F-- CHAPLAIN ANDERSON 1:30-2:30pm every Friday </t>
  </si>
  <si>
    <t>*F2F--CWT Orientation  3-5PM</t>
  </si>
  <si>
    <t>F2F--ATP ACT Group   3PM--430PM</t>
  </si>
  <si>
    <t>****F2F- JOLIET PACT MEETING 3pm-4pm 1st and 3rd Mondays</t>
  </si>
  <si>
    <t>Job Club Blocked on 6/13/2023</t>
  </si>
  <si>
    <t>America Works Blocked on 6/13/2023</t>
  </si>
  <si>
    <r>
      <rPr>
        <b/>
        <sz val="12"/>
        <color theme="1"/>
        <rFont val="Calibri"/>
        <family val="2"/>
        <scheme val="minor"/>
      </rPr>
      <t>Room</t>
    </r>
    <r>
      <rPr>
        <sz val="11"/>
        <color theme="1"/>
        <rFont val="Calibri"/>
        <family val="2"/>
        <scheme val="minor"/>
      </rPr>
      <t>:</t>
    </r>
    <r>
      <rPr>
        <b/>
        <sz val="11"/>
        <color rgb="FFFF0000"/>
        <rFont val="Calibri"/>
        <family val="2"/>
        <scheme val="minor"/>
      </rPr>
      <t xml:space="preserve"> 1063</t>
    </r>
  </si>
  <si>
    <t>Alias: 9504674</t>
  </si>
  <si>
    <t>Ext: 73047</t>
  </si>
  <si>
    <t>IP Address: 10.101.228.9  Port # 63.1 (upper left)</t>
  </si>
  <si>
    <t xml:space="preserve">TELEHEALTH </t>
  </si>
  <si>
    <t>TELEHEALTH</t>
  </si>
  <si>
    <t>Hoffman Estates</t>
  </si>
  <si>
    <t>Ailene Taylor x29715</t>
  </si>
  <si>
    <t xml:space="preserve">Facility Telehealth Coordinator : Jessica Wilson </t>
  </si>
  <si>
    <t>Julie Tiltz ext 29711</t>
  </si>
  <si>
    <t>Cell: (708)-979-6317</t>
  </si>
  <si>
    <t>Room: 106</t>
  </si>
  <si>
    <t>Alias: 9504592</t>
  </si>
  <si>
    <t>Ext: 29709</t>
  </si>
  <si>
    <t>IP Address: 10.101.238.35</t>
  </si>
  <si>
    <t>Room: 104</t>
  </si>
  <si>
    <t>Alias: 9504615</t>
  </si>
  <si>
    <t>Ext: 29707</t>
  </si>
  <si>
    <t>IP Address:10.101.238.34</t>
  </si>
  <si>
    <t>Room: 105</t>
  </si>
  <si>
    <t>Alias: 9504572</t>
  </si>
  <si>
    <t>Ext: 29078</t>
  </si>
  <si>
    <t>IP Address: 10.101.238.38</t>
  </si>
  <si>
    <t>Room: 103</t>
  </si>
  <si>
    <t>Alias: 9504616</t>
  </si>
  <si>
    <t>Ext: 29706</t>
  </si>
  <si>
    <t>IP Address: 10.101.238.33</t>
  </si>
  <si>
    <t xml:space="preserve">     1   HE CVT CHAPLAIN PAT       ANDERSON,PATRICIA A</t>
  </si>
  <si>
    <t xml:space="preserve">     2   HE CVT CHAPLAIN PRO       ANDERSON,PATRICIA A</t>
  </si>
  <si>
    <t>Dr. Czuma (45)</t>
  </si>
  <si>
    <t>Collins (39)</t>
  </si>
  <si>
    <t>Fleisher (50)</t>
  </si>
  <si>
    <t>Meccia (27)</t>
  </si>
  <si>
    <t xml:space="preserve">     3   HE CVT GI LIVER TRANSPL PAT       </t>
  </si>
  <si>
    <t xml:space="preserve">     4   HE CVT MH INTAKE PAT     </t>
  </si>
  <si>
    <t>Raval (32)</t>
  </si>
  <si>
    <t xml:space="preserve">     5   HE CVT MH INTAKE PRO       </t>
  </si>
  <si>
    <t xml:space="preserve">     6   HE CVT MH INTAKE REVIEW PAT    </t>
  </si>
  <si>
    <t>Raval(32)</t>
  </si>
  <si>
    <t xml:space="preserve">     7   HE CVT MH INTAKE REVIEW PRO      </t>
  </si>
  <si>
    <t>Ravall(32)</t>
  </si>
  <si>
    <t xml:space="preserve">     8   HE CVT MH TSP PAT       </t>
  </si>
  <si>
    <t xml:space="preserve">     9   HE CVT MH TSP PRO       </t>
  </si>
  <si>
    <t xml:space="preserve">     10  HE CVT MHC PHYSN 27 PAT       MECCIA,SALVATORE F MD</t>
  </si>
  <si>
    <t xml:space="preserve">     11  HE CVT MHC PHYSN 27 PRO       MECCIA,SALVATORE F MD</t>
  </si>
  <si>
    <t xml:space="preserve">     12  HE CVT MHC PHYSN 32 PAT       RAVAL,CHIRAG RAMESH MD</t>
  </si>
  <si>
    <t xml:space="preserve">     13  HE CVT MHC PHYSN 32 PRO       RAVAL,CHIRAG RAMESH MD</t>
  </si>
  <si>
    <t xml:space="preserve">     14  HE CVT MHC PHYSN 39 PAT       COLLINS,NIMISHA MD</t>
  </si>
  <si>
    <t xml:space="preserve">     15  HE CVT MHC PHYSN 39 PRO       COLLINS,NIMISHA MD</t>
  </si>
  <si>
    <t xml:space="preserve">     16  HE CVT MHC PHYSN 45 PAT       CZUMA,RICHARD G</t>
  </si>
  <si>
    <t xml:space="preserve">     17  HE CVT MHC PHYSN 45 PRO       CZUMA,RICHARD G</t>
  </si>
  <si>
    <t xml:space="preserve">     18  HE CVT MHC SW 50 PAT       FLEISHER,MICHAEL</t>
  </si>
  <si>
    <t xml:space="preserve">     19  HE CVT MHC SW 50 PRO       FLEISHER,MICHAEL</t>
  </si>
  <si>
    <t xml:space="preserve">     20  HE CVT SLC GMS PAT       </t>
  </si>
  <si>
    <t xml:space="preserve">     21  HE CVT SPEECH PAT       </t>
  </si>
  <si>
    <t xml:space="preserve">     22  HE CVT SPEECH PRO    </t>
  </si>
  <si>
    <t>Room : 102</t>
  </si>
  <si>
    <t>Room : 107</t>
  </si>
  <si>
    <t>Triage All Day Usage</t>
  </si>
  <si>
    <t>Audiology All Day Usage</t>
  </si>
  <si>
    <t>Audiology</t>
  </si>
  <si>
    <t>VSO</t>
  </si>
  <si>
    <t xml:space="preserve">*1st Mon </t>
  </si>
  <si>
    <r>
      <rPr>
        <b/>
        <sz val="12"/>
        <color theme="1"/>
        <rFont val="Calibri"/>
        <family val="2"/>
        <scheme val="minor"/>
      </rPr>
      <t>Global Kart Room</t>
    </r>
    <r>
      <rPr>
        <sz val="11"/>
        <color theme="1"/>
        <rFont val="Calibri"/>
        <family val="2"/>
        <scheme val="minor"/>
      </rPr>
      <t>: 108</t>
    </r>
  </si>
  <si>
    <t>Ext: 29715</t>
  </si>
  <si>
    <t>TRI/telederm</t>
  </si>
  <si>
    <t>TRI/Telederm</t>
  </si>
  <si>
    <t>Kankakee</t>
  </si>
  <si>
    <t>TCT: Float Coverage Room 113 x29329</t>
  </si>
  <si>
    <t>Sharaine James x25092</t>
  </si>
  <si>
    <t>TCT Cell: (708)-901-3689</t>
  </si>
  <si>
    <t>VISTA CLINIC</t>
  </si>
  <si>
    <t>GI MD = First Mondays of Month</t>
  </si>
  <si>
    <t>Start July 2025 , No TCT Support</t>
  </si>
  <si>
    <t>Room:  101</t>
  </si>
  <si>
    <t>Alias: 9504579</t>
  </si>
  <si>
    <t>Ext: 29331</t>
  </si>
  <si>
    <t>IP Address: 10.101.242.33</t>
  </si>
  <si>
    <t>Room:  102</t>
  </si>
  <si>
    <t>Alias:9504453</t>
  </si>
  <si>
    <t>Ext: 29332</t>
  </si>
  <si>
    <t>IP Address: 10.101.242.34</t>
  </si>
  <si>
    <t>Room:  103</t>
  </si>
  <si>
    <t>Alias: 9504647</t>
  </si>
  <si>
    <t>Ext: 29333</t>
  </si>
  <si>
    <t>IP Address:  10.101.242.35</t>
  </si>
  <si>
    <t>Room:  104</t>
  </si>
  <si>
    <t>Alias:  9504469</t>
  </si>
  <si>
    <t>Ext: 29334</t>
  </si>
  <si>
    <t>IP Address: 10.101.150.41</t>
  </si>
  <si>
    <t>TH Room:  113</t>
  </si>
  <si>
    <t>Ext: 29329</t>
  </si>
  <si>
    <t xml:space="preserve">     1   KAN CVT CHAPLAIN PAT       CETIN,ORHAN</t>
  </si>
  <si>
    <t>TCT station</t>
  </si>
  <si>
    <t xml:space="preserve">     2   KAN CVT CHAPLAIN PRO       CETIN,ORHAN</t>
  </si>
  <si>
    <t xml:space="preserve">     3   KAN CVT GI LIVER TRANSPLT PAT       </t>
  </si>
  <si>
    <t>Dr. Marcinkowski (1)</t>
  </si>
  <si>
    <t>Dr. Khehra (19)</t>
  </si>
  <si>
    <t xml:space="preserve">     4   KAN CVT GI MD PAT       BRUNINGA,KEITH W MD</t>
  </si>
  <si>
    <t xml:space="preserve">     5   KAN CVT GI MD PRO       BRUNINGA,KEITH W MD</t>
  </si>
  <si>
    <t xml:space="preserve">     6   KAN CVT MH INTAKE PAT  </t>
  </si>
  <si>
    <t xml:space="preserve">     7   KAN CVT MH INTAKE PRO       </t>
  </si>
  <si>
    <t xml:space="preserve">     8   KAN CVT MH INTAKE REV PAT </t>
  </si>
  <si>
    <t xml:space="preserve">     9   KAN CVT MH INTAKE REV PRO       </t>
  </si>
  <si>
    <t xml:space="preserve">     10  KAN CVT MHC PHARM D 1 PAT       MARCINKOWSKI,ELIZABETH M</t>
  </si>
  <si>
    <t xml:space="preserve">     11  KAN CVT MHC PHARM D 1 PRO       MARCINKOWSKI,ELIZABETH M</t>
  </si>
  <si>
    <t xml:space="preserve">     12  KAN CVT MHC PHYSN 19 PAT       KHEHRA,LOVELEEN K</t>
  </si>
  <si>
    <t>GI MD Bruninga 1st Mondays</t>
  </si>
  <si>
    <t>Dr Raley (37)</t>
  </si>
  <si>
    <t xml:space="preserve">     13  KAN CVT MHC PHYSN 19 PRO       KHEHRA,LOVELEEN K</t>
  </si>
  <si>
    <t xml:space="preserve">     14  KAN CVT MHC PSYCL 37 PAT       RALEY,KRISTIN</t>
  </si>
  <si>
    <t xml:space="preserve">     15  KAN CVT MHC PSYCL 37 PRO       RALEY,KRISTIN</t>
  </si>
  <si>
    <t xml:space="preserve">     16  KAN CVT PACT 1 MD PAT       SALAZAR,BERNICE MD</t>
  </si>
  <si>
    <t xml:space="preserve">     17  KAN CVT PACT 1 MD PRO       SALAZAR,BERNICE MD</t>
  </si>
  <si>
    <t xml:space="preserve">     18  KAN CVT PM&amp;R AMPUTATION PAT       MUTHUKRISHNAN,SRI RANJINI</t>
  </si>
  <si>
    <t xml:space="preserve">     19  KAN CVT PM&amp;R AMPUTATION PRO       MUTHUKRISHNAN,SRI RANJINI</t>
  </si>
  <si>
    <t xml:space="preserve">     20  KAN CVT SLC GMS PAT 2    </t>
  </si>
  <si>
    <t xml:space="preserve">     21  KAN CVT SPEECH PAT       CHALCRAFT,LAURA C</t>
  </si>
  <si>
    <t xml:space="preserve">     22  KAN CVT SPEECH PRO       - Last OB 06/30/25</t>
  </si>
  <si>
    <t xml:space="preserve">     23  KAN CVT TSP PAT       </t>
  </si>
  <si>
    <t xml:space="preserve">     24  KAN CVT TSP PRO  </t>
  </si>
  <si>
    <t xml:space="preserve">Mobile CAS Cart </t>
  </si>
  <si>
    <t>Alias:9520338</t>
  </si>
  <si>
    <t>Ext: 29338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</si>
  <si>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105</t>
    </r>
  </si>
  <si>
    <t>Alias:  9504620</t>
  </si>
  <si>
    <t>Ext: 29348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</si>
  <si>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110</t>
    </r>
  </si>
  <si>
    <t>Alias 9520325</t>
  </si>
  <si>
    <t>Ext: 29312</t>
  </si>
  <si>
    <t>MH SW Goals Group</t>
  </si>
  <si>
    <t>2nd,4th Tues PACT Meeting</t>
  </si>
  <si>
    <t>1st Mon Provider meeting</t>
  </si>
  <si>
    <t xml:space="preserve">1st Tues F/F Nutrition </t>
  </si>
  <si>
    <t>1st Thurs PCBH Group(pain/sleep)</t>
  </si>
  <si>
    <t>3rd Thurs F/F Nutrition</t>
  </si>
  <si>
    <t xml:space="preserve">1st  Wed MOVE  </t>
  </si>
  <si>
    <t>2nd Wed MH Orienttaion F/F</t>
  </si>
  <si>
    <t xml:space="preserve">Group Orientation </t>
  </si>
  <si>
    <t>1st Mon TH MOVE</t>
  </si>
  <si>
    <t>2nd Wed MH Orientation F/F</t>
  </si>
  <si>
    <t>1st TuesTele-Diabetes</t>
  </si>
  <si>
    <t>PTSD Group F/F</t>
  </si>
  <si>
    <t>1st Tues Tele-Diabetes</t>
  </si>
  <si>
    <t>Social Worker Group</t>
  </si>
  <si>
    <t>MHC Psych Education</t>
  </si>
  <si>
    <t>1st Wed TH  Diabetes</t>
  </si>
  <si>
    <t>2nd Wed MOVE</t>
  </si>
  <si>
    <t>4th Wed MH Orientation</t>
  </si>
  <si>
    <t>Job Club F/F</t>
  </si>
  <si>
    <t>SW F/F Smoking Cessation</t>
  </si>
  <si>
    <r>
      <rPr>
        <b/>
        <sz val="12"/>
        <color theme="1"/>
        <rFont val="Calibri"/>
        <family val="2"/>
        <scheme val="minor"/>
      </rPr>
      <t>TH SUITE  Room</t>
    </r>
    <r>
      <rPr>
        <sz val="11"/>
        <color theme="1"/>
        <rFont val="Calibri"/>
        <family val="2"/>
        <scheme val="minor"/>
      </rPr>
      <t>: 131</t>
    </r>
  </si>
  <si>
    <t>Alias:9520336</t>
  </si>
  <si>
    <t>Ext: 29325</t>
  </si>
  <si>
    <t>PT CAS CART Room 134</t>
  </si>
  <si>
    <t>Alias:9520337</t>
  </si>
  <si>
    <t>2 CAS carts</t>
  </si>
  <si>
    <t>1 CAS cart</t>
  </si>
  <si>
    <t>Tele-Audiology</t>
  </si>
  <si>
    <t>Tele-Audiology/HA repair</t>
  </si>
  <si>
    <t xml:space="preserve">1st, 3rd, 5th Wed HA Repair/2nd, 4th TH </t>
  </si>
  <si>
    <t>TD/Spiro/GU PRN</t>
  </si>
  <si>
    <t>Tele-Audiology/TCT station</t>
  </si>
  <si>
    <t>Tele-GU</t>
  </si>
  <si>
    <t>Lasalle</t>
  </si>
  <si>
    <t>Tina Bird x 29429</t>
  </si>
  <si>
    <t>Buffy Hoskins  708-928-3086</t>
  </si>
  <si>
    <t>TCT Cell: (708)-543-0566</t>
  </si>
  <si>
    <t xml:space="preserve"> 2nd Mondays Of Month</t>
  </si>
  <si>
    <t>Room: 130</t>
  </si>
  <si>
    <t>Alias:9504584</t>
  </si>
  <si>
    <t>Ext:29442</t>
  </si>
  <si>
    <t>IP Address: 10.101.240.36</t>
  </si>
  <si>
    <t>Room:129</t>
  </si>
  <si>
    <t>Alias: 9504612</t>
  </si>
  <si>
    <t>Ext: 29441</t>
  </si>
  <si>
    <t>IP Address: 10.101.240.37</t>
  </si>
  <si>
    <t>Room: 128</t>
  </si>
  <si>
    <t>Alias: 9504621</t>
  </si>
  <si>
    <t>Ext: 29439</t>
  </si>
  <si>
    <t>IP Address: 10.101.240.35</t>
  </si>
  <si>
    <t>Room: 127</t>
  </si>
  <si>
    <t>Alias: 9504613</t>
  </si>
  <si>
    <t>Ext: 29438</t>
  </si>
  <si>
    <t>IP Address: 10.101.240.34</t>
  </si>
  <si>
    <t>Olson-Marszeski (42)</t>
  </si>
  <si>
    <t>MH INTAKE</t>
  </si>
  <si>
    <t>Dr. Pavil Cherian (8)</t>
  </si>
  <si>
    <t>Zoko (38)</t>
  </si>
  <si>
    <t>TSP</t>
  </si>
  <si>
    <t>10-10:30</t>
  </si>
  <si>
    <t>Hogan Pharmacy</t>
  </si>
  <si>
    <t>10:30-11</t>
  </si>
  <si>
    <t>11-11:30</t>
  </si>
  <si>
    <t>11:30-12</t>
  </si>
  <si>
    <t>GI MD Bruninga 2nd Mondays</t>
  </si>
  <si>
    <t>ZOKO (38)</t>
  </si>
  <si>
    <r>
      <rPr>
        <b/>
        <sz val="16"/>
        <color theme="1"/>
        <rFont val="Calibri"/>
        <family val="2"/>
        <scheme val="minor"/>
      </rPr>
      <t>TeleVideo Group Room</t>
    </r>
    <r>
      <rPr>
        <sz val="16"/>
        <color theme="1"/>
        <rFont val="Calibri"/>
        <family val="2"/>
        <scheme val="minor"/>
      </rPr>
      <t xml:space="preserve">: </t>
    </r>
  </si>
  <si>
    <t>Alias:9504645</t>
  </si>
  <si>
    <t>Ext: 29428</t>
  </si>
  <si>
    <t>IP Address: 10.101.240.33</t>
  </si>
  <si>
    <r>
      <rPr>
        <b/>
        <sz val="16"/>
        <color theme="1"/>
        <rFont val="Calibri"/>
        <family val="2"/>
        <scheme val="minor"/>
      </rPr>
      <t>TeleVideo Group Room</t>
    </r>
    <r>
      <rPr>
        <sz val="16"/>
        <color theme="1"/>
        <rFont val="Calibri"/>
        <family val="2"/>
        <scheme val="minor"/>
      </rPr>
      <t>: 133</t>
    </r>
  </si>
  <si>
    <t>Alias: 9504625</t>
  </si>
  <si>
    <t>Ext:29414</t>
  </si>
  <si>
    <t>IP Address: 10.101.240.43</t>
  </si>
  <si>
    <t xml:space="preserve">                                              1st Mon  Provider Mtg                                                               2nd Mon-Open                                                3rd Mon-Open                                                            4th Mon -Open </t>
  </si>
  <si>
    <t>F2F Range</t>
  </si>
  <si>
    <t>SWS MH Orientation f/f</t>
  </si>
  <si>
    <t xml:space="preserve">1st Thu PCB 8-12 Odd Mo                                                     2nd Thu -Open                                                                               3rd Thu Open                                                                               4th Thursday Open               5th Thu Open </t>
  </si>
  <si>
    <t>1st Thu PCBH 8-12 Odd Mo                                                     2nd Thu HBPC 0830-11am                                                                            3rd Thu Open                                                                               4th Thuy Open                         5th Thu Open</t>
  </si>
  <si>
    <t xml:space="preserve">1st Mon MOVE 9am-10am                                     2nd Monday                           3rd TH MOVE                                                              4th Mon Open                           5th Mon Open </t>
  </si>
  <si>
    <t>1st Thu Move 9-10               2nd Thu Open                                      3rd Thu Move 9-10                          4th Thu  Open                         5th Thu Open</t>
  </si>
  <si>
    <t xml:space="preserve">                                                 1st Mon TH MOVE 9-10                                     2nd Mon TH MOVE 9-11               3rd Mon Move TH                                                              4th Mon-Move  2/26/18                                                     5th Mon Open </t>
  </si>
  <si>
    <t xml:space="preserve">1st Tues  Diabetes 10-12                                                                     2nd Tues Diabetes                                                                                                              3rd Tues  Open                                                                                                                   4th Tues Open                          5th Tues Open </t>
  </si>
  <si>
    <t>Goldstein PTSD Group #3 f/f</t>
  </si>
  <si>
    <t>F2F Smoking Cessation Group- SWS</t>
  </si>
  <si>
    <t xml:space="preserve">1st Tue Diab Starts  8/18                           Mind Path dc 8/18                                                                     2nd Tue Mind Path dc 8/18                                      3rd Tue Mind Path dc  8/18                           4th Tue Mind  fPath dc 8/18                                       5th Tue Mind Path dc8/18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</si>
  <si>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1st Wed Tele Diabetes  10-12                                                          2nd Wed-Tele Diabetes                                                                                                                 3rd Wed Open                                                                     4th Wed Open                           5th Wed Open </t>
  </si>
  <si>
    <t>1st Thu PCBH 8-12 Odd Mo                                                     2nd Thur HBPC 0830-11am                                                                               3rd Thu PCBH 10-12Odd Mo                                                    4th Thu-Open                           5th Thu Open</t>
  </si>
  <si>
    <t>Goldstein  PTSD f/f</t>
  </si>
  <si>
    <t>SWS Face to face</t>
  </si>
  <si>
    <t>Veteran Peer Goup #2 PTSD   F/F</t>
  </si>
  <si>
    <t>Veteran Peer Group #1 F/F  11:30 -12:30</t>
  </si>
  <si>
    <t>SWS F2F- Strength at Home Group- Starting 6/10/19 ending 9/16/19</t>
  </si>
  <si>
    <t>SWS F2F- Caregiver support 2/5 to 3/26</t>
  </si>
  <si>
    <t xml:space="preserve">STAIR Group  1:30-1500/                               Garcia provider  tentative </t>
  </si>
  <si>
    <t>Goldstein-PTSD Support f/f</t>
  </si>
  <si>
    <t xml:space="preserve">STAIR Group  1:30-1500                             </t>
  </si>
  <si>
    <t>**Research Meeting</t>
  </si>
  <si>
    <t>THRIV SWS  F/F    6/12/19 to 8/22/19</t>
  </si>
  <si>
    <t>Slagle  OEF/OIF PTSD f/f</t>
  </si>
  <si>
    <t>Goldstein f2f</t>
  </si>
  <si>
    <t>Room :107</t>
  </si>
  <si>
    <t>Audiology *</t>
  </si>
  <si>
    <t xml:space="preserve">     1   LAS CVT AUDIO EVAL &amp; FIT PAT       LUBA,ALEKSANDRA</t>
  </si>
  <si>
    <t xml:space="preserve">     2   LAS CVT AUDIO EVAL &amp; FIT PRO       LUBA,ALEKSANDRA</t>
  </si>
  <si>
    <t xml:space="preserve">     3   LAS CVT CHAPLAIN PAT       SERUNJOGI,DANIEL</t>
  </si>
  <si>
    <t xml:space="preserve">     4   LAS CVT CHAPLAIN PRO       SERUNJOGI,DANIEL</t>
  </si>
  <si>
    <t xml:space="preserve">     5   LAS CVT GI MD PAT       BRUNINGA,KEITH W MD</t>
  </si>
  <si>
    <t xml:space="preserve">     6   LAS CVT GI MD PRO       BRUNINGA,KEITH W MD</t>
  </si>
  <si>
    <t xml:space="preserve">     7   LAS CVT HA FOLLOW UP PAT       LUBA,ALEKSANDRA</t>
  </si>
  <si>
    <t xml:space="preserve">     8   LAS CVT HA FOLLOW UP PRO       LUBA,ALEKSANDRA</t>
  </si>
  <si>
    <t xml:space="preserve">     9   LAS CVT HA REPAIR PAT       LUBA,ALEKSANDRA</t>
  </si>
  <si>
    <t xml:space="preserve">     10  LAS CVT HA REPAIR PRO       LUBA,ALEKSANDRA</t>
  </si>
  <si>
    <t xml:space="preserve">     11  LAS CVT MH INTAKE PAT       </t>
  </si>
  <si>
    <t xml:space="preserve">     12  LAS CVT MH INTAKE PRO       </t>
  </si>
  <si>
    <t xml:space="preserve">     13  LAS CVT MH INTAKE REV PAT       </t>
  </si>
  <si>
    <t xml:space="preserve">     14  LAS CVT MH INTAKE REV PRO       </t>
  </si>
  <si>
    <t xml:space="preserve">     15  LAS CVT MHC PHYSN 38 PAT       ZOKO,LOUIS MD</t>
  </si>
  <si>
    <t xml:space="preserve">     16  LAS CVT MHC PHYSN 38 PRO       ZOKO,LOUIS MD</t>
  </si>
  <si>
    <t xml:space="preserve">     17  LAS CVT MHC PHYSN 42 PAT       OLSON-MARSZEWSKI,RACHAEL C</t>
  </si>
  <si>
    <t xml:space="preserve">     18  LAS CVT MHC PHYSN 42 PRO       OLSON-MARSZEWSKI,RACHAEL C</t>
  </si>
  <si>
    <t xml:space="preserve">     19  LAS CVT MHC PHYSN 8 PAT       CHERIAN,PAVIL T MD</t>
  </si>
  <si>
    <t xml:space="preserve">     20  LAS CVT MHC PHYSN 8 PRO       CHERIAN,PAVIL T MD</t>
  </si>
  <si>
    <t xml:space="preserve">     21  LAS CVT PM&amp;R AMPUTATION PAT       MUTHUKRISHNAN,SRI RANJINI</t>
  </si>
  <si>
    <t xml:space="preserve">     22  LAS CVT PM&amp;R AMPUTATION PRO       MUTHUKRISHNAN,SRI RANJINI</t>
  </si>
  <si>
    <t xml:space="preserve">     23  LAS CVT SLC GMS PAT 2       </t>
  </si>
  <si>
    <t xml:space="preserve">     24  LAS CVT SPEECH PAT       CHALCRAFT,LAURA C</t>
  </si>
  <si>
    <t xml:space="preserve">     25  LAS CVT SPEECH PRO       </t>
  </si>
  <si>
    <t xml:space="preserve">     26  LAS CVT TSP PAT       </t>
  </si>
  <si>
    <t xml:space="preserve">     27  LAS CVT TSP PRO  </t>
  </si>
  <si>
    <t>Oak Lawn</t>
  </si>
  <si>
    <t>Candice Harris  ext. 29940</t>
  </si>
  <si>
    <t>FTC</t>
  </si>
  <si>
    <t>Jessica Wilson</t>
  </si>
  <si>
    <t>Gisele Steele x29941</t>
  </si>
  <si>
    <t>TCT Cell: (708)-243-0448</t>
  </si>
  <si>
    <t>Cell: (708)-932-7433</t>
  </si>
  <si>
    <t xml:space="preserve">     1   OL CVT CHAPLAIN PAT       JONES,MELVIN L</t>
  </si>
  <si>
    <t>Room: 102</t>
  </si>
  <si>
    <t>Alias:9504580</t>
  </si>
  <si>
    <t>Ext:29946</t>
  </si>
  <si>
    <t>IP Address: 10.101.241.222</t>
  </si>
  <si>
    <t>Alias:9504585</t>
  </si>
  <si>
    <t>Ext: 29947</t>
  </si>
  <si>
    <t xml:space="preserve">IP Address: 10.101.241.218 </t>
  </si>
  <si>
    <t>Alias: 9504589</t>
  </si>
  <si>
    <t>Ext: 29948</t>
  </si>
  <si>
    <t>IP Address: 10.101.241.215</t>
  </si>
  <si>
    <t>Alias: 9504574</t>
  </si>
  <si>
    <t>Ext: 29944</t>
  </si>
  <si>
    <t xml:space="preserve">     2   OL CVT CHAPLAIN PRO       JONES,MELVIN L</t>
  </si>
  <si>
    <t xml:space="preserve">     3   OL CVT GEC PALLIATIVE NP PAT       </t>
  </si>
  <si>
    <t>GOULD (41)</t>
  </si>
  <si>
    <t xml:space="preserve">     4   OL CVT GEC PALLIATIVE NP PRO       </t>
  </si>
  <si>
    <t>CUSICK (37)</t>
  </si>
  <si>
    <t>GOMOLL (15)</t>
  </si>
  <si>
    <t>SMHRA (44)</t>
  </si>
  <si>
    <t xml:space="preserve">     5   OL CVT GEC PALLIATIVE PAT       </t>
  </si>
  <si>
    <t xml:space="preserve">     6   OL CVT GEC PALLIATIVE PRO       </t>
  </si>
  <si>
    <t xml:space="preserve">     7   OL CVT GI TELEPREP PAT       </t>
  </si>
  <si>
    <t xml:space="preserve">     8   OL CVT GI TELEPREP PRO       </t>
  </si>
  <si>
    <t xml:space="preserve">     9   OL CVT LIVER TRANS PHARM D PAT      </t>
  </si>
  <si>
    <t xml:space="preserve">Telespirometry                         </t>
  </si>
  <si>
    <t xml:space="preserve">Telespirometry  11am-12  </t>
  </si>
  <si>
    <t xml:space="preserve">     10  OL CVT LIVER TRANSPLT PAT       </t>
  </si>
  <si>
    <t xml:space="preserve">     11  OL CVT MH INTAKE PAT       </t>
  </si>
  <si>
    <t xml:space="preserve">     12  OL CVT MH INTAKE PRO       </t>
  </si>
  <si>
    <t xml:space="preserve">     13  OL CVT MH INTAKE REV PAT       </t>
  </si>
  <si>
    <t>SPEECH</t>
  </si>
  <si>
    <t xml:space="preserve">     14  OL CVT MH INTAKE REV PRO       </t>
  </si>
  <si>
    <t xml:space="preserve">     15  OL CVT MHC PHYSN 15 PAT       GOMOLL,BRIAN P MD</t>
  </si>
  <si>
    <t xml:space="preserve">     16  OL CVT MHC PHYSN 15 PRO       GOMOLL,BRIAN P MD</t>
  </si>
  <si>
    <t xml:space="preserve">     17  OL CVT MHC PHYSN 37 PAT       CUSICK,RALPH J</t>
  </si>
  <si>
    <t xml:space="preserve">     18  OL CVT MHC PHYSN 37 PRO       CUSICK,RALPH J</t>
  </si>
  <si>
    <t xml:space="preserve">     19  OL CVT MHC PHYSN 41 PAT       GOULD,CATHLEEN M</t>
  </si>
  <si>
    <t xml:space="preserve">     20  OL CVT MHC PHYSN 41 PRO       GOULD,CATHLEEN M</t>
  </si>
  <si>
    <t xml:space="preserve">     21  OL CVT MHC PHYSN 44 PAT       SMRHA,ANA V MD</t>
  </si>
  <si>
    <t xml:space="preserve">     22  OL CVT MHC PHYSN 44 PRO       SMRHA,ANA V MD</t>
  </si>
  <si>
    <t xml:space="preserve">     23  OL CVT SLC GMS PAT 2       </t>
  </si>
  <si>
    <t xml:space="preserve">     24  OL CVT SPEECH PAT       </t>
  </si>
  <si>
    <t xml:space="preserve">     25  OL CVT SPEECH PRO       </t>
  </si>
  <si>
    <t xml:space="preserve">     26  OL CVT TSP PAT       </t>
  </si>
  <si>
    <t xml:space="preserve">     27  OL CVT TSP PRO  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</si>
  <si>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 110</t>
    </r>
  </si>
  <si>
    <t>Alias: 9504667</t>
  </si>
  <si>
    <t>Ext: 29907</t>
  </si>
  <si>
    <t>IP Address: 10-101.241.150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</si>
  <si>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139</t>
    </r>
  </si>
  <si>
    <t xml:space="preserve">Alias: </t>
  </si>
  <si>
    <t>Ext: 29934</t>
  </si>
  <si>
    <t xml:space="preserve">1st Mon   Provider Mtg                                                              2nd Mon -Open                                                3rd Mon -Open                                                            4th Mon  -Open </t>
  </si>
  <si>
    <t>3rd Wed MH F2F                          5th Wed MH F2F                        starting June 2020</t>
  </si>
  <si>
    <r>
      <t>1st  Thurs PCBH 8-12 Odd Mo                                                    2nd Thursday -</t>
    </r>
    <r>
      <rPr>
        <sz val="11"/>
        <color rgb="FFFF0000"/>
        <rFont val="Calibri"/>
        <family val="2"/>
        <scheme val="minor"/>
      </rPr>
      <t>Open</t>
    </r>
    <r>
      <rPr>
        <sz val="11"/>
        <rFont val="Calibri"/>
        <family val="2"/>
        <scheme val="minor"/>
      </rPr>
      <t xml:space="preserve">                                                                               3rd Thursday</t>
    </r>
    <r>
      <rPr>
        <sz val="11"/>
        <color rgb="FFFF0000"/>
        <rFont val="Calibri"/>
        <family val="2"/>
        <scheme val="minor"/>
      </rPr>
      <t xml:space="preserve"> Open</t>
    </r>
    <r>
      <rPr>
        <sz val="11"/>
        <rFont val="Calibri"/>
        <family val="2"/>
        <scheme val="minor"/>
      </rPr>
      <t xml:space="preserve">                                                                              4th Thursday </t>
    </r>
    <r>
      <rPr>
        <sz val="11"/>
        <color rgb="FFFF0000"/>
        <rFont val="Calibri"/>
        <family val="2"/>
        <scheme val="minor"/>
      </rPr>
      <t xml:space="preserve">Open </t>
    </r>
  </si>
  <si>
    <t>Nutrition Groups (on site)</t>
  </si>
  <si>
    <t xml:space="preserve">PACT MTG 8AM-9AM </t>
  </si>
  <si>
    <t xml:space="preserve">1st Tues Move                                                                         2nd Tues Move                                                        3rd Tues Move                                                           4th Tues Open                                                            5th Tues Open   </t>
  </si>
  <si>
    <r>
      <t>1st  Thurs PCBH 8-12 Odd Mo                                                    2nd Thurs -HBPC 08-30-11am                                                                            3rd Thursday</t>
    </r>
    <r>
      <rPr>
        <sz val="11"/>
        <color rgb="FFFF0000"/>
        <rFont val="Calibri"/>
        <family val="2"/>
        <scheme val="minor"/>
      </rPr>
      <t xml:space="preserve"> Open</t>
    </r>
    <r>
      <rPr>
        <sz val="11"/>
        <rFont val="Calibri"/>
        <family val="2"/>
        <scheme val="minor"/>
      </rPr>
      <t xml:space="preserve">                                                                              4th Thursday </t>
    </r>
    <r>
      <rPr>
        <sz val="11"/>
        <color rgb="FFFF0000"/>
        <rFont val="Calibri"/>
        <family val="2"/>
        <scheme val="minor"/>
      </rPr>
      <t xml:space="preserve">Open </t>
    </r>
  </si>
  <si>
    <t>Nutrition Individual F2F</t>
  </si>
  <si>
    <t xml:space="preserve">1st Tues open                                                                         2nd Tues Move                                                 3rd Tues open                                      4th Tues Diabetes/Burke </t>
  </si>
  <si>
    <t xml:space="preserve">1st Wed  open                                                                                                                                                 2nd Wed  open                                                                      3rd Wed  MH F2F in 2020                                                     4th Wed  Diabetes/Burke </t>
  </si>
  <si>
    <t xml:space="preserve">Telespirometry 10-11am </t>
  </si>
  <si>
    <r>
      <t>1st Thurs PCBH 8-12  Odd Mo                                                   2nd Thurs-HBPC 0830-11am                                                                                3rd Thurs PCBH 10-12  Odd Mo                                                   4th Thursday-</t>
    </r>
    <r>
      <rPr>
        <sz val="11"/>
        <color rgb="FFFF0000"/>
        <rFont val="Calibri"/>
        <family val="2"/>
        <scheme val="minor"/>
      </rPr>
      <t xml:space="preserve">Open </t>
    </r>
  </si>
  <si>
    <t>D</t>
  </si>
  <si>
    <t xml:space="preserve">Telespirometry                             11am-12 noon </t>
  </si>
  <si>
    <t xml:space="preserve">1st Tues open                                                                         2nd Tues open                                    3rd Tues open                                      4th Tues Diabetes/Burke </t>
  </si>
  <si>
    <r>
      <t>1st Thurs PCBH 8-12   Odd Mo                                                   2nd Thursday-</t>
    </r>
    <r>
      <rPr>
        <sz val="11"/>
        <color rgb="FFFF0000"/>
        <rFont val="Calibri"/>
        <family val="2"/>
        <scheme val="minor"/>
      </rPr>
      <t>Open</t>
    </r>
    <r>
      <rPr>
        <sz val="11"/>
        <rFont val="Calibri"/>
        <family val="2"/>
        <scheme val="minor"/>
      </rPr>
      <t xml:space="preserve">                                                                                   3rd Thurs PCBH 10-12  Odd Mo                                                   4th Thursday-</t>
    </r>
    <r>
      <rPr>
        <sz val="11"/>
        <color rgb="FFFF0000"/>
        <rFont val="Calibri"/>
        <family val="2"/>
        <scheme val="minor"/>
      </rPr>
      <t xml:space="preserve">Open </t>
    </r>
  </si>
  <si>
    <t>Mental Health Orientation</t>
  </si>
  <si>
    <t>1st Tues.- open                                         2nd Tues Diab Mgt,f2f                                       3rd Tues-WT Mgmt  f2f                                      4th Tues-open</t>
  </si>
  <si>
    <t>Diabetes Mellitus Class</t>
  </si>
  <si>
    <t xml:space="preserve">Dr Dolgin PCBH CPAP </t>
  </si>
  <si>
    <r>
      <rPr>
        <b/>
        <sz val="12"/>
        <color theme="1"/>
        <rFont val="Calibri"/>
        <family val="2"/>
        <scheme val="minor"/>
      </rPr>
      <t>Global Kart Room</t>
    </r>
    <r>
      <rPr>
        <sz val="11"/>
        <color theme="1"/>
        <rFont val="Calibri"/>
        <family val="2"/>
        <scheme val="minor"/>
      </rPr>
      <t>: 113</t>
    </r>
  </si>
  <si>
    <t>Ext:29940</t>
  </si>
  <si>
    <t>TELEHEALTH ON DEMAND                       TRI                                        TELEDERM                                                        TELE-SPIROMETRY</t>
  </si>
  <si>
    <t xml:space="preserve">Teleretinal Imaging </t>
  </si>
  <si>
    <t xml:space="preserve">Tele-Spirometry 10-11am </t>
  </si>
  <si>
    <t xml:space="preserve">Tele-Spirometry 11-12am </t>
  </si>
  <si>
    <t xml:space="preserve">Telederm </t>
  </si>
  <si>
    <t>TCT Meeting 2:30-3:30</t>
  </si>
  <si>
    <t>OakLawn102</t>
  </si>
  <si>
    <t>CBOC_Name_text</t>
  </si>
  <si>
    <t>TimeSlot_text</t>
  </si>
  <si>
    <t>Day_Monday_text</t>
  </si>
  <si>
    <t>Day_Tuesday_text</t>
  </si>
  <si>
    <t>Day_Wednesday_text</t>
  </si>
  <si>
    <t>Day_Thursday_text</t>
  </si>
  <si>
    <t>Day_Friday_text</t>
  </si>
  <si>
    <t>Candice Harris</t>
  </si>
  <si>
    <t>(708) 243-0448</t>
  </si>
  <si>
    <t>Gisele Steele</t>
  </si>
  <si>
    <t>(708) 932-7433</t>
  </si>
  <si>
    <t>29946</t>
  </si>
  <si>
    <t>Room_Extension_text</t>
  </si>
  <si>
    <t>Room_Alias_text</t>
  </si>
  <si>
    <t>Room_IPaddress_text</t>
  </si>
  <si>
    <t>10.101.241.222</t>
  </si>
  <si>
    <t>TCT_Name_text</t>
  </si>
  <si>
    <t>TCT_Email_text</t>
  </si>
  <si>
    <t>TCT_Phone_text</t>
  </si>
  <si>
    <t>TCT_Cell_text</t>
  </si>
  <si>
    <t>CNM_Name_text</t>
  </si>
  <si>
    <t>CNM_Email_text</t>
  </si>
  <si>
    <t>Gisele.Williams@va.gov</t>
  </si>
  <si>
    <t>Candice.Harris2@va.gov</t>
  </si>
  <si>
    <t>CNM_Phone_text</t>
  </si>
  <si>
    <t>CNM_Cell_text</t>
  </si>
  <si>
    <t>FTC_Name_text</t>
  </si>
  <si>
    <t>FTC_Cell_text</t>
  </si>
  <si>
    <t>FTC_Email_text</t>
  </si>
  <si>
    <t>Jessica.Wilson@va.gov</t>
  </si>
  <si>
    <t>22230</t>
  </si>
  <si>
    <t>OakLawn103</t>
  </si>
  <si>
    <t>10.101.241.218</t>
  </si>
  <si>
    <t>TimeSlot_Start_text</t>
  </si>
  <si>
    <t>0800</t>
  </si>
  <si>
    <t>0830</t>
  </si>
  <si>
    <t>0900</t>
  </si>
  <si>
    <t>0930</t>
  </si>
  <si>
    <t>1000</t>
  </si>
  <si>
    <t>1030</t>
  </si>
  <si>
    <t>1100</t>
  </si>
  <si>
    <t>1130</t>
  </si>
  <si>
    <t>1200</t>
  </si>
  <si>
    <t>1230</t>
  </si>
  <si>
    <t>1300</t>
  </si>
  <si>
    <t>1330</t>
  </si>
  <si>
    <t>1400</t>
  </si>
  <si>
    <t>1430</t>
  </si>
  <si>
    <t>1500</t>
  </si>
  <si>
    <t>1530</t>
  </si>
  <si>
    <t>OakLawn104</t>
  </si>
  <si>
    <t>9504589</t>
  </si>
  <si>
    <t>29948</t>
  </si>
  <si>
    <t>10.101.241.215</t>
  </si>
  <si>
    <t>OakLawn105</t>
  </si>
  <si>
    <t>9504574</t>
  </si>
  <si>
    <t>29944</t>
  </si>
  <si>
    <t>Aurora</t>
  </si>
  <si>
    <t>Aurora120</t>
  </si>
  <si>
    <t>9540609</t>
  </si>
  <si>
    <t>29835</t>
  </si>
  <si>
    <t>Myra Valera</t>
  </si>
  <si>
    <t>Myra.Valera@va.gov</t>
  </si>
  <si>
    <t>29849</t>
  </si>
  <si>
    <t>(708) 964-3999</t>
  </si>
  <si>
    <t>Shirlynne.Roan@va.gov</t>
  </si>
  <si>
    <t>29711</t>
  </si>
  <si>
    <t>FTC_Phone_text</t>
  </si>
  <si>
    <t>FTC_Cell_text2</t>
  </si>
  <si>
    <t>Aurora121</t>
  </si>
  <si>
    <t>9504610</t>
  </si>
  <si>
    <t>29809</t>
  </si>
  <si>
    <t>Joliet</t>
  </si>
  <si>
    <t>Joliet1010</t>
  </si>
  <si>
    <t>9504641</t>
  </si>
  <si>
    <t>73085</t>
  </si>
  <si>
    <t>10.101.227.68</t>
  </si>
  <si>
    <t>Marcus Waddell</t>
  </si>
  <si>
    <t>Marcus.Waddell@va.gov</t>
  </si>
  <si>
    <t>73104</t>
  </si>
  <si>
    <t>(708) 998-7986</t>
  </si>
  <si>
    <t>Sharon Gunderson</t>
  </si>
  <si>
    <t>73040</t>
  </si>
  <si>
    <t>Sharon.Gunderson@va.gov</t>
  </si>
  <si>
    <t>(708) 743-1691</t>
  </si>
  <si>
    <t>FTC_Cell_number</t>
  </si>
  <si>
    <t>CNM_Cell_number</t>
  </si>
  <si>
    <t>TCT_Cell_number</t>
  </si>
  <si>
    <t>7089327433</t>
  </si>
  <si>
    <t>7089987986</t>
  </si>
  <si>
    <t>7087431691</t>
  </si>
  <si>
    <t>FTC_Cell_text22</t>
  </si>
  <si>
    <t>7082430448</t>
  </si>
  <si>
    <t>7089643999</t>
  </si>
  <si>
    <t>Joliet1011</t>
  </si>
  <si>
    <t>9504642</t>
  </si>
  <si>
    <t>73086</t>
  </si>
  <si>
    <t>10.101.228.71</t>
  </si>
  <si>
    <t>Joliet1012</t>
  </si>
  <si>
    <t>Room_number</t>
  </si>
  <si>
    <t>1012</t>
  </si>
  <si>
    <t>9504643</t>
  </si>
  <si>
    <t>73087</t>
  </si>
  <si>
    <t>10.101.228.72</t>
  </si>
  <si>
    <t>102</t>
  </si>
  <si>
    <t>103</t>
  </si>
  <si>
    <t>Room_Name_text</t>
  </si>
  <si>
    <t>104</t>
  </si>
  <si>
    <t>105</t>
  </si>
  <si>
    <t>120</t>
  </si>
  <si>
    <t>121</t>
  </si>
  <si>
    <t>1010</t>
  </si>
  <si>
    <t>1011</t>
  </si>
  <si>
    <t>Joliet1013</t>
  </si>
  <si>
    <t>1013</t>
  </si>
  <si>
    <t>9504644</t>
  </si>
  <si>
    <t>73088</t>
  </si>
  <si>
    <t>10.101.228.73</t>
  </si>
  <si>
    <t>HoffmanEstates106</t>
  </si>
  <si>
    <t>106</t>
  </si>
  <si>
    <t>9504592</t>
  </si>
  <si>
    <t>29709</t>
  </si>
  <si>
    <t>10.101.238.35</t>
  </si>
  <si>
    <t>Ailene Taylor</t>
  </si>
  <si>
    <t>Ailene.Taylor@va.gov</t>
  </si>
  <si>
    <t>29715</t>
  </si>
  <si>
    <t>(708) 979-6317</t>
  </si>
  <si>
    <t>708979613</t>
  </si>
  <si>
    <t>Julie Tiltz</t>
  </si>
  <si>
    <t>Julie.Tiltz@va.gov</t>
  </si>
  <si>
    <t>HoffmanEstates104</t>
  </si>
  <si>
    <t>9504615</t>
  </si>
  <si>
    <t>29707</t>
  </si>
  <si>
    <t>10.101.238.34</t>
  </si>
  <si>
    <t>HoffmanEstates105</t>
  </si>
  <si>
    <t>9504572</t>
  </si>
  <si>
    <t>29078</t>
  </si>
  <si>
    <t>10.101.238.38</t>
  </si>
  <si>
    <t>HoffmanEstates103</t>
  </si>
  <si>
    <t>9504616</t>
  </si>
  <si>
    <t>29706</t>
  </si>
  <si>
    <t>10.101.238.33</t>
  </si>
  <si>
    <t>Kankakee101</t>
  </si>
  <si>
    <t>101</t>
  </si>
  <si>
    <t>9504579</t>
  </si>
  <si>
    <t>29331</t>
  </si>
  <si>
    <t>10.101.242.33</t>
  </si>
  <si>
    <t>29329</t>
  </si>
  <si>
    <t>HINESTCTS@va.gov</t>
  </si>
  <si>
    <t>Sharaine James</t>
  </si>
  <si>
    <t>Sharaine.James@va.gov</t>
  </si>
  <si>
    <t>25092</t>
  </si>
  <si>
    <t>(708) 928-7239</t>
  </si>
  <si>
    <t>7089287239</t>
  </si>
  <si>
    <t>Kankakee102</t>
  </si>
  <si>
    <t>9504453</t>
  </si>
  <si>
    <t>29332</t>
  </si>
  <si>
    <t>10.101.242.34</t>
  </si>
  <si>
    <t>Kankakee103</t>
  </si>
  <si>
    <t>9504647</t>
  </si>
  <si>
    <t>29333</t>
  </si>
  <si>
    <t>10.101.242.35</t>
  </si>
  <si>
    <t>Kankakee104</t>
  </si>
  <si>
    <t>9504469</t>
  </si>
  <si>
    <t>29334</t>
  </si>
  <si>
    <t>10.101.150.41</t>
  </si>
  <si>
    <t>Kankakee113</t>
  </si>
  <si>
    <t>113</t>
  </si>
  <si>
    <t>Lasalle130</t>
  </si>
  <si>
    <t>130</t>
  </si>
  <si>
    <t>9504584</t>
  </si>
  <si>
    <t>29442</t>
  </si>
  <si>
    <t>10.101.240.36</t>
  </si>
  <si>
    <t>Tina Bird</t>
  </si>
  <si>
    <t>Tina.Bird@va.gov</t>
  </si>
  <si>
    <t>29429</t>
  </si>
  <si>
    <t>(708) 543-0566</t>
  </si>
  <si>
    <t>7085430566</t>
  </si>
  <si>
    <t>Buffy Hoskins</t>
  </si>
  <si>
    <t>Buffy.Hoskins@va.gov</t>
  </si>
  <si>
    <t>(708) 928-3086</t>
  </si>
  <si>
    <t>7089283086</t>
  </si>
  <si>
    <t>Lasalle129</t>
  </si>
  <si>
    <t>129</t>
  </si>
  <si>
    <t>9504612</t>
  </si>
  <si>
    <t>29441</t>
  </si>
  <si>
    <t>10.101.240.37</t>
  </si>
  <si>
    <t>Lasalle128</t>
  </si>
  <si>
    <t>128</t>
  </si>
  <si>
    <t>9504621</t>
  </si>
  <si>
    <t>29439</t>
  </si>
  <si>
    <t>10.101.240.35</t>
  </si>
  <si>
    <t>Lasalle127</t>
  </si>
  <si>
    <t>127</t>
  </si>
  <si>
    <t>9504613</t>
  </si>
  <si>
    <t>29438</t>
  </si>
  <si>
    <t>10.101.240.34</t>
  </si>
  <si>
    <t>TimeSlot_Start_time</t>
  </si>
  <si>
    <t>TimeSlot_End_time</t>
  </si>
  <si>
    <t>1:00pm - 1:30pm</t>
  </si>
  <si>
    <t>1:30pm - 2:00pm</t>
  </si>
  <si>
    <t>10:00am - 10:30am</t>
  </si>
  <si>
    <t>10:30am - 11:00am</t>
  </si>
  <si>
    <t>11:30am - 12:00pm</t>
  </si>
  <si>
    <t>11:00am - 11:30am</t>
  </si>
  <si>
    <t>12:00pm - 12:30pm</t>
  </si>
  <si>
    <t>12:30pm - 1:00pm</t>
  </si>
  <si>
    <t>2:00pm - 2:30pm</t>
  </si>
  <si>
    <t>2:30pm - 3:00pm</t>
  </si>
  <si>
    <t>3:00pm - 3:30pm</t>
  </si>
  <si>
    <t>3:30pm - 4:00pm</t>
  </si>
  <si>
    <t>8:00am - 8:30am</t>
  </si>
  <si>
    <t>8:30am - 9:00am</t>
  </si>
  <si>
    <t>9:00am - 9:30am</t>
  </si>
  <si>
    <t>9:30am - 10:00am</t>
  </si>
  <si>
    <t>TimeSlot_Start_number</t>
  </si>
  <si>
    <t>Room_Alias_number</t>
  </si>
  <si>
    <t>Room_Extension_number</t>
  </si>
  <si>
    <t>TCT_Phone_number</t>
  </si>
  <si>
    <t>FTC_Phone_number</t>
  </si>
  <si>
    <t>CNM_Phone_number</t>
  </si>
  <si>
    <t>ItemID</t>
  </si>
  <si>
    <t>Modified_Type</t>
  </si>
  <si>
    <t>Expiration_Start_DateTime</t>
  </si>
  <si>
    <t>Expiration_Stop_DateTime</t>
  </si>
  <si>
    <t>Modified_SubmitterEmail_text</t>
  </si>
  <si>
    <t>Modified_SubmitterComment_text</t>
  </si>
  <si>
    <t>Modified_ApproverEmail_text</t>
  </si>
  <si>
    <t>Modified_Submitted_DateTime</t>
  </si>
  <si>
    <t>Modified_Approval_DateTime</t>
  </si>
  <si>
    <t>Modified_Approval_Comments</t>
  </si>
  <si>
    <t>Modified_Status_DateTime</t>
  </si>
  <si>
    <t>Modified_Status_Text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</si>
</sst>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[&lt;=9999999]###\-####;\(###\)\ ###\-####"/>
    <numFmt numFmtId="169" formatCode="[$-409]m/d/yy\ h:mm\ AM/PM;@"/>
    <numFmt numFmtId="171" formatCode="[$-409]h:mm\ AM/PM;@"/>
    <numFmt numFmtId="174" formatCode="[$-409]mm/dd/yy\ hh:mm:ss\ AM/PM;@"/>
  </numFmts>
  <fonts count="7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u/>
      <sz val="10"/>
      <name val="Arial"/>
      <family val="2"/>
    </font>
    <font>
      <sz val="14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0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Tahoma"/>
      <family val="2"/>
    </font>
    <font>
      <b/>
      <sz val="10"/>
      <color theme="0"/>
      <name val="Verdana"/>
      <family val="2"/>
    </font>
    <font>
      <u/>
      <sz val="10"/>
      <color theme="10"/>
      <name val="Arial"/>
      <family val="2"/>
    </font>
    <font>
      <sz val="10"/>
      <color theme="1"/>
      <name val="Tahom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color theme="1"/>
      <name val="Arial"/>
      <family val="2"/>
    </font>
    <font>
      <b/>
      <sz val="16"/>
      <name val="Arial"/>
      <family val="2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Eras Medium ITC"/>
      <family val="2"/>
    </font>
    <font>
      <sz val="11"/>
      <color theme="1"/>
      <name val="Eras Medium ITC"/>
      <family val="2"/>
    </font>
    <font>
      <b/>
      <sz val="16"/>
      <color theme="1"/>
      <name val="Eras Medium ITC"/>
      <family val="2"/>
    </font>
    <font>
      <b/>
      <sz val="24"/>
      <color theme="1"/>
      <name val="Calibri"/>
      <family val="2"/>
      <scheme val="minor"/>
    </font>
    <font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Eras Medium ITC"/>
      <family val="2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1"/>
      <name val="Arial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20"/>
      <name val="Calibri"/>
      <family val="2"/>
      <scheme val="minor"/>
    </font>
    <font>
      <b/>
      <sz val="20"/>
      <color rgb="FF000000"/>
      <name val="Calibri"/>
      <scheme val="minor"/>
    </font>
    <font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8"/>
      <color rgb="FFFFFF0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Eras Medium ITC"/>
      <family val="2"/>
    </font>
    <font>
      <sz val="18"/>
      <color theme="1"/>
      <name val="Eras Medium ITC"/>
      <family val="2"/>
    </font>
    <font>
      <b/>
      <sz val="36"/>
      <color theme="1"/>
      <name val="Calibri"/>
      <family val="2"/>
      <scheme val="minor"/>
    </font>
    <font>
      <b/>
      <sz val="18"/>
      <color rgb="FF242424"/>
      <name val="Eras Medium ITC"/>
      <family val="2"/>
    </font>
  </fonts>
  <fills count="6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lightUp">
        <fgColor theme="0" tint="-0.499984740745262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gradientFill degree="90">
        <stop position="0">
          <color rgb="FFFFFF00"/>
        </stop>
        <stop position="1">
          <color theme="0"/>
        </stop>
      </gradient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00FF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rgb="FF00B0F0"/>
        <bgColor theme="9" tint="0.79998168889431442"/>
      </patternFill>
    </fill>
    <fill>
      <patternFill patternType="solid">
        <fgColor rgb="FFFF00FF"/>
        <bgColor theme="9" tint="0.79998168889431442"/>
      </patternFill>
    </fill>
    <fill>
      <patternFill patternType="solid">
        <fgColor theme="6"/>
        <bgColor indexed="64"/>
      </patternFill>
    </fill>
    <fill>
      <patternFill patternType="solid">
        <fgColor rgb="FFBC29C7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rgb="FF00B050"/>
        </stop>
        <stop position="1">
          <color theme="0" tint="-5.0965910824915313E-2"/>
        </stop>
      </gradientFill>
    </fill>
    <fill>
      <patternFill patternType="solid">
        <fgColor theme="0"/>
        <bgColor auto="1"/>
      </patternFill>
    </fill>
    <fill>
      <gradientFill degree="90">
        <stop position="0">
          <color rgb="FFFFFF00"/>
        </stop>
        <stop position="1">
          <color theme="0" tint="-5.0965910824915313E-2"/>
        </stop>
      </gradientFill>
    </fill>
    <fill>
      <gradientFill degree="90">
        <stop position="0">
          <color theme="9" tint="0.59999389629810485"/>
        </stop>
        <stop position="1">
          <color theme="0" tint="-5.0965910824915313E-2"/>
        </stop>
      </gradientFill>
    </fill>
    <fill>
      <gradientFill degree="90">
        <stop position="0">
          <color theme="3" tint="0.80001220740379042"/>
        </stop>
        <stop position="1">
          <color theme="5" tint="0.80001220740379042"/>
        </stop>
      </gradientFill>
    </fill>
    <fill>
      <patternFill patternType="solid">
        <fgColor theme="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lightUp">
        <fgColor theme="0" tint="-0.499984740745262"/>
        <bgColor theme="1"/>
      </patternFill>
    </fill>
    <fill>
      <patternFill patternType="solid">
        <fgColor rgb="FF33CCCC"/>
        <bgColor indexed="64"/>
      </patternFill>
    </fill>
    <fill>
      <patternFill patternType="solid">
        <fgColor theme="6" tint="0.79998168889431442"/>
        <bgColor indexed="64"/>
      </patternFill>
    </fill>
    <fill>
      <gradientFill degree="135">
        <stop position="0">
          <color theme="0"/>
        </stop>
        <stop position="1">
          <color rgb="FFFFFF00"/>
        </stop>
      </gradient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79998168889431442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7" fillId="0" borderId="0"/>
  </cellStyleXfs>
  <cellXfs count="634">
    <xf numFmtId="0" fontId="0" fillId="0" borderId="0" xfId="0"/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5" borderId="2" xfId="0" applyFont="1" applyFill="1" applyBorder="1" applyAlignment="1">
      <alignment horizontal="left" wrapText="1"/>
    </xf>
    <xf numFmtId="0" fontId="2" fillId="6" borderId="2" xfId="0" applyFont="1" applyFill="1" applyBorder="1" applyAlignment="1">
      <alignment wrapText="1"/>
    </xf>
    <xf numFmtId="0" fontId="2" fillId="0" borderId="0" xfId="0" applyFont="1"/>
    <xf numFmtId="0" fontId="2" fillId="2" borderId="6" xfId="0" applyFont="1" applyFill="1" applyBorder="1"/>
    <xf numFmtId="0" fontId="2" fillId="7" borderId="6" xfId="0" applyFont="1" applyFill="1" applyBorder="1"/>
    <xf numFmtId="0" fontId="2" fillId="4" borderId="6" xfId="0" applyFont="1" applyFill="1" applyBorder="1"/>
    <xf numFmtId="0" fontId="2" fillId="5" borderId="6" xfId="0" applyFont="1" applyFill="1" applyBorder="1"/>
    <xf numFmtId="0" fontId="2" fillId="6" borderId="6" xfId="0" applyFont="1" applyFill="1" applyBorder="1"/>
    <xf numFmtId="0" fontId="4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/>
    <xf numFmtId="20" fontId="1" fillId="0" borderId="1" xfId="0" applyNumberFormat="1" applyFont="1" applyBorder="1" applyAlignment="1">
      <alignment horizontal="right"/>
    </xf>
    <xf numFmtId="20" fontId="1" fillId="0" borderId="2" xfId="0" applyNumberFormat="1" applyFont="1" applyBorder="1"/>
    <xf numFmtId="0" fontId="2" fillId="10" borderId="2" xfId="0" applyFont="1" applyFill="1" applyBorder="1" applyAlignment="1">
      <alignment horizontal="left" wrapText="1"/>
    </xf>
    <xf numFmtId="20" fontId="1" fillId="0" borderId="3" xfId="0" applyNumberFormat="1" applyFont="1" applyBorder="1"/>
    <xf numFmtId="20" fontId="1" fillId="0" borderId="0" xfId="0" applyNumberFormat="1" applyFont="1"/>
    <xf numFmtId="0" fontId="4" fillId="0" borderId="0" xfId="0" applyFont="1"/>
    <xf numFmtId="0" fontId="2" fillId="11" borderId="1" xfId="0" applyFont="1" applyFill="1" applyBorder="1"/>
    <xf numFmtId="20" fontId="1" fillId="0" borderId="8" xfId="0" applyNumberFormat="1" applyFont="1" applyBorder="1"/>
    <xf numFmtId="0" fontId="2" fillId="0" borderId="9" xfId="0" applyFont="1" applyBorder="1"/>
    <xf numFmtId="0" fontId="6" fillId="0" borderId="10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6" xfId="0" applyFont="1" applyBorder="1" applyAlignment="1">
      <alignment horizontal="left" wrapText="1"/>
    </xf>
    <xf numFmtId="0" fontId="5" fillId="0" borderId="10" xfId="0" applyFont="1" applyBorder="1"/>
    <xf numFmtId="0" fontId="5" fillId="0" borderId="0" xfId="0" applyFont="1"/>
    <xf numFmtId="0" fontId="2" fillId="0" borderId="0" xfId="0" applyFont="1" applyAlignment="1">
      <alignment horizontal="left"/>
    </xf>
    <xf numFmtId="0" fontId="2" fillId="2" borderId="5" xfId="0" applyFont="1" applyFill="1" applyBorder="1" applyAlignment="1">
      <alignment horizontal="left" wrapText="1"/>
    </xf>
    <xf numFmtId="0" fontId="7" fillId="0" borderId="0" xfId="0" applyFont="1"/>
    <xf numFmtId="0" fontId="8" fillId="0" borderId="0" xfId="1" applyFont="1" applyAlignment="1" applyProtection="1"/>
    <xf numFmtId="0" fontId="7" fillId="8" borderId="6" xfId="0" applyFont="1" applyFill="1" applyBorder="1"/>
    <xf numFmtId="0" fontId="9" fillId="0" borderId="6" xfId="0" applyFont="1" applyBorder="1" applyAlignment="1">
      <alignment horizontal="left" wrapText="1"/>
    </xf>
    <xf numFmtId="0" fontId="2" fillId="12" borderId="7" xfId="0" applyFont="1" applyFill="1" applyBorder="1"/>
    <xf numFmtId="0" fontId="2" fillId="12" borderId="6" xfId="0" applyFont="1" applyFill="1" applyBorder="1"/>
    <xf numFmtId="0" fontId="2" fillId="12" borderId="6" xfId="0" applyFont="1" applyFill="1" applyBorder="1" applyAlignment="1">
      <alignment horizontal="left" wrapText="1"/>
    </xf>
    <xf numFmtId="0" fontId="2" fillId="12" borderId="10" xfId="0" applyFont="1" applyFill="1" applyBorder="1"/>
    <xf numFmtId="0" fontId="2" fillId="13" borderId="2" xfId="0" applyFont="1" applyFill="1" applyBorder="1" applyAlignment="1">
      <alignment horizontal="left" wrapText="1"/>
    </xf>
    <xf numFmtId="0" fontId="10" fillId="0" borderId="0" xfId="0" applyFont="1"/>
    <xf numFmtId="0" fontId="11" fillId="0" borderId="0" xfId="0" applyFont="1"/>
    <xf numFmtId="0" fontId="7" fillId="12" borderId="9" xfId="0" applyFont="1" applyFill="1" applyBorder="1"/>
    <xf numFmtId="0" fontId="1" fillId="13" borderId="11" xfId="0" applyFont="1" applyFill="1" applyBorder="1" applyAlignment="1">
      <alignment horizontal="left" wrapText="1"/>
    </xf>
    <xf numFmtId="0" fontId="7" fillId="14" borderId="6" xfId="0" applyFont="1" applyFill="1" applyBorder="1"/>
    <xf numFmtId="0" fontId="2" fillId="3" borderId="0" xfId="0" applyFont="1" applyFill="1" applyAlignment="1">
      <alignment horizontal="left" wrapText="1"/>
    </xf>
    <xf numFmtId="0" fontId="3" fillId="0" borderId="0" xfId="1" applyAlignment="1" applyProtection="1"/>
    <xf numFmtId="0" fontId="0" fillId="6" borderId="0" xfId="0" applyFill="1"/>
    <xf numFmtId="0" fontId="18" fillId="20" borderId="12" xfId="0" applyFont="1" applyFill="1" applyBorder="1" applyAlignment="1">
      <alignment horizontal="center" vertical="center" wrapText="1"/>
    </xf>
    <xf numFmtId="0" fontId="19" fillId="20" borderId="12" xfId="0" applyFont="1" applyFill="1" applyBorder="1" applyAlignment="1">
      <alignment horizontal="center" vertical="center"/>
    </xf>
    <xf numFmtId="0" fontId="19" fillId="20" borderId="12" xfId="0" applyFont="1" applyFill="1" applyBorder="1" applyAlignment="1">
      <alignment horizontal="center" vertical="center" wrapText="1"/>
    </xf>
    <xf numFmtId="49" fontId="19" fillId="20" borderId="12" xfId="0" applyNumberFormat="1" applyFont="1" applyFill="1" applyBorder="1" applyAlignment="1">
      <alignment horizontal="center" vertical="center" wrapText="1"/>
    </xf>
    <xf numFmtId="4" fontId="19" fillId="20" borderId="12" xfId="0" applyNumberFormat="1" applyFont="1" applyFill="1" applyBorder="1" applyAlignment="1">
      <alignment horizontal="center" vertical="center" wrapText="1"/>
    </xf>
    <xf numFmtId="0" fontId="21" fillId="21" borderId="12" xfId="0" applyFont="1" applyFill="1" applyBorder="1" applyAlignment="1">
      <alignment horizontal="center" vertical="center" wrapText="1"/>
    </xf>
    <xf numFmtId="0" fontId="22" fillId="21" borderId="12" xfId="0" applyFont="1" applyFill="1" applyBorder="1" applyAlignment="1">
      <alignment horizontal="center" vertical="center" wrapText="1"/>
    </xf>
    <xf numFmtId="0" fontId="22" fillId="21" borderId="12" xfId="0" applyFont="1" applyFill="1" applyBorder="1" applyAlignment="1">
      <alignment horizontal="center" vertical="center"/>
    </xf>
    <xf numFmtId="49" fontId="20" fillId="21" borderId="12" xfId="1" applyNumberFormat="1" applyFont="1" applyFill="1" applyBorder="1" applyAlignment="1" applyProtection="1">
      <alignment horizontal="center" vertical="center" wrapText="1"/>
    </xf>
    <xf numFmtId="4" fontId="22" fillId="21" borderId="12" xfId="0" applyNumberFormat="1" applyFont="1" applyFill="1" applyBorder="1" applyAlignment="1">
      <alignment horizontal="center" vertical="center" wrapText="1"/>
    </xf>
    <xf numFmtId="0" fontId="23" fillId="21" borderId="12" xfId="0" applyFont="1" applyFill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49" fontId="20" fillId="0" borderId="12" xfId="1" applyNumberFormat="1" applyFont="1" applyBorder="1" applyAlignment="1" applyProtection="1">
      <alignment horizontal="center" vertical="center" wrapText="1"/>
    </xf>
    <xf numFmtId="4" fontId="22" fillId="0" borderId="12" xfId="0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49" fontId="3" fillId="0" borderId="12" xfId="1" applyNumberFormat="1" applyBorder="1" applyAlignment="1" applyProtection="1">
      <alignment horizontal="center" vertical="center" wrapText="1"/>
    </xf>
    <xf numFmtId="0" fontId="16" fillId="23" borderId="12" xfId="0" applyFont="1" applyFill="1" applyBorder="1" applyAlignment="1">
      <alignment horizontal="center"/>
    </xf>
    <xf numFmtId="0" fontId="17" fillId="6" borderId="12" xfId="2" applyFill="1" applyBorder="1" applyAlignment="1">
      <alignment wrapText="1"/>
    </xf>
    <xf numFmtId="0" fontId="16" fillId="6" borderId="12" xfId="0" applyFont="1" applyFill="1" applyBorder="1" applyAlignment="1">
      <alignment horizontal="center" wrapText="1"/>
    </xf>
    <xf numFmtId="49" fontId="20" fillId="23" borderId="12" xfId="1" applyNumberFormat="1" applyFont="1" applyFill="1" applyBorder="1" applyAlignment="1" applyProtection="1">
      <alignment horizontal="center" wrapText="1"/>
    </xf>
    <xf numFmtId="0" fontId="17" fillId="6" borderId="12" xfId="2" applyFill="1" applyBorder="1"/>
    <xf numFmtId="0" fontId="16" fillId="6" borderId="12" xfId="0" applyFont="1" applyFill="1" applyBorder="1" applyAlignment="1">
      <alignment horizontal="center"/>
    </xf>
    <xf numFmtId="49" fontId="20" fillId="6" borderId="12" xfId="1" applyNumberFormat="1" applyFont="1" applyFill="1" applyBorder="1" applyAlignment="1" applyProtection="1">
      <alignment horizontal="center" wrapText="1"/>
    </xf>
    <xf numFmtId="0" fontId="16" fillId="24" borderId="12" xfId="0" applyFont="1" applyFill="1" applyBorder="1" applyAlignment="1">
      <alignment horizontal="center"/>
    </xf>
    <xf numFmtId="0" fontId="17" fillId="2" borderId="12" xfId="2" applyFill="1" applyBorder="1" applyAlignment="1">
      <alignment wrapText="1"/>
    </xf>
    <xf numFmtId="0" fontId="16" fillId="2" borderId="12" xfId="0" applyFont="1" applyFill="1" applyBorder="1" applyAlignment="1">
      <alignment horizontal="center" wrapText="1"/>
    </xf>
    <xf numFmtId="49" fontId="20" fillId="2" borderId="12" xfId="1" applyNumberFormat="1" applyFont="1" applyFill="1" applyBorder="1" applyAlignment="1" applyProtection="1">
      <alignment horizontal="center" wrapText="1"/>
    </xf>
    <xf numFmtId="0" fontId="17" fillId="2" borderId="12" xfId="2" applyFill="1" applyBorder="1"/>
    <xf numFmtId="0" fontId="16" fillId="2" borderId="12" xfId="0" applyFont="1" applyFill="1" applyBorder="1" applyAlignment="1">
      <alignment horizontal="center"/>
    </xf>
    <xf numFmtId="0" fontId="16" fillId="25" borderId="12" xfId="0" applyFont="1" applyFill="1" applyBorder="1" applyAlignment="1">
      <alignment horizontal="center"/>
    </xf>
    <xf numFmtId="0" fontId="17" fillId="22" borderId="12" xfId="2" applyFill="1" applyBorder="1" applyAlignment="1">
      <alignment wrapText="1"/>
    </xf>
    <xf numFmtId="0" fontId="16" fillId="21" borderId="12" xfId="0" applyFont="1" applyFill="1" applyBorder="1" applyAlignment="1">
      <alignment horizontal="center" wrapText="1"/>
    </xf>
    <xf numFmtId="49" fontId="20" fillId="22" borderId="12" xfId="1" applyNumberFormat="1" applyFont="1" applyFill="1" applyBorder="1" applyAlignment="1" applyProtection="1">
      <alignment horizontal="center" wrapText="1"/>
    </xf>
    <xf numFmtId="0" fontId="17" fillId="22" borderId="12" xfId="2" applyFill="1" applyBorder="1"/>
    <xf numFmtId="0" fontId="16" fillId="22" borderId="12" xfId="0" applyFont="1" applyFill="1" applyBorder="1" applyAlignment="1">
      <alignment horizontal="center"/>
    </xf>
    <xf numFmtId="0" fontId="16" fillId="0" borderId="12" xfId="0" applyFont="1" applyBorder="1" applyAlignment="1">
      <alignment horizontal="center" wrapText="1"/>
    </xf>
    <xf numFmtId="0" fontId="16" fillId="0" borderId="12" xfId="0" applyFont="1" applyBorder="1" applyAlignment="1">
      <alignment horizontal="center"/>
    </xf>
    <xf numFmtId="0" fontId="17" fillId="7" borderId="12" xfId="2" applyFill="1" applyBorder="1" applyAlignment="1">
      <alignment wrapText="1"/>
    </xf>
    <xf numFmtId="0" fontId="16" fillId="23" borderId="12" xfId="0" applyFont="1" applyFill="1" applyBorder="1" applyAlignment="1">
      <alignment horizontal="center" wrapText="1"/>
    </xf>
    <xf numFmtId="0" fontId="17" fillId="3" borderId="12" xfId="2" applyFill="1" applyBorder="1" applyAlignment="1">
      <alignment wrapText="1"/>
    </xf>
    <xf numFmtId="0" fontId="17" fillId="3" borderId="12" xfId="2" applyFill="1" applyBorder="1"/>
    <xf numFmtId="0" fontId="14" fillId="3" borderId="12" xfId="2" applyFont="1" applyFill="1" applyBorder="1" applyAlignment="1">
      <alignment wrapText="1"/>
    </xf>
    <xf numFmtId="0" fontId="16" fillId="21" borderId="12" xfId="0" applyFont="1" applyFill="1" applyBorder="1" applyAlignment="1">
      <alignment horizontal="center"/>
    </xf>
    <xf numFmtId="0" fontId="20" fillId="3" borderId="12" xfId="1" applyFont="1" applyFill="1" applyBorder="1" applyAlignment="1" applyProtection="1">
      <alignment wrapText="1"/>
    </xf>
    <xf numFmtId="49" fontId="16" fillId="6" borderId="12" xfId="0" applyNumberFormat="1" applyFont="1" applyFill="1" applyBorder="1" applyAlignment="1">
      <alignment horizontal="center"/>
    </xf>
    <xf numFmtId="0" fontId="0" fillId="0" borderId="12" xfId="0" applyBorder="1"/>
    <xf numFmtId="0" fontId="17" fillId="0" borderId="12" xfId="2" applyBorder="1" applyAlignment="1">
      <alignment wrapText="1"/>
    </xf>
    <xf numFmtId="0" fontId="0" fillId="6" borderId="12" xfId="2" applyFont="1" applyFill="1" applyBorder="1" applyAlignment="1">
      <alignment wrapText="1" shrinkToFit="1"/>
    </xf>
    <xf numFmtId="0" fontId="16" fillId="25" borderId="12" xfId="0" applyFont="1" applyFill="1" applyBorder="1" applyAlignment="1">
      <alignment horizontal="center" wrapText="1"/>
    </xf>
    <xf numFmtId="0" fontId="16" fillId="22" borderId="12" xfId="0" applyFont="1" applyFill="1" applyBorder="1" applyAlignment="1">
      <alignment horizontal="center" wrapText="1"/>
    </xf>
    <xf numFmtId="0" fontId="0" fillId="6" borderId="12" xfId="2" applyFont="1" applyFill="1" applyBorder="1" applyAlignment="1">
      <alignment wrapText="1"/>
    </xf>
    <xf numFmtId="0" fontId="0" fillId="0" borderId="12" xfId="0" applyBorder="1" applyAlignment="1">
      <alignment wrapText="1"/>
    </xf>
    <xf numFmtId="0" fontId="0" fillId="2" borderId="12" xfId="2" applyFont="1" applyFill="1" applyBorder="1" applyAlignment="1">
      <alignment wrapText="1"/>
    </xf>
    <xf numFmtId="0" fontId="2" fillId="13" borderId="0" xfId="0" applyFont="1" applyFill="1" applyAlignment="1">
      <alignment horizontal="left" wrapText="1"/>
    </xf>
    <xf numFmtId="20" fontId="1" fillId="3" borderId="0" xfId="0" applyNumberFormat="1" applyFont="1" applyFill="1"/>
    <xf numFmtId="0" fontId="7" fillId="3" borderId="0" xfId="0" applyFont="1" applyFill="1"/>
    <xf numFmtId="0" fontId="2" fillId="5" borderId="0" xfId="0" applyFont="1" applyFill="1"/>
    <xf numFmtId="0" fontId="1" fillId="13" borderId="0" xfId="0" applyFont="1" applyFill="1" applyAlignment="1">
      <alignment horizontal="left" wrapText="1"/>
    </xf>
    <xf numFmtId="20" fontId="1" fillId="17" borderId="0" xfId="0" applyNumberFormat="1" applyFont="1" applyFill="1"/>
    <xf numFmtId="0" fontId="2" fillId="42" borderId="0" xfId="0" applyFont="1" applyFill="1" applyAlignment="1">
      <alignment horizontal="left" wrapText="1"/>
    </xf>
    <xf numFmtId="0" fontId="14" fillId="0" borderId="0" xfId="0" applyFont="1"/>
    <xf numFmtId="0" fontId="1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left"/>
    </xf>
    <xf numFmtId="0" fontId="0" fillId="39" borderId="6" xfId="0" applyFill="1" applyBorder="1"/>
    <xf numFmtId="0" fontId="0" fillId="0" borderId="6" xfId="0" applyBorder="1"/>
    <xf numFmtId="0" fontId="29" fillId="0" borderId="6" xfId="0" applyFont="1" applyBorder="1"/>
    <xf numFmtId="20" fontId="13" fillId="0" borderId="6" xfId="0" applyNumberFormat="1" applyFont="1" applyBorder="1" applyAlignment="1">
      <alignment horizontal="center" wrapText="1"/>
    </xf>
    <xf numFmtId="20" fontId="13" fillId="0" borderId="7" xfId="0" applyNumberFormat="1" applyFont="1" applyBorder="1" applyAlignment="1">
      <alignment horizontal="center" wrapText="1"/>
    </xf>
    <xf numFmtId="0" fontId="0" fillId="18" borderId="6" xfId="0" applyFill="1" applyBorder="1" applyAlignment="1">
      <alignment wrapText="1"/>
    </xf>
    <xf numFmtId="0" fontId="0" fillId="18" borderId="6" xfId="0" applyFill="1" applyBorder="1"/>
    <xf numFmtId="0" fontId="14" fillId="0" borderId="6" xfId="0" applyFont="1" applyBorder="1"/>
    <xf numFmtId="0" fontId="0" fillId="44" borderId="6" xfId="0" applyFill="1" applyBorder="1" applyAlignment="1">
      <alignment wrapText="1"/>
    </xf>
    <xf numFmtId="0" fontId="0" fillId="44" borderId="6" xfId="0" applyFill="1" applyBorder="1"/>
    <xf numFmtId="0" fontId="15" fillId="44" borderId="6" xfId="0" applyFont="1" applyFill="1" applyBorder="1" applyAlignment="1">
      <alignment wrapText="1"/>
    </xf>
    <xf numFmtId="0" fontId="14" fillId="44" borderId="6" xfId="0" applyFont="1" applyFill="1" applyBorder="1" applyAlignment="1">
      <alignment wrapText="1"/>
    </xf>
    <xf numFmtId="0" fontId="0" fillId="2" borderId="6" xfId="0" applyFill="1" applyBorder="1"/>
    <xf numFmtId="0" fontId="0" fillId="2" borderId="14" xfId="0" applyFill="1" applyBorder="1"/>
    <xf numFmtId="0" fontId="0" fillId="2" borderId="10" xfId="0" applyFill="1" applyBorder="1"/>
    <xf numFmtId="0" fontId="0" fillId="6" borderId="6" xfId="0" applyFill="1" applyBorder="1"/>
    <xf numFmtId="0" fontId="0" fillId="5" borderId="6" xfId="0" applyFill="1" applyBorder="1"/>
    <xf numFmtId="0" fontId="0" fillId="4" borderId="10" xfId="0" applyFill="1" applyBorder="1"/>
    <xf numFmtId="0" fontId="0" fillId="4" borderId="6" xfId="0" applyFill="1" applyBorder="1"/>
    <xf numFmtId="0" fontId="0" fillId="4" borderId="14" xfId="0" applyFill="1" applyBorder="1"/>
    <xf numFmtId="0" fontId="0" fillId="31" borderId="6" xfId="0" applyFill="1" applyBorder="1"/>
    <xf numFmtId="0" fontId="0" fillId="15" borderId="6" xfId="0" applyFill="1" applyBorder="1"/>
    <xf numFmtId="0" fontId="0" fillId="15" borderId="14" xfId="0" applyFill="1" applyBorder="1"/>
    <xf numFmtId="0" fontId="0" fillId="46" borderId="6" xfId="0" applyFill="1" applyBorder="1"/>
    <xf numFmtId="0" fontId="0" fillId="46" borderId="10" xfId="0" applyFill="1" applyBorder="1"/>
    <xf numFmtId="0" fontId="29" fillId="3" borderId="6" xfId="0" applyFont="1" applyFill="1" applyBorder="1"/>
    <xf numFmtId="0" fontId="12" fillId="0" borderId="0" xfId="0" applyFont="1" applyAlignment="1">
      <alignment horizontal="left" wrapText="1"/>
    </xf>
    <xf numFmtId="0" fontId="7" fillId="3" borderId="6" xfId="0" applyFont="1" applyFill="1" applyBorder="1"/>
    <xf numFmtId="0" fontId="7" fillId="0" borderId="6" xfId="0" applyFont="1" applyBorder="1"/>
    <xf numFmtId="0" fontId="0" fillId="51" borderId="6" xfId="0" applyFill="1" applyBorder="1"/>
    <xf numFmtId="0" fontId="0" fillId="51" borderId="14" xfId="0" applyFill="1" applyBorder="1"/>
    <xf numFmtId="0" fontId="0" fillId="53" borderId="6" xfId="0" applyFill="1" applyBorder="1"/>
    <xf numFmtId="20" fontId="13" fillId="0" borderId="0" xfId="0" applyNumberFormat="1" applyFont="1" applyAlignment="1">
      <alignment horizontal="center" wrapText="1"/>
    </xf>
    <xf numFmtId="0" fontId="7" fillId="4" borderId="6" xfId="0" applyFont="1" applyFill="1" applyBorder="1"/>
    <xf numFmtId="0" fontId="7" fillId="35" borderId="6" xfId="0" applyFont="1" applyFill="1" applyBorder="1" applyAlignment="1">
      <alignment horizontal="left" wrapText="1"/>
    </xf>
    <xf numFmtId="0" fontId="7" fillId="0" borderId="6" xfId="0" applyFont="1" applyBorder="1" applyAlignment="1">
      <alignment horizontal="left" wrapText="1"/>
    </xf>
    <xf numFmtId="0" fontId="7" fillId="38" borderId="6" xfId="0" applyFont="1" applyFill="1" applyBorder="1" applyAlignment="1">
      <alignment horizontal="left" wrapText="1"/>
    </xf>
    <xf numFmtId="0" fontId="26" fillId="3" borderId="6" xfId="0" applyFont="1" applyFill="1" applyBorder="1" applyAlignment="1">
      <alignment horizontal="left" wrapText="1"/>
    </xf>
    <xf numFmtId="0" fontId="7" fillId="34" borderId="6" xfId="0" applyFont="1" applyFill="1" applyBorder="1" applyAlignment="1">
      <alignment horizontal="left" wrapText="1"/>
    </xf>
    <xf numFmtId="0" fontId="7" fillId="5" borderId="6" xfId="0" applyFont="1" applyFill="1" applyBorder="1" applyAlignment="1">
      <alignment horizontal="left" wrapText="1"/>
    </xf>
    <xf numFmtId="0" fontId="7" fillId="6" borderId="6" xfId="0" applyFont="1" applyFill="1" applyBorder="1" applyAlignment="1">
      <alignment horizontal="left" wrapText="1"/>
    </xf>
    <xf numFmtId="0" fontId="7" fillId="3" borderId="6" xfId="0" applyFont="1" applyFill="1" applyBorder="1" applyAlignment="1">
      <alignment wrapText="1"/>
    </xf>
    <xf numFmtId="0" fontId="7" fillId="3" borderId="2" xfId="0" applyFont="1" applyFill="1" applyBorder="1" applyAlignment="1">
      <alignment horizontal="left" wrapText="1"/>
    </xf>
    <xf numFmtId="0" fontId="7" fillId="18" borderId="2" xfId="0" applyFont="1" applyFill="1" applyBorder="1" applyAlignment="1">
      <alignment horizontal="left" wrapText="1"/>
    </xf>
    <xf numFmtId="0" fontId="7" fillId="4" borderId="6" xfId="0" applyFont="1" applyFill="1" applyBorder="1" applyAlignment="1">
      <alignment horizontal="left" wrapText="1"/>
    </xf>
    <xf numFmtId="0" fontId="29" fillId="0" borderId="14" xfId="0" applyFont="1" applyBorder="1"/>
    <xf numFmtId="0" fontId="7" fillId="43" borderId="6" xfId="0" applyFont="1" applyFill="1" applyBorder="1" applyAlignment="1">
      <alignment horizontal="left" wrapText="1"/>
    </xf>
    <xf numFmtId="0" fontId="7" fillId="16" borderId="6" xfId="0" applyFont="1" applyFill="1" applyBorder="1" applyAlignment="1">
      <alignment horizontal="left" wrapText="1"/>
    </xf>
    <xf numFmtId="0" fontId="7" fillId="18" borderId="6" xfId="0" applyFont="1" applyFill="1" applyBorder="1" applyAlignment="1">
      <alignment horizontal="left" wrapText="1"/>
    </xf>
    <xf numFmtId="0" fontId="7" fillId="8" borderId="6" xfId="0" applyFont="1" applyFill="1" applyBorder="1" applyAlignment="1">
      <alignment horizontal="left" wrapText="1"/>
    </xf>
    <xf numFmtId="0" fontId="26" fillId="3" borderId="6" xfId="0" applyFont="1" applyFill="1" applyBorder="1"/>
    <xf numFmtId="0" fontId="7" fillId="39" borderId="2" xfId="0" applyFont="1" applyFill="1" applyBorder="1" applyAlignment="1">
      <alignment horizontal="left" wrapText="1"/>
    </xf>
    <xf numFmtId="0" fontId="7" fillId="43" borderId="6" xfId="0" applyFont="1" applyFill="1" applyBorder="1"/>
    <xf numFmtId="0" fontId="7" fillId="14" borderId="6" xfId="0" applyFont="1" applyFill="1" applyBorder="1" applyAlignment="1">
      <alignment horizontal="left" wrapText="1"/>
    </xf>
    <xf numFmtId="0" fontId="7" fillId="45" borderId="6" xfId="0" applyFont="1" applyFill="1" applyBorder="1" applyAlignment="1">
      <alignment horizontal="left" wrapText="1"/>
    </xf>
    <xf numFmtId="0" fontId="7" fillId="30" borderId="6" xfId="0" applyFont="1" applyFill="1" applyBorder="1" applyAlignment="1">
      <alignment horizontal="left" wrapText="1"/>
    </xf>
    <xf numFmtId="0" fontId="7" fillId="41" borderId="6" xfId="0" applyFont="1" applyFill="1" applyBorder="1" applyAlignment="1">
      <alignment horizontal="left" wrapText="1"/>
    </xf>
    <xf numFmtId="0" fontId="33" fillId="18" borderId="0" xfId="0" applyFont="1" applyFill="1" applyAlignment="1">
      <alignment wrapText="1"/>
    </xf>
    <xf numFmtId="0" fontId="33" fillId="49" borderId="0" xfId="0" applyFont="1" applyFill="1"/>
    <xf numFmtId="0" fontId="33" fillId="48" borderId="0" xfId="0" applyFont="1" applyFill="1"/>
    <xf numFmtId="0" fontId="7" fillId="7" borderId="6" xfId="0" applyFont="1" applyFill="1" applyBorder="1" applyAlignment="1">
      <alignment horizontal="left" wrapText="1"/>
    </xf>
    <xf numFmtId="0" fontId="7" fillId="27" borderId="6" xfId="0" applyFont="1" applyFill="1" applyBorder="1" applyAlignment="1">
      <alignment horizontal="left" wrapText="1"/>
    </xf>
    <xf numFmtId="0" fontId="7" fillId="28" borderId="6" xfId="0" applyFont="1" applyFill="1" applyBorder="1" applyAlignment="1">
      <alignment horizontal="left" wrapText="1"/>
    </xf>
    <xf numFmtId="0" fontId="7" fillId="28" borderId="6" xfId="0" applyFont="1" applyFill="1" applyBorder="1" applyAlignment="1">
      <alignment wrapText="1"/>
    </xf>
    <xf numFmtId="0" fontId="26" fillId="27" borderId="6" xfId="0" applyFont="1" applyFill="1" applyBorder="1" applyAlignment="1">
      <alignment horizontal="left" wrapText="1"/>
    </xf>
    <xf numFmtId="0" fontId="7" fillId="47" borderId="6" xfId="0" applyFont="1" applyFill="1" applyBorder="1" applyAlignment="1">
      <alignment horizontal="left" wrapText="1"/>
    </xf>
    <xf numFmtId="0" fontId="7" fillId="29" borderId="6" xfId="0" applyFont="1" applyFill="1" applyBorder="1" applyAlignment="1">
      <alignment horizontal="left" wrapText="1"/>
    </xf>
    <xf numFmtId="0" fontId="0" fillId="3" borderId="6" xfId="0" applyFill="1" applyBorder="1" applyAlignment="1">
      <alignment vertical="center"/>
    </xf>
    <xf numFmtId="0" fontId="0" fillId="40" borderId="6" xfId="0" applyFill="1" applyBorder="1" applyAlignment="1">
      <alignment vertical="center" wrapText="1"/>
    </xf>
    <xf numFmtId="0" fontId="7" fillId="0" borderId="6" xfId="0" applyFont="1" applyBorder="1" applyAlignment="1">
      <alignment wrapText="1"/>
    </xf>
    <xf numFmtId="0" fontId="7" fillId="14" borderId="6" xfId="0" applyFont="1" applyFill="1" applyBorder="1" applyAlignment="1">
      <alignment wrapText="1"/>
    </xf>
    <xf numFmtId="0" fontId="7" fillId="8" borderId="6" xfId="0" applyFont="1" applyFill="1" applyBorder="1" applyAlignment="1">
      <alignment wrapText="1"/>
    </xf>
    <xf numFmtId="0" fontId="0" fillId="3" borderId="6" xfId="0" applyFill="1" applyBorder="1"/>
    <xf numFmtId="0" fontId="0" fillId="5" borderId="6" xfId="0" applyFill="1" applyBorder="1" applyAlignment="1">
      <alignment horizontal="left" wrapText="1"/>
    </xf>
    <xf numFmtId="0" fontId="7" fillId="3" borderId="6" xfId="0" applyFont="1" applyFill="1" applyBorder="1" applyAlignment="1">
      <alignment horizontal="left"/>
    </xf>
    <xf numFmtId="0" fontId="7" fillId="3" borderId="6" xfId="0" applyFont="1" applyFill="1" applyBorder="1" applyAlignment="1">
      <alignment vertical="center"/>
    </xf>
    <xf numFmtId="0" fontId="0" fillId="16" borderId="6" xfId="0" applyFill="1" applyBorder="1" applyAlignment="1">
      <alignment horizontal="left" wrapText="1"/>
    </xf>
    <xf numFmtId="0" fontId="0" fillId="50" borderId="6" xfId="0" applyFill="1" applyBorder="1" applyAlignment="1">
      <alignment horizontal="left" wrapText="1"/>
    </xf>
    <xf numFmtId="0" fontId="0" fillId="4" borderId="6" xfId="0" applyFill="1" applyBorder="1" applyAlignment="1">
      <alignment horizontal="center" wrapText="1"/>
    </xf>
    <xf numFmtId="0" fontId="33" fillId="0" borderId="0" xfId="0" applyFont="1"/>
    <xf numFmtId="0" fontId="34" fillId="0" borderId="0" xfId="0" applyFont="1"/>
    <xf numFmtId="0" fontId="0" fillId="0" borderId="14" xfId="0" applyBorder="1"/>
    <xf numFmtId="0" fontId="0" fillId="5" borderId="14" xfId="0" applyFill="1" applyBorder="1"/>
    <xf numFmtId="0" fontId="0" fillId="0" borderId="10" xfId="0" applyBorder="1"/>
    <xf numFmtId="0" fontId="0" fillId="5" borderId="10" xfId="0" applyFill="1" applyBorder="1"/>
    <xf numFmtId="0" fontId="27" fillId="0" borderId="0" xfId="0" applyFont="1"/>
    <xf numFmtId="0" fontId="35" fillId="0" borderId="0" xfId="0" applyFont="1"/>
    <xf numFmtId="0" fontId="36" fillId="0" borderId="0" xfId="0" applyFont="1"/>
    <xf numFmtId="0" fontId="2" fillId="2" borderId="1" xfId="0" applyFont="1" applyFill="1" applyBorder="1" applyAlignment="1">
      <alignment horizontal="left" wrapText="1"/>
    </xf>
    <xf numFmtId="0" fontId="33" fillId="16" borderId="0" xfId="0" applyFont="1" applyFill="1" applyAlignment="1">
      <alignment wrapText="1"/>
    </xf>
    <xf numFmtId="0" fontId="33" fillId="54" borderId="0" xfId="0" applyFont="1" applyFill="1"/>
    <xf numFmtId="0" fontId="33" fillId="44" borderId="0" xfId="0" applyFont="1" applyFill="1"/>
    <xf numFmtId="0" fontId="0" fillId="3" borderId="14" xfId="0" applyFill="1" applyBorder="1"/>
    <xf numFmtId="0" fontId="0" fillId="3" borderId="10" xfId="0" applyFill="1" applyBorder="1"/>
    <xf numFmtId="0" fontId="7" fillId="3" borderId="6" xfId="0" applyFont="1" applyFill="1" applyBorder="1" applyAlignment="1">
      <alignment horizontal="left" wrapText="1"/>
    </xf>
    <xf numFmtId="0" fontId="7" fillId="56" borderId="6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center" wrapText="1"/>
    </xf>
    <xf numFmtId="0" fontId="0" fillId="3" borderId="6" xfId="0" applyFill="1" applyBorder="1" applyAlignment="1">
      <alignment vertical="center" wrapText="1"/>
    </xf>
    <xf numFmtId="0" fontId="11" fillId="3" borderId="6" xfId="0" applyFont="1" applyFill="1" applyBorder="1" applyAlignment="1">
      <alignment horizontal="center" wrapText="1"/>
    </xf>
    <xf numFmtId="0" fontId="7" fillId="55" borderId="6" xfId="0" applyFont="1" applyFill="1" applyBorder="1" applyAlignment="1">
      <alignment horizontal="left" wrapText="1"/>
    </xf>
    <xf numFmtId="0" fontId="35" fillId="55" borderId="0" xfId="0" applyFont="1" applyFill="1" applyAlignment="1">
      <alignment wrapText="1"/>
    </xf>
    <xf numFmtId="0" fontId="38" fillId="0" borderId="0" xfId="0" applyFont="1"/>
    <xf numFmtId="0" fontId="39" fillId="0" borderId="0" xfId="0" applyFont="1"/>
    <xf numFmtId="0" fontId="35" fillId="48" borderId="0" xfId="0" applyFont="1" applyFill="1"/>
    <xf numFmtId="0" fontId="38" fillId="39" borderId="6" xfId="0" applyFont="1" applyFill="1" applyBorder="1"/>
    <xf numFmtId="0" fontId="38" fillId="0" borderId="6" xfId="0" applyFont="1" applyBorder="1"/>
    <xf numFmtId="0" fontId="40" fillId="0" borderId="6" xfId="0" applyFont="1" applyBorder="1"/>
    <xf numFmtId="0" fontId="40" fillId="0" borderId="0" xfId="0" applyFont="1"/>
    <xf numFmtId="20" fontId="25" fillId="0" borderId="6" xfId="0" applyNumberFormat="1" applyFont="1" applyBorder="1" applyAlignment="1">
      <alignment horizontal="center" wrapText="1"/>
    </xf>
    <xf numFmtId="0" fontId="41" fillId="2" borderId="6" xfId="0" applyFont="1" applyFill="1" applyBorder="1" applyAlignment="1">
      <alignment horizontal="left" wrapText="1"/>
    </xf>
    <xf numFmtId="0" fontId="41" fillId="3" borderId="6" xfId="0" applyFont="1" applyFill="1" applyBorder="1" applyAlignment="1">
      <alignment horizontal="left" wrapText="1"/>
    </xf>
    <xf numFmtId="0" fontId="41" fillId="0" borderId="6" xfId="0" applyFont="1" applyBorder="1" applyAlignment="1">
      <alignment horizontal="left" wrapText="1"/>
    </xf>
    <xf numFmtId="0" fontId="41" fillId="6" borderId="6" xfId="0" applyFont="1" applyFill="1" applyBorder="1" applyAlignment="1">
      <alignment horizontal="left" wrapText="1"/>
    </xf>
    <xf numFmtId="0" fontId="42" fillId="3" borderId="6" xfId="0" applyFont="1" applyFill="1" applyBorder="1" applyAlignment="1">
      <alignment horizontal="left" wrapText="1"/>
    </xf>
    <xf numFmtId="0" fontId="41" fillId="35" borderId="6" xfId="0" applyFont="1" applyFill="1" applyBorder="1" applyAlignment="1">
      <alignment horizontal="left" wrapText="1"/>
    </xf>
    <xf numFmtId="0" fontId="38" fillId="18" borderId="6" xfId="0" applyFont="1" applyFill="1" applyBorder="1" applyAlignment="1">
      <alignment wrapText="1"/>
    </xf>
    <xf numFmtId="0" fontId="38" fillId="18" borderId="6" xfId="0" applyFont="1" applyFill="1" applyBorder="1"/>
    <xf numFmtId="0" fontId="41" fillId="3" borderId="6" xfId="0" applyFont="1" applyFill="1" applyBorder="1"/>
    <xf numFmtId="0" fontId="41" fillId="5" borderId="6" xfId="0" applyFont="1" applyFill="1" applyBorder="1" applyAlignment="1">
      <alignment horizontal="left" wrapText="1"/>
    </xf>
    <xf numFmtId="0" fontId="41" fillId="36" borderId="6" xfId="0" applyFont="1" applyFill="1" applyBorder="1" applyAlignment="1">
      <alignment horizontal="left" wrapText="1"/>
    </xf>
    <xf numFmtId="0" fontId="41" fillId="37" borderId="6" xfId="0" applyFont="1" applyFill="1" applyBorder="1" applyAlignment="1">
      <alignment horizontal="left" wrapText="1"/>
    </xf>
    <xf numFmtId="0" fontId="41" fillId="19" borderId="6" xfId="0" applyFont="1" applyFill="1" applyBorder="1" applyAlignment="1">
      <alignment wrapText="1"/>
    </xf>
    <xf numFmtId="0" fontId="41" fillId="3" borderId="6" xfId="0" applyFont="1" applyFill="1" applyBorder="1" applyAlignment="1">
      <alignment wrapText="1"/>
    </xf>
    <xf numFmtId="0" fontId="41" fillId="44" borderId="6" xfId="0" applyFont="1" applyFill="1" applyBorder="1" applyAlignment="1">
      <alignment horizontal="left" wrapText="1"/>
    </xf>
    <xf numFmtId="0" fontId="38" fillId="44" borderId="6" xfId="0" applyFont="1" applyFill="1" applyBorder="1" applyAlignment="1">
      <alignment wrapText="1"/>
    </xf>
    <xf numFmtId="0" fontId="38" fillId="44" borderId="6" xfId="0" applyFont="1" applyFill="1" applyBorder="1"/>
    <xf numFmtId="0" fontId="41" fillId="4" borderId="6" xfId="0" applyFont="1" applyFill="1" applyBorder="1"/>
    <xf numFmtId="0" fontId="7" fillId="3" borderId="7" xfId="0" applyFont="1" applyFill="1" applyBorder="1" applyAlignment="1">
      <alignment wrapText="1"/>
    </xf>
    <xf numFmtId="0" fontId="7" fillId="3" borderId="7" xfId="0" applyFont="1" applyFill="1" applyBorder="1" applyAlignment="1">
      <alignment horizontal="left" wrapText="1"/>
    </xf>
    <xf numFmtId="0" fontId="7" fillId="3" borderId="10" xfId="0" applyFont="1" applyFill="1" applyBorder="1" applyAlignment="1">
      <alignment horizontal="left" wrapText="1"/>
    </xf>
    <xf numFmtId="0" fontId="7" fillId="3" borderId="6" xfId="0" applyFont="1" applyFill="1" applyBorder="1" applyAlignment="1">
      <alignment vertical="center" wrapText="1"/>
    </xf>
    <xf numFmtId="0" fontId="41" fillId="34" borderId="6" xfId="0" applyFont="1" applyFill="1" applyBorder="1" applyAlignment="1">
      <alignment horizontal="left" vertical="top" wrapText="1"/>
    </xf>
    <xf numFmtId="0" fontId="41" fillId="6" borderId="6" xfId="0" applyFont="1" applyFill="1" applyBorder="1" applyAlignment="1">
      <alignment horizontal="left" vertical="top" wrapText="1"/>
    </xf>
    <xf numFmtId="0" fontId="41" fillId="38" borderId="6" xfId="0" applyFont="1" applyFill="1" applyBorder="1" applyAlignment="1">
      <alignment horizontal="left" vertical="top" wrapText="1"/>
    </xf>
    <xf numFmtId="0" fontId="41" fillId="3" borderId="0" xfId="0" applyFont="1" applyFill="1"/>
    <xf numFmtId="0" fontId="0" fillId="3" borderId="6" xfId="0" applyFill="1" applyBorder="1" applyAlignment="1">
      <alignment horizontal="left" wrapText="1"/>
    </xf>
    <xf numFmtId="0" fontId="25" fillId="16" borderId="37" xfId="0" applyFont="1" applyFill="1" applyBorder="1" applyAlignment="1">
      <alignment horizontal="left" wrapText="1"/>
    </xf>
    <xf numFmtId="0" fontId="25" fillId="3" borderId="6" xfId="0" applyFont="1" applyFill="1" applyBorder="1" applyAlignment="1">
      <alignment horizontal="left" wrapText="1"/>
    </xf>
    <xf numFmtId="0" fontId="14" fillId="2" borderId="6" xfId="0" applyFont="1" applyFill="1" applyBorder="1"/>
    <xf numFmtId="0" fontId="41" fillId="0" borderId="6" xfId="0" applyFont="1" applyBorder="1" applyAlignment="1">
      <alignment horizontal="center" wrapText="1"/>
    </xf>
    <xf numFmtId="0" fontId="41" fillId="3" borderId="6" xfId="0" applyFont="1" applyFill="1" applyBorder="1" applyAlignment="1">
      <alignment horizontal="center" wrapText="1"/>
    </xf>
    <xf numFmtId="0" fontId="41" fillId="35" borderId="6" xfId="0" applyFont="1" applyFill="1" applyBorder="1" applyAlignment="1">
      <alignment horizontal="center" wrapText="1"/>
    </xf>
    <xf numFmtId="0" fontId="41" fillId="9" borderId="6" xfId="0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 wrapText="1"/>
    </xf>
    <xf numFmtId="0" fontId="26" fillId="3" borderId="6" xfId="0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wrapText="1"/>
    </xf>
    <xf numFmtId="0" fontId="14" fillId="2" borderId="6" xfId="0" applyFont="1" applyFill="1" applyBorder="1" applyAlignment="1">
      <alignment horizontal="center" wrapText="1"/>
    </xf>
    <xf numFmtId="0" fontId="46" fillId="2" borderId="6" xfId="0" applyFont="1" applyFill="1" applyBorder="1" applyAlignment="1">
      <alignment horizontal="center" wrapText="1"/>
    </xf>
    <xf numFmtId="0" fontId="11" fillId="50" borderId="6" xfId="0" applyFont="1" applyFill="1" applyBorder="1" applyAlignment="1">
      <alignment horizontal="center" wrapText="1"/>
    </xf>
    <xf numFmtId="0" fontId="11" fillId="50" borderId="9" xfId="0" applyFont="1" applyFill="1" applyBorder="1" applyAlignment="1">
      <alignment horizontal="center" wrapText="1"/>
    </xf>
    <xf numFmtId="0" fontId="45" fillId="3" borderId="6" xfId="0" applyFont="1" applyFill="1" applyBorder="1" applyAlignment="1">
      <alignment horizontal="center" wrapText="1"/>
    </xf>
    <xf numFmtId="0" fontId="14" fillId="50" borderId="6" xfId="0" applyFont="1" applyFill="1" applyBorder="1" applyAlignment="1">
      <alignment horizontal="center" wrapText="1"/>
    </xf>
    <xf numFmtId="0" fontId="47" fillId="3" borderId="0" xfId="0" applyFont="1" applyFill="1"/>
    <xf numFmtId="0" fontId="11" fillId="57" borderId="6" xfId="0" applyFont="1" applyFill="1" applyBorder="1" applyAlignment="1">
      <alignment horizontal="center" wrapText="1"/>
    </xf>
    <xf numFmtId="0" fontId="27" fillId="26" borderId="38" xfId="0" applyFont="1" applyFill="1" applyBorder="1" applyAlignment="1">
      <alignment horizontal="center" vertical="center"/>
    </xf>
    <xf numFmtId="0" fontId="28" fillId="0" borderId="38" xfId="0" applyFont="1" applyBorder="1" applyAlignment="1">
      <alignment horizontal="center"/>
    </xf>
    <xf numFmtId="0" fontId="29" fillId="58" borderId="38" xfId="0" applyFont="1" applyFill="1" applyBorder="1" applyAlignment="1">
      <alignment horizontal="left"/>
    </xf>
    <xf numFmtId="0" fontId="0" fillId="0" borderId="38" xfId="0" applyBorder="1"/>
    <xf numFmtId="0" fontId="29" fillId="57" borderId="38" xfId="0" applyFont="1" applyFill="1" applyBorder="1" applyAlignment="1">
      <alignment horizontal="center"/>
    </xf>
    <xf numFmtId="20" fontId="13" fillId="0" borderId="9" xfId="0" applyNumberFormat="1" applyFont="1" applyBorder="1" applyAlignment="1">
      <alignment horizontal="center" wrapText="1"/>
    </xf>
    <xf numFmtId="0" fontId="28" fillId="16" borderId="39" xfId="0" applyFont="1" applyFill="1" applyBorder="1" applyAlignment="1">
      <alignment horizontal="center"/>
    </xf>
    <xf numFmtId="0" fontId="27" fillId="16" borderId="37" xfId="0" applyFont="1" applyFill="1" applyBorder="1" applyAlignment="1">
      <alignment horizontal="center"/>
    </xf>
    <xf numFmtId="0" fontId="27" fillId="16" borderId="40" xfId="0" applyFont="1" applyFill="1" applyBorder="1" applyAlignment="1">
      <alignment horizontal="center"/>
    </xf>
    <xf numFmtId="0" fontId="29" fillId="59" borderId="38" xfId="0" applyFont="1" applyFill="1" applyBorder="1" applyAlignment="1">
      <alignment horizontal="left"/>
    </xf>
    <xf numFmtId="0" fontId="49" fillId="18" borderId="6" xfId="0" applyFont="1" applyFill="1" applyBorder="1" applyAlignment="1">
      <alignment wrapText="1"/>
    </xf>
    <xf numFmtId="0" fontId="14" fillId="18" borderId="6" xfId="0" applyFont="1" applyFill="1" applyBorder="1" applyAlignment="1">
      <alignment wrapText="1"/>
    </xf>
    <xf numFmtId="0" fontId="51" fillId="60" borderId="6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14" fillId="39" borderId="6" xfId="0" applyFont="1" applyFill="1" applyBorder="1" applyAlignment="1">
      <alignment wrapText="1"/>
    </xf>
    <xf numFmtId="0" fontId="52" fillId="6" borderId="41" xfId="0" applyFont="1" applyFill="1" applyBorder="1" applyAlignment="1">
      <alignment horizontal="left" vertical="center" wrapText="1"/>
    </xf>
    <xf numFmtId="0" fontId="7" fillId="31" borderId="6" xfId="0" applyFont="1" applyFill="1" applyBorder="1" applyAlignment="1">
      <alignment vertical="center" wrapText="1"/>
    </xf>
    <xf numFmtId="0" fontId="7" fillId="33" borderId="6" xfId="0" applyFont="1" applyFill="1" applyBorder="1" applyAlignment="1">
      <alignment wrapText="1"/>
    </xf>
    <xf numFmtId="0" fontId="46" fillId="3" borderId="6" xfId="0" applyFont="1" applyFill="1" applyBorder="1" applyAlignment="1">
      <alignment horizontal="center" wrapText="1"/>
    </xf>
    <xf numFmtId="0" fontId="40" fillId="3" borderId="6" xfId="0" applyFont="1" applyFill="1" applyBorder="1" applyAlignment="1">
      <alignment horizontal="center"/>
    </xf>
    <xf numFmtId="0" fontId="26" fillId="0" borderId="6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3" borderId="0" xfId="0" applyFill="1"/>
    <xf numFmtId="0" fontId="0" fillId="39" borderId="9" xfId="0" applyFill="1" applyBorder="1"/>
    <xf numFmtId="0" fontId="0" fillId="39" borderId="38" xfId="0" applyFill="1" applyBorder="1"/>
    <xf numFmtId="20" fontId="13" fillId="0" borderId="38" xfId="0" applyNumberFormat="1" applyFont="1" applyBorder="1" applyAlignment="1">
      <alignment horizontal="center" wrapText="1"/>
    </xf>
    <xf numFmtId="0" fontId="29" fillId="0" borderId="9" xfId="0" applyFont="1" applyBorder="1"/>
    <xf numFmtId="0" fontId="7" fillId="3" borderId="9" xfId="0" applyFont="1" applyFill="1" applyBorder="1" applyAlignment="1">
      <alignment horizontal="left" wrapText="1"/>
    </xf>
    <xf numFmtId="0" fontId="0" fillId="3" borderId="9" xfId="0" applyFill="1" applyBorder="1" applyAlignment="1">
      <alignment horizontal="left" wrapText="1"/>
    </xf>
    <xf numFmtId="0" fontId="14" fillId="3" borderId="6" xfId="0" applyFont="1" applyFill="1" applyBorder="1" applyAlignment="1">
      <alignment horizontal="center" wrapText="1"/>
    </xf>
    <xf numFmtId="0" fontId="54" fillId="3" borderId="0" xfId="0" applyFont="1" applyFill="1"/>
    <xf numFmtId="0" fontId="11" fillId="2" borderId="6" xfId="0" applyFont="1" applyFill="1" applyBorder="1" applyAlignment="1">
      <alignment horizontal="center"/>
    </xf>
    <xf numFmtId="0" fontId="14" fillId="3" borderId="6" xfId="0" applyFont="1" applyFill="1" applyBorder="1"/>
    <xf numFmtId="0" fontId="40" fillId="3" borderId="0" xfId="0" applyFont="1" applyFill="1"/>
    <xf numFmtId="0" fontId="48" fillId="61" borderId="6" xfId="0" applyFont="1" applyFill="1" applyBorder="1" applyAlignment="1">
      <alignment horizontal="left" vertical="top" wrapText="1"/>
    </xf>
    <xf numFmtId="0" fontId="11" fillId="6" borderId="6" xfId="0" applyFont="1" applyFill="1" applyBorder="1" applyAlignment="1">
      <alignment horizontal="left" wrapText="1"/>
    </xf>
    <xf numFmtId="0" fontId="56" fillId="3" borderId="0" xfId="0" applyFont="1" applyFill="1"/>
    <xf numFmtId="0" fontId="15" fillId="2" borderId="6" xfId="0" applyFont="1" applyFill="1" applyBorder="1"/>
    <xf numFmtId="0" fontId="57" fillId="3" borderId="0" xfId="0" applyFont="1" applyFill="1"/>
    <xf numFmtId="0" fontId="27" fillId="3" borderId="0" xfId="0" applyFont="1" applyFill="1"/>
    <xf numFmtId="0" fontId="55" fillId="3" borderId="0" xfId="0" applyFont="1" applyFill="1"/>
    <xf numFmtId="0" fontId="14" fillId="3" borderId="0" xfId="0" applyFont="1" applyFill="1"/>
    <xf numFmtId="0" fontId="27" fillId="3" borderId="0" xfId="0" applyFont="1" applyFill="1" applyAlignment="1">
      <alignment horizontal="center"/>
    </xf>
    <xf numFmtId="0" fontId="58" fillId="3" borderId="0" xfId="0" applyFont="1" applyFill="1" applyAlignment="1">
      <alignment horizontal="center"/>
    </xf>
    <xf numFmtId="0" fontId="61" fillId="3" borderId="6" xfId="0" applyFont="1" applyFill="1" applyBorder="1" applyAlignment="1">
      <alignment horizontal="center" wrapText="1"/>
    </xf>
    <xf numFmtId="0" fontId="28" fillId="0" borderId="0" xfId="0" applyFont="1"/>
    <xf numFmtId="0" fontId="38" fillId="3" borderId="0" xfId="0" applyFont="1" applyFill="1"/>
    <xf numFmtId="0" fontId="35" fillId="16" borderId="0" xfId="0" applyFont="1" applyFill="1"/>
    <xf numFmtId="0" fontId="42" fillId="3" borderId="6" xfId="0" applyFont="1" applyFill="1" applyBorder="1" applyAlignment="1">
      <alignment horizontal="center" wrapText="1"/>
    </xf>
    <xf numFmtId="0" fontId="0" fillId="3" borderId="38" xfId="0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11" fillId="3" borderId="38" xfId="0" applyFont="1" applyFill="1" applyBorder="1" applyAlignment="1">
      <alignment horizontal="center"/>
    </xf>
    <xf numFmtId="0" fontId="14" fillId="62" borderId="6" xfId="0" applyFont="1" applyFill="1" applyBorder="1"/>
    <xf numFmtId="0" fontId="0" fillId="63" borderId="6" xfId="0" applyFill="1" applyBorder="1"/>
    <xf numFmtId="0" fontId="11" fillId="6" borderId="6" xfId="0" applyFont="1" applyFill="1" applyBorder="1" applyAlignment="1">
      <alignment horizontal="center" wrapText="1"/>
    </xf>
    <xf numFmtId="0" fontId="11" fillId="31" borderId="6" xfId="0" applyFont="1" applyFill="1" applyBorder="1" applyAlignment="1">
      <alignment horizontal="center" wrapText="1"/>
    </xf>
    <xf numFmtId="0" fontId="27" fillId="31" borderId="0" xfId="0" applyFont="1" applyFill="1"/>
    <xf numFmtId="0" fontId="40" fillId="6" borderId="0" xfId="0" applyFont="1" applyFill="1"/>
    <xf numFmtId="0" fontId="15" fillId="2" borderId="6" xfId="0" applyFont="1" applyFill="1" applyBorder="1" applyAlignment="1">
      <alignment horizontal="center" wrapText="1"/>
    </xf>
    <xf numFmtId="0" fontId="15" fillId="39" borderId="6" xfId="0" applyFont="1" applyFill="1" applyBorder="1"/>
    <xf numFmtId="0" fontId="40" fillId="39" borderId="6" xfId="0" applyFont="1" applyFill="1" applyBorder="1"/>
    <xf numFmtId="0" fontId="14" fillId="4" borderId="6" xfId="0" applyFont="1" applyFill="1" applyBorder="1"/>
    <xf numFmtId="0" fontId="14" fillId="39" borderId="38" xfId="0" applyFont="1" applyFill="1" applyBorder="1"/>
    <xf numFmtId="0" fontId="0" fillId="3" borderId="38" xfId="0" applyFill="1" applyBorder="1" applyAlignment="1">
      <alignment horizontal="center" wrapText="1"/>
    </xf>
    <xf numFmtId="0" fontId="29" fillId="0" borderId="38" xfId="0" applyFont="1" applyBorder="1"/>
    <xf numFmtId="0" fontId="14" fillId="0" borderId="38" xfId="0" applyFont="1" applyBorder="1"/>
    <xf numFmtId="0" fontId="14" fillId="3" borderId="38" xfId="0" applyFont="1" applyFill="1" applyBorder="1" applyAlignment="1">
      <alignment horizontal="center"/>
    </xf>
    <xf numFmtId="0" fontId="14" fillId="2" borderId="38" xfId="0" applyFont="1" applyFill="1" applyBorder="1" applyAlignment="1">
      <alignment horizontal="center"/>
    </xf>
    <xf numFmtId="0" fontId="15" fillId="3" borderId="38" xfId="0" applyFont="1" applyFill="1" applyBorder="1" applyAlignment="1">
      <alignment wrapText="1"/>
    </xf>
    <xf numFmtId="0" fontId="11" fillId="50" borderId="38" xfId="0" applyFont="1" applyFill="1" applyBorder="1" applyAlignment="1">
      <alignment horizontal="center"/>
    </xf>
    <xf numFmtId="0" fontId="14" fillId="0" borderId="38" xfId="0" applyFont="1" applyBorder="1" applyAlignment="1">
      <alignment horizontal="center"/>
    </xf>
    <xf numFmtId="0" fontId="44" fillId="0" borderId="38" xfId="0" applyFont="1" applyBorder="1" applyAlignment="1">
      <alignment horizontal="center" wrapText="1"/>
    </xf>
    <xf numFmtId="0" fontId="14" fillId="3" borderId="38" xfId="0" applyFont="1" applyFill="1" applyBorder="1" applyAlignment="1">
      <alignment horizontal="center" wrapText="1"/>
    </xf>
    <xf numFmtId="20" fontId="13" fillId="0" borderId="56" xfId="0" applyNumberFormat="1" applyFont="1" applyBorder="1" applyAlignment="1">
      <alignment horizontal="center" wrapText="1"/>
    </xf>
    <xf numFmtId="0" fontId="15" fillId="3" borderId="57" xfId="0" applyFont="1" applyFill="1" applyBorder="1" applyAlignment="1">
      <alignment wrapText="1"/>
    </xf>
    <xf numFmtId="0" fontId="11" fillId="50" borderId="57" xfId="0" applyFont="1" applyFill="1" applyBorder="1" applyAlignment="1">
      <alignment horizontal="center"/>
    </xf>
    <xf numFmtId="0" fontId="14" fillId="0" borderId="58" xfId="0" applyFont="1" applyBorder="1" applyAlignment="1">
      <alignment horizontal="center"/>
    </xf>
    <xf numFmtId="0" fontId="11" fillId="3" borderId="57" xfId="0" applyFont="1" applyFill="1" applyBorder="1" applyAlignment="1">
      <alignment horizontal="center"/>
    </xf>
    <xf numFmtId="0" fontId="0" fillId="0" borderId="57" xfId="0" applyBorder="1"/>
    <xf numFmtId="0" fontId="0" fillId="4" borderId="14" xfId="0" applyFill="1" applyBorder="1" applyAlignment="1">
      <alignment horizontal="center" wrapText="1"/>
    </xf>
    <xf numFmtId="0" fontId="7" fillId="3" borderId="14" xfId="0" applyFont="1" applyFill="1" applyBorder="1"/>
    <xf numFmtId="0" fontId="0" fillId="4" borderId="10" xfId="0" applyFill="1" applyBorder="1" applyAlignment="1">
      <alignment horizontal="center" wrapText="1"/>
    </xf>
    <xf numFmtId="0" fontId="7" fillId="3" borderId="10" xfId="0" applyFont="1" applyFill="1" applyBorder="1"/>
    <xf numFmtId="0" fontId="14" fillId="62" borderId="14" xfId="0" applyFont="1" applyFill="1" applyBorder="1"/>
    <xf numFmtId="0" fontId="14" fillId="62" borderId="10" xfId="0" applyFont="1" applyFill="1" applyBorder="1"/>
    <xf numFmtId="20" fontId="25" fillId="0" borderId="7" xfId="0" applyNumberFormat="1" applyFont="1" applyBorder="1" applyAlignment="1">
      <alignment horizontal="center" wrapText="1"/>
    </xf>
    <xf numFmtId="0" fontId="46" fillId="3" borderId="14" xfId="0" applyFont="1" applyFill="1" applyBorder="1" applyAlignment="1">
      <alignment horizontal="center" wrapText="1"/>
    </xf>
    <xf numFmtId="0" fontId="41" fillId="3" borderId="14" xfId="0" applyFont="1" applyFill="1" applyBorder="1" applyAlignment="1">
      <alignment horizontal="center" wrapText="1"/>
    </xf>
    <xf numFmtId="0" fontId="46" fillId="2" borderId="10" xfId="0" applyFont="1" applyFill="1" applyBorder="1" applyAlignment="1">
      <alignment horizontal="center" wrapText="1"/>
    </xf>
    <xf numFmtId="0" fontId="41" fillId="3" borderId="10" xfId="0" applyFont="1" applyFill="1" applyBorder="1" applyAlignment="1">
      <alignment horizontal="center" wrapText="1"/>
    </xf>
    <xf numFmtId="0" fontId="41" fillId="0" borderId="14" xfId="0" applyFont="1" applyBorder="1" applyAlignment="1">
      <alignment horizontal="center" wrapText="1"/>
    </xf>
    <xf numFmtId="0" fontId="40" fillId="3" borderId="14" xfId="0" applyFont="1" applyFill="1" applyBorder="1" applyAlignment="1">
      <alignment horizontal="center"/>
    </xf>
    <xf numFmtId="0" fontId="46" fillId="3" borderId="10" xfId="0" applyFont="1" applyFill="1" applyBorder="1" applyAlignment="1">
      <alignment horizontal="center" wrapText="1"/>
    </xf>
    <xf numFmtId="0" fontId="41" fillId="35" borderId="10" xfId="0" applyFont="1" applyFill="1" applyBorder="1" applyAlignment="1">
      <alignment horizontal="center" wrapText="1"/>
    </xf>
    <xf numFmtId="0" fontId="60" fillId="2" borderId="6" xfId="0" applyFont="1" applyFill="1" applyBorder="1" applyAlignment="1">
      <alignment horizontal="center" wrapText="1"/>
    </xf>
    <xf numFmtId="0" fontId="61" fillId="2" borderId="6" xfId="0" applyFont="1" applyFill="1" applyBorder="1" applyAlignment="1">
      <alignment horizontal="center" wrapText="1"/>
    </xf>
    <xf numFmtId="0" fontId="60" fillId="2" borderId="14" xfId="0" applyFont="1" applyFill="1" applyBorder="1" applyAlignment="1">
      <alignment horizontal="center" wrapText="1"/>
    </xf>
    <xf numFmtId="0" fontId="61" fillId="2" borderId="14" xfId="0" applyFont="1" applyFill="1" applyBorder="1" applyAlignment="1">
      <alignment horizontal="center" wrapText="1"/>
    </xf>
    <xf numFmtId="0" fontId="46" fillId="12" borderId="10" xfId="0" applyFont="1" applyFill="1" applyBorder="1" applyAlignment="1">
      <alignment horizontal="center" wrapText="1"/>
    </xf>
    <xf numFmtId="0" fontId="46" fillId="12" borderId="6" xfId="0" applyFont="1" applyFill="1" applyBorder="1" applyAlignment="1">
      <alignment horizontal="center" wrapText="1"/>
    </xf>
    <xf numFmtId="0" fontId="28" fillId="12" borderId="0" xfId="0" applyFont="1" applyFill="1"/>
    <xf numFmtId="0" fontId="46" fillId="2" borderId="14" xfId="0" applyFont="1" applyFill="1" applyBorder="1" applyAlignment="1">
      <alignment horizontal="center" wrapText="1"/>
    </xf>
    <xf numFmtId="0" fontId="60" fillId="2" borderId="10" xfId="0" applyFont="1" applyFill="1" applyBorder="1" applyAlignment="1">
      <alignment horizontal="center" wrapText="1"/>
    </xf>
    <xf numFmtId="0" fontId="62" fillId="2" borderId="6" xfId="0" applyFont="1" applyFill="1" applyBorder="1" applyAlignment="1">
      <alignment horizontal="center" wrapText="1"/>
    </xf>
    <xf numFmtId="0" fontId="63" fillId="2" borderId="6" xfId="0" applyFont="1" applyFill="1" applyBorder="1" applyAlignment="1">
      <alignment horizontal="center" wrapText="1"/>
    </xf>
    <xf numFmtId="0" fontId="28" fillId="2" borderId="10" xfId="0" applyFont="1" applyFill="1" applyBorder="1" applyAlignment="1">
      <alignment horizontal="center"/>
    </xf>
    <xf numFmtId="0" fontId="28" fillId="2" borderId="6" xfId="0" applyFont="1" applyFill="1" applyBorder="1" applyAlignment="1">
      <alignment horizontal="center"/>
    </xf>
    <xf numFmtId="0" fontId="60" fillId="3" borderId="6" xfId="0" applyFont="1" applyFill="1" applyBorder="1" applyAlignment="1">
      <alignment horizontal="center" wrapText="1"/>
    </xf>
    <xf numFmtId="0" fontId="63" fillId="3" borderId="6" xfId="0" applyFont="1" applyFill="1" applyBorder="1" applyAlignment="1">
      <alignment horizontal="center" wrapText="1"/>
    </xf>
    <xf numFmtId="0" fontId="7" fillId="3" borderId="14" xfId="0" applyFont="1" applyFill="1" applyBorder="1" applyAlignment="1">
      <alignment horizontal="left" wrapText="1"/>
    </xf>
    <xf numFmtId="0" fontId="7" fillId="0" borderId="10" xfId="0" applyFont="1" applyBorder="1" applyAlignment="1">
      <alignment horizontal="left" wrapText="1"/>
    </xf>
    <xf numFmtId="0" fontId="11" fillId="3" borderId="14" xfId="0" applyFont="1" applyFill="1" applyBorder="1" applyAlignment="1">
      <alignment horizontal="center" wrapText="1"/>
    </xf>
    <xf numFmtId="0" fontId="11" fillId="3" borderId="10" xfId="0" applyFont="1" applyFill="1" applyBorder="1" applyAlignment="1">
      <alignment horizontal="center" wrapText="1"/>
    </xf>
    <xf numFmtId="0" fontId="42" fillId="3" borderId="14" xfId="0" applyFont="1" applyFill="1" applyBorder="1" applyAlignment="1">
      <alignment horizontal="left" wrapText="1"/>
    </xf>
    <xf numFmtId="0" fontId="41" fillId="3" borderId="14" xfId="0" applyFont="1" applyFill="1" applyBorder="1" applyAlignment="1">
      <alignment horizontal="left" wrapText="1"/>
    </xf>
    <xf numFmtId="0" fontId="38" fillId="0" borderId="58" xfId="0" applyFont="1" applyBorder="1"/>
    <xf numFmtId="0" fontId="41" fillId="3" borderId="58" xfId="0" applyFont="1" applyFill="1" applyBorder="1" applyAlignment="1">
      <alignment horizontal="left" wrapText="1"/>
    </xf>
    <xf numFmtId="0" fontId="38" fillId="0" borderId="38" xfId="0" applyFont="1" applyBorder="1"/>
    <xf numFmtId="0" fontId="46" fillId="2" borderId="38" xfId="0" applyFont="1" applyFill="1" applyBorder="1" applyAlignment="1">
      <alignment horizontal="center" wrapText="1"/>
    </xf>
    <xf numFmtId="0" fontId="41" fillId="3" borderId="38" xfId="0" applyFont="1" applyFill="1" applyBorder="1" applyAlignment="1">
      <alignment horizontal="left" wrapText="1"/>
    </xf>
    <xf numFmtId="0" fontId="41" fillId="0" borderId="38" xfId="0" applyFont="1" applyBorder="1" applyAlignment="1">
      <alignment horizontal="left" wrapText="1"/>
    </xf>
    <xf numFmtId="0" fontId="46" fillId="3" borderId="6" xfId="0" applyFont="1" applyFill="1" applyBorder="1" applyAlignment="1">
      <alignment horizontal="left" wrapText="1"/>
    </xf>
    <xf numFmtId="0" fontId="40" fillId="3" borderId="6" xfId="0" applyFont="1" applyFill="1" applyBorder="1"/>
    <xf numFmtId="0" fontId="65" fillId="3" borderId="6" xfId="0" applyFont="1" applyFill="1" applyBorder="1" applyAlignment="1">
      <alignment horizontal="left" wrapText="1"/>
    </xf>
    <xf numFmtId="0" fontId="65" fillId="3" borderId="14" xfId="0" applyFont="1" applyFill="1" applyBorder="1" applyAlignment="1">
      <alignment horizontal="left" wrapText="1"/>
    </xf>
    <xf numFmtId="0" fontId="46" fillId="3" borderId="14" xfId="0" applyFont="1" applyFill="1" applyBorder="1" applyAlignment="1">
      <alignment horizontal="left" wrapText="1"/>
    </xf>
    <xf numFmtId="0" fontId="46" fillId="4" borderId="58" xfId="0" applyFont="1" applyFill="1" applyBorder="1" applyAlignment="1">
      <alignment horizontal="center" wrapText="1"/>
    </xf>
    <xf numFmtId="0" fontId="46" fillId="4" borderId="38" xfId="0" applyFont="1" applyFill="1" applyBorder="1" applyAlignment="1">
      <alignment horizontal="center" wrapText="1"/>
    </xf>
    <xf numFmtId="0" fontId="11" fillId="64" borderId="6" xfId="0" applyFont="1" applyFill="1" applyBorder="1" applyAlignment="1">
      <alignment horizontal="center"/>
    </xf>
    <xf numFmtId="0" fontId="11" fillId="64" borderId="6" xfId="0" applyFont="1" applyFill="1" applyBorder="1" applyAlignment="1">
      <alignment horizontal="center" wrapText="1"/>
    </xf>
    <xf numFmtId="0" fontId="11" fillId="64" borderId="38" xfId="0" applyFont="1" applyFill="1" applyBorder="1" applyAlignment="1">
      <alignment horizontal="center"/>
    </xf>
    <xf numFmtId="0" fontId="11" fillId="64" borderId="58" xfId="0" applyFont="1" applyFill="1" applyBorder="1" applyAlignment="1">
      <alignment horizontal="center"/>
    </xf>
    <xf numFmtId="0" fontId="11" fillId="2" borderId="38" xfId="0" applyFont="1" applyFill="1" applyBorder="1" applyAlignment="1">
      <alignment horizontal="center"/>
    </xf>
    <xf numFmtId="0" fontId="11" fillId="2" borderId="57" xfId="0" applyFont="1" applyFill="1" applyBorder="1" applyAlignment="1">
      <alignment horizontal="center"/>
    </xf>
    <xf numFmtId="0" fontId="14" fillId="2" borderId="38" xfId="0" applyFont="1" applyFill="1" applyBorder="1" applyAlignment="1">
      <alignment horizontal="center" wrapText="1"/>
    </xf>
    <xf numFmtId="0" fontId="14" fillId="2" borderId="58" xfId="0" applyFont="1" applyFill="1" applyBorder="1" applyAlignment="1">
      <alignment horizontal="center" wrapText="1"/>
    </xf>
    <xf numFmtId="0" fontId="11" fillId="2" borderId="58" xfId="0" applyFont="1" applyFill="1" applyBorder="1" applyAlignment="1">
      <alignment horizontal="center"/>
    </xf>
    <xf numFmtId="0" fontId="59" fillId="3" borderId="38" xfId="0" applyFont="1" applyFill="1" applyBorder="1" applyAlignment="1">
      <alignment horizontal="center"/>
    </xf>
    <xf numFmtId="0" fontId="14" fillId="3" borderId="57" xfId="0" applyFont="1" applyFill="1" applyBorder="1" applyAlignment="1">
      <alignment horizontal="center"/>
    </xf>
    <xf numFmtId="0" fontId="14" fillId="3" borderId="57" xfId="0" applyFont="1" applyFill="1" applyBorder="1" applyAlignment="1">
      <alignment horizontal="center" wrapText="1"/>
    </xf>
    <xf numFmtId="0" fontId="11" fillId="3" borderId="58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 wrapText="1"/>
    </xf>
    <xf numFmtId="0" fontId="11" fillId="3" borderId="6" xfId="0" applyFont="1" applyFill="1" applyBorder="1" applyAlignment="1">
      <alignment wrapText="1"/>
    </xf>
    <xf numFmtId="0" fontId="15" fillId="3" borderId="6" xfId="0" applyFont="1" applyFill="1" applyBorder="1" applyAlignment="1">
      <alignment horizontal="center" wrapText="1"/>
    </xf>
    <xf numFmtId="0" fontId="37" fillId="3" borderId="6" xfId="0" applyFont="1" applyFill="1" applyBorder="1" applyAlignment="1">
      <alignment horizontal="center" wrapText="1"/>
    </xf>
    <xf numFmtId="0" fontId="48" fillId="3" borderId="6" xfId="0" applyFont="1" applyFill="1" applyBorder="1" applyAlignment="1">
      <alignment horizontal="center"/>
    </xf>
    <xf numFmtId="0" fontId="28" fillId="2" borderId="6" xfId="0" applyFont="1" applyFill="1" applyBorder="1" applyAlignment="1">
      <alignment horizontal="center" wrapText="1"/>
    </xf>
    <xf numFmtId="0" fontId="40" fillId="2" borderId="6" xfId="0" applyFont="1" applyFill="1" applyBorder="1" applyAlignment="1">
      <alignment horizontal="center" wrapText="1"/>
    </xf>
    <xf numFmtId="0" fontId="29" fillId="2" borderId="6" xfId="0" applyFont="1" applyFill="1" applyBorder="1" applyAlignment="1">
      <alignment horizontal="center" wrapText="1"/>
    </xf>
    <xf numFmtId="0" fontId="15" fillId="3" borderId="6" xfId="0" applyFont="1" applyFill="1" applyBorder="1"/>
    <xf numFmtId="0" fontId="0" fillId="66" borderId="6" xfId="0" applyFill="1" applyBorder="1"/>
    <xf numFmtId="0" fontId="14" fillId="66" borderId="6" xfId="0" applyFont="1" applyFill="1" applyBorder="1"/>
    <xf numFmtId="0" fontId="67" fillId="2" borderId="6" xfId="0" applyFont="1" applyFill="1" applyBorder="1" applyAlignment="1">
      <alignment horizontal="center" wrapText="1"/>
    </xf>
    <xf numFmtId="0" fontId="67" fillId="3" borderId="6" xfId="0" applyFont="1" applyFill="1" applyBorder="1" applyAlignment="1">
      <alignment horizontal="center" wrapText="1"/>
    </xf>
    <xf numFmtId="0" fontId="68" fillId="66" borderId="6" xfId="0" applyFont="1" applyFill="1" applyBorder="1" applyAlignment="1">
      <alignment horizontal="center"/>
    </xf>
    <xf numFmtId="0" fontId="14" fillId="64" borderId="6" xfId="0" applyFont="1" applyFill="1" applyBorder="1"/>
    <xf numFmtId="0" fontId="52" fillId="3" borderId="10" xfId="0" applyFont="1" applyFill="1" applyBorder="1"/>
    <xf numFmtId="0" fontId="70" fillId="0" borderId="0" xfId="0" applyFont="1"/>
    <xf numFmtId="0" fontId="62" fillId="0" borderId="0" xfId="0" applyFont="1"/>
    <xf numFmtId="0" fontId="70" fillId="0" borderId="0" xfId="0" applyFont="1" applyAlignment="1">
      <alignment horizontal="center" vertical="center"/>
    </xf>
    <xf numFmtId="0" fontId="14" fillId="31" borderId="6" xfId="0" applyFont="1" applyFill="1" applyBorder="1"/>
    <xf numFmtId="0" fontId="14" fillId="31" borderId="10" xfId="0" applyFont="1" applyFill="1" applyBorder="1"/>
    <xf numFmtId="0" fontId="28" fillId="3" borderId="0" xfId="0" applyFont="1" applyFill="1"/>
    <xf numFmtId="0" fontId="62" fillId="3" borderId="6" xfId="0" applyFont="1" applyFill="1" applyBorder="1" applyAlignment="1">
      <alignment horizontal="center" wrapText="1"/>
    </xf>
    <xf numFmtId="0" fontId="28" fillId="8" borderId="6" xfId="0" applyFont="1" applyFill="1" applyBorder="1" applyAlignment="1">
      <alignment horizontal="center"/>
    </xf>
    <xf numFmtId="0" fontId="61" fillId="3" borderId="14" xfId="0" applyFont="1" applyFill="1" applyBorder="1" applyAlignment="1">
      <alignment horizontal="center" wrapText="1"/>
    </xf>
    <xf numFmtId="0" fontId="28" fillId="8" borderId="14" xfId="0" applyFont="1" applyFill="1" applyBorder="1" applyAlignment="1">
      <alignment horizontal="center"/>
    </xf>
    <xf numFmtId="0" fontId="28" fillId="3" borderId="10" xfId="0" applyFont="1" applyFill="1" applyBorder="1" applyAlignment="1">
      <alignment horizontal="center"/>
    </xf>
    <xf numFmtId="0" fontId="61" fillId="2" borderId="10" xfId="0" applyFont="1" applyFill="1" applyBorder="1" applyAlignment="1">
      <alignment horizontal="center" wrapText="1"/>
    </xf>
    <xf numFmtId="0" fontId="46" fillId="31" borderId="10" xfId="0" applyFont="1" applyFill="1" applyBorder="1" applyAlignment="1">
      <alignment horizontal="center" wrapText="1"/>
    </xf>
    <xf numFmtId="0" fontId="46" fillId="31" borderId="6" xfId="0" applyFont="1" applyFill="1" applyBorder="1" applyAlignment="1">
      <alignment horizontal="center" wrapText="1"/>
    </xf>
    <xf numFmtId="0" fontId="28" fillId="31" borderId="0" xfId="0" applyFont="1" applyFill="1"/>
    <xf numFmtId="0" fontId="67" fillId="2" borderId="10" xfId="0" applyFont="1" applyFill="1" applyBorder="1" applyAlignment="1">
      <alignment horizontal="center" wrapText="1"/>
    </xf>
    <xf numFmtId="0" fontId="67" fillId="26" borderId="10" xfId="0" applyFont="1" applyFill="1" applyBorder="1" applyAlignment="1">
      <alignment horizontal="center" wrapText="1"/>
    </xf>
    <xf numFmtId="0" fontId="38" fillId="3" borderId="38" xfId="0" applyFont="1" applyFill="1" applyBorder="1" applyAlignment="1">
      <alignment horizontal="center"/>
    </xf>
    <xf numFmtId="0" fontId="40" fillId="3" borderId="38" xfId="0" applyFont="1" applyFill="1" applyBorder="1" applyAlignment="1">
      <alignment wrapText="1"/>
    </xf>
    <xf numFmtId="0" fontId="40" fillId="3" borderId="57" xfId="0" applyFont="1" applyFill="1" applyBorder="1" applyAlignment="1">
      <alignment wrapText="1"/>
    </xf>
    <xf numFmtId="0" fontId="38" fillId="3" borderId="58" xfId="0" applyFont="1" applyFill="1" applyBorder="1" applyAlignment="1">
      <alignment horizontal="center"/>
    </xf>
    <xf numFmtId="0" fontId="38" fillId="0" borderId="38" xfId="0" applyFont="1" applyBorder="1" applyAlignment="1">
      <alignment wrapText="1"/>
    </xf>
    <xf numFmtId="0" fontId="40" fillId="3" borderId="38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 wrapText="1"/>
    </xf>
    <xf numFmtId="0" fontId="40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33" fillId="67" borderId="0" xfId="0" applyFont="1" applyFill="1"/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center" vertical="center"/>
    </xf>
    <xf numFmtId="0" fontId="0" fillId="48" borderId="0" xfId="0" applyFill="1"/>
    <xf numFmtId="0" fontId="62" fillId="48" borderId="0" xfId="0" applyFont="1" applyFill="1"/>
    <xf numFmtId="0" fontId="71" fillId="18" borderId="0" xfId="0" applyFont="1" applyFill="1" applyAlignment="1">
      <alignment wrapText="1"/>
    </xf>
    <xf numFmtId="0" fontId="74" fillId="48" borderId="0" xfId="0" applyFont="1" applyFill="1"/>
    <xf numFmtId="0" fontId="71" fillId="49" borderId="0" xfId="0" applyFont="1" applyFill="1"/>
    <xf numFmtId="0" fontId="71" fillId="44" borderId="0" xfId="0" applyFont="1" applyFill="1"/>
    <xf numFmtId="0" fontId="70" fillId="0" borderId="0" xfId="0" applyFont="1" applyAlignment="1">
      <alignment horizontal="left"/>
    </xf>
    <xf numFmtId="0" fontId="72" fillId="0" borderId="0" xfId="0" applyFont="1"/>
    <xf numFmtId="0" fontId="71" fillId="55" borderId="0" xfId="0" applyFont="1" applyFill="1" applyAlignment="1">
      <alignment wrapText="1"/>
    </xf>
    <xf numFmtId="0" fontId="71" fillId="16" borderId="0" xfId="0" applyFont="1" applyFill="1"/>
    <xf numFmtId="0" fontId="71" fillId="48" borderId="0" xfId="0" applyFont="1" applyFill="1"/>
    <xf numFmtId="0" fontId="71" fillId="0" borderId="0" xfId="0" applyFont="1"/>
    <xf numFmtId="0" fontId="0" fillId="12" borderId="0" xfId="0" applyFill="1"/>
    <xf numFmtId="0" fontId="46" fillId="3" borderId="38" xfId="0" applyFont="1" applyFill="1" applyBorder="1" applyAlignment="1">
      <alignment horizontal="center" wrapText="1"/>
    </xf>
    <xf numFmtId="0" fontId="46" fillId="3" borderId="58" xfId="0" applyFont="1" applyFill="1" applyBorder="1" applyAlignment="1">
      <alignment horizontal="center" wrapText="1"/>
    </xf>
    <xf numFmtId="0" fontId="38" fillId="3" borderId="10" xfId="0" applyFont="1" applyFill="1" applyBorder="1"/>
    <xf numFmtId="0" fontId="41" fillId="3" borderId="10" xfId="0" applyFont="1" applyFill="1" applyBorder="1" applyAlignment="1">
      <alignment horizontal="left" wrapText="1"/>
    </xf>
    <xf numFmtId="0" fontId="14" fillId="3" borderId="9" xfId="0" applyFont="1" applyFill="1" applyBorder="1" applyAlignment="1">
      <alignment horizontal="center" wrapText="1"/>
    </xf>
    <xf numFmtId="0" fontId="67" fillId="64" borderId="10" xfId="0" applyFont="1" applyFill="1" applyBorder="1" applyAlignment="1">
      <alignment horizontal="center" wrapText="1"/>
    </xf>
    <xf numFmtId="0" fontId="11" fillId="12" borderId="6" xfId="0" applyFont="1" applyFill="1" applyBorder="1" applyAlignment="1">
      <alignment horizontal="center" wrapText="1"/>
    </xf>
    <xf numFmtId="0" fontId="11" fillId="12" borderId="6" xfId="0" applyFont="1" applyFill="1" applyBorder="1" applyAlignment="1">
      <alignment wrapText="1"/>
    </xf>
    <xf numFmtId="0" fontId="14" fillId="48" borderId="6" xfId="0" applyFont="1" applyFill="1" applyBorder="1" applyAlignment="1">
      <alignment horizontal="center" wrapText="1"/>
    </xf>
    <xf numFmtId="0" fontId="69" fillId="3" borderId="0" xfId="0" applyFont="1" applyFill="1"/>
    <xf numFmtId="0" fontId="59" fillId="2" borderId="38" xfId="0" applyFont="1" applyFill="1" applyBorder="1" applyAlignment="1">
      <alignment horizontal="center"/>
    </xf>
    <xf numFmtId="0" fontId="14" fillId="2" borderId="57" xfId="0" applyFont="1" applyFill="1" applyBorder="1" applyAlignment="1">
      <alignment horizontal="center"/>
    </xf>
    <xf numFmtId="0" fontId="14" fillId="2" borderId="58" xfId="0" applyFont="1" applyFill="1" applyBorder="1" applyAlignment="1">
      <alignment horizontal="center"/>
    </xf>
    <xf numFmtId="0" fontId="70" fillId="48" borderId="0" xfId="0" applyFont="1" applyFill="1"/>
    <xf numFmtId="0" fontId="27" fillId="12" borderId="0" xfId="0" applyFont="1" applyFill="1"/>
    <xf numFmtId="0" fontId="11" fillId="3" borderId="6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0" fillId="12" borderId="6" xfId="0" applyFont="1" applyFill="1" applyBorder="1" applyAlignment="1">
      <alignment horizontal="center"/>
    </xf>
    <xf numFmtId="0" fontId="67" fillId="12" borderId="10" xfId="0" applyFont="1" applyFill="1" applyBorder="1" applyAlignment="1">
      <alignment horizontal="center" wrapText="1"/>
    </xf>
    <xf numFmtId="0" fontId="38" fillId="12" borderId="0" xfId="0" applyFont="1" applyFill="1" applyAlignment="1">
      <alignment horizontal="center"/>
    </xf>
    <xf numFmtId="0" fontId="11" fillId="65" borderId="6" xfId="0" applyFont="1" applyFill="1" applyBorder="1" applyAlignment="1">
      <alignment horizontal="center" wrapText="1"/>
    </xf>
    <xf numFmtId="0" fontId="71" fillId="0" borderId="0" xfId="0" applyFont="1" applyAlignment="1">
      <alignment horizontal="left"/>
    </xf>
    <xf numFmtId="0" fontId="7" fillId="2" borderId="6" xfId="0" applyFont="1" applyFill="1" applyBorder="1" applyAlignment="1">
      <alignment horizontal="left" wrapText="1"/>
    </xf>
    <xf numFmtId="49" fontId="0" fillId="0" borderId="0" xfId="0" applyNumberFormat="1"/>
    <xf numFmtId="49" fontId="15" fillId="0" borderId="0" xfId="0" applyNumberFormat="1" applyFont="1"/>
    <xf numFmtId="0" fontId="27" fillId="0" borderId="13" xfId="0" applyFont="1" applyBorder="1" applyAlignment="1">
      <alignment horizontal="center"/>
    </xf>
    <xf numFmtId="0" fontId="27" fillId="0" borderId="15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29" fillId="32" borderId="6" xfId="0" applyFont="1" applyFill="1" applyBorder="1" applyAlignment="1">
      <alignment horizontal="center" vertical="center"/>
    </xf>
    <xf numFmtId="0" fontId="33" fillId="0" borderId="0" xfId="0" applyFont="1" applyAlignment="1">
      <alignment horizontal="left"/>
    </xf>
    <xf numFmtId="0" fontId="33" fillId="0" borderId="0" xfId="0" applyFont="1"/>
    <xf numFmtId="0" fontId="53" fillId="3" borderId="42" xfId="0" applyFont="1" applyFill="1" applyBorder="1" applyAlignment="1">
      <alignment horizontal="center"/>
    </xf>
    <xf numFmtId="0" fontId="40" fillId="32" borderId="59" xfId="0" applyFont="1" applyFill="1" applyBorder="1" applyAlignment="1">
      <alignment horizontal="center" vertical="center"/>
    </xf>
    <xf numFmtId="0" fontId="40" fillId="32" borderId="60" xfId="0" applyFont="1" applyFill="1" applyBorder="1" applyAlignment="1">
      <alignment horizontal="center" vertical="center"/>
    </xf>
    <xf numFmtId="0" fontId="40" fillId="32" borderId="61" xfId="0" applyFont="1" applyFill="1" applyBorder="1" applyAlignment="1">
      <alignment horizontal="center" vertical="center"/>
    </xf>
    <xf numFmtId="0" fontId="40" fillId="32" borderId="62" xfId="0" applyFont="1" applyFill="1" applyBorder="1" applyAlignment="1">
      <alignment horizontal="center" vertical="center"/>
    </xf>
    <xf numFmtId="0" fontId="40" fillId="32" borderId="63" xfId="0" applyFont="1" applyFill="1" applyBorder="1" applyAlignment="1">
      <alignment horizontal="center" vertical="center"/>
    </xf>
    <xf numFmtId="0" fontId="40" fillId="32" borderId="64" xfId="0" applyFont="1" applyFill="1" applyBorder="1" applyAlignment="1">
      <alignment horizontal="center" vertical="center"/>
    </xf>
    <xf numFmtId="0" fontId="35" fillId="0" borderId="0" xfId="0" applyFont="1" applyAlignment="1">
      <alignment horizontal="left"/>
    </xf>
    <xf numFmtId="0" fontId="35" fillId="0" borderId="0" xfId="0" applyFont="1"/>
    <xf numFmtId="0" fontId="41" fillId="3" borderId="41" xfId="0" applyFont="1" applyFill="1" applyBorder="1" applyAlignment="1">
      <alignment horizontal="center" vertical="center" wrapText="1"/>
    </xf>
    <xf numFmtId="0" fontId="41" fillId="3" borderId="10" xfId="0" applyFont="1" applyFill="1" applyBorder="1" applyAlignment="1">
      <alignment horizontal="center" vertical="center" wrapText="1"/>
    </xf>
    <xf numFmtId="0" fontId="40" fillId="32" borderId="6" xfId="0" applyFont="1" applyFill="1" applyBorder="1" applyAlignment="1">
      <alignment horizontal="center" vertical="center"/>
    </xf>
    <xf numFmtId="0" fontId="64" fillId="3" borderId="41" xfId="0" applyFont="1" applyFill="1" applyBorder="1" applyAlignment="1">
      <alignment horizontal="center" vertical="center" wrapText="1"/>
    </xf>
    <xf numFmtId="0" fontId="64" fillId="3" borderId="10" xfId="0" applyFont="1" applyFill="1" applyBorder="1" applyAlignment="1">
      <alignment horizontal="center" vertical="center" wrapText="1"/>
    </xf>
    <xf numFmtId="0" fontId="64" fillId="3" borderId="14" xfId="0" applyFont="1" applyFill="1" applyBorder="1" applyAlignment="1">
      <alignment horizontal="center" vertical="center" wrapText="1"/>
    </xf>
    <xf numFmtId="0" fontId="63" fillId="2" borderId="14" xfId="0" applyFont="1" applyFill="1" applyBorder="1" applyAlignment="1">
      <alignment horizontal="center" vertical="center" wrapText="1"/>
    </xf>
    <xf numFmtId="0" fontId="63" fillId="2" borderId="10" xfId="0" applyFont="1" applyFill="1" applyBorder="1" applyAlignment="1">
      <alignment horizontal="center" vertical="center" wrapText="1"/>
    </xf>
    <xf numFmtId="0" fontId="63" fillId="2" borderId="41" xfId="0" applyFont="1" applyFill="1" applyBorder="1" applyAlignment="1">
      <alignment horizontal="center" vertical="center" wrapText="1"/>
    </xf>
    <xf numFmtId="0" fontId="29" fillId="32" borderId="59" xfId="0" applyFont="1" applyFill="1" applyBorder="1" applyAlignment="1">
      <alignment horizontal="center" vertical="center"/>
    </xf>
    <xf numFmtId="0" fontId="29" fillId="32" borderId="60" xfId="0" applyFont="1" applyFill="1" applyBorder="1" applyAlignment="1">
      <alignment horizontal="center" vertical="center"/>
    </xf>
    <xf numFmtId="0" fontId="29" fillId="32" borderId="61" xfId="0" applyFont="1" applyFill="1" applyBorder="1" applyAlignment="1">
      <alignment horizontal="center" vertical="center"/>
    </xf>
    <xf numFmtId="0" fontId="29" fillId="32" borderId="62" xfId="0" applyFont="1" applyFill="1" applyBorder="1" applyAlignment="1">
      <alignment horizontal="center" vertical="center"/>
    </xf>
    <xf numFmtId="0" fontId="29" fillId="32" borderId="63" xfId="0" applyFont="1" applyFill="1" applyBorder="1" applyAlignment="1">
      <alignment horizontal="center" vertical="center"/>
    </xf>
    <xf numFmtId="0" fontId="29" fillId="32" borderId="64" xfId="0" applyFont="1" applyFill="1" applyBorder="1" applyAlignment="1">
      <alignment horizontal="center" vertical="center"/>
    </xf>
    <xf numFmtId="0" fontId="29" fillId="32" borderId="65" xfId="0" applyFont="1" applyFill="1" applyBorder="1" applyAlignment="1">
      <alignment horizontal="center" vertical="center"/>
    </xf>
    <xf numFmtId="0" fontId="29" fillId="32" borderId="66" xfId="0" applyFont="1" applyFill="1" applyBorder="1" applyAlignment="1">
      <alignment horizontal="center" vertical="center"/>
    </xf>
    <xf numFmtId="0" fontId="29" fillId="32" borderId="67" xfId="0" applyFont="1" applyFill="1" applyBorder="1" applyAlignment="1">
      <alignment horizontal="center" vertical="center"/>
    </xf>
    <xf numFmtId="0" fontId="29" fillId="32" borderId="68" xfId="0" applyFont="1" applyFill="1" applyBorder="1" applyAlignment="1">
      <alignment horizontal="center" vertical="center"/>
    </xf>
    <xf numFmtId="0" fontId="29" fillId="32" borderId="69" xfId="0" applyFont="1" applyFill="1" applyBorder="1" applyAlignment="1">
      <alignment horizontal="center" vertical="center"/>
    </xf>
    <xf numFmtId="0" fontId="29" fillId="32" borderId="70" xfId="0" applyFont="1" applyFill="1" applyBorder="1" applyAlignment="1">
      <alignment horizontal="center" vertical="center"/>
    </xf>
    <xf numFmtId="0" fontId="29" fillId="3" borderId="50" xfId="0" applyFont="1" applyFill="1" applyBorder="1" applyAlignment="1">
      <alignment horizontal="center" vertical="center"/>
    </xf>
    <xf numFmtId="0" fontId="29" fillId="3" borderId="51" xfId="0" applyFont="1" applyFill="1" applyBorder="1" applyAlignment="1">
      <alignment horizontal="center" vertical="center"/>
    </xf>
    <xf numFmtId="0" fontId="29" fillId="3" borderId="52" xfId="0" applyFont="1" applyFill="1" applyBorder="1" applyAlignment="1">
      <alignment horizontal="center" vertical="center"/>
    </xf>
    <xf numFmtId="0" fontId="29" fillId="3" borderId="53" xfId="0" applyFont="1" applyFill="1" applyBorder="1" applyAlignment="1">
      <alignment horizontal="center" vertical="center"/>
    </xf>
    <xf numFmtId="0" fontId="29" fillId="3" borderId="54" xfId="0" applyFont="1" applyFill="1" applyBorder="1" applyAlignment="1">
      <alignment horizontal="center" vertical="center"/>
    </xf>
    <xf numFmtId="0" fontId="29" fillId="3" borderId="55" xfId="0" applyFont="1" applyFill="1" applyBorder="1" applyAlignment="1">
      <alignment horizontal="center" vertical="center"/>
    </xf>
    <xf numFmtId="0" fontId="29" fillId="32" borderId="50" xfId="0" applyFont="1" applyFill="1" applyBorder="1" applyAlignment="1">
      <alignment horizontal="center" vertical="center"/>
    </xf>
    <xf numFmtId="0" fontId="29" fillId="32" borderId="51" xfId="0" applyFont="1" applyFill="1" applyBorder="1" applyAlignment="1">
      <alignment horizontal="center" vertical="center"/>
    </xf>
    <xf numFmtId="0" fontId="29" fillId="32" borderId="52" xfId="0" applyFont="1" applyFill="1" applyBorder="1" applyAlignment="1">
      <alignment horizontal="center" vertical="center"/>
    </xf>
    <xf numFmtId="0" fontId="29" fillId="32" borderId="53" xfId="0" applyFont="1" applyFill="1" applyBorder="1" applyAlignment="1">
      <alignment horizontal="center" vertical="center"/>
    </xf>
    <xf numFmtId="0" fontId="29" fillId="32" borderId="54" xfId="0" applyFont="1" applyFill="1" applyBorder="1" applyAlignment="1">
      <alignment horizontal="center" vertical="center"/>
    </xf>
    <xf numFmtId="0" fontId="29" fillId="32" borderId="55" xfId="0" applyFont="1" applyFill="1" applyBorder="1" applyAlignment="1">
      <alignment horizontal="center" vertical="center"/>
    </xf>
    <xf numFmtId="0" fontId="0" fillId="44" borderId="6" xfId="0" applyFill="1" applyBorder="1" applyAlignment="1">
      <alignment horizontal="left"/>
    </xf>
    <xf numFmtId="0" fontId="29" fillId="32" borderId="43" xfId="0" applyFont="1" applyFill="1" applyBorder="1" applyAlignment="1">
      <alignment horizontal="center" vertical="center"/>
    </xf>
    <xf numFmtId="0" fontId="29" fillId="32" borderId="45" xfId="0" applyFont="1" applyFill="1" applyBorder="1" applyAlignment="1">
      <alignment horizontal="center" vertical="center"/>
    </xf>
    <xf numFmtId="0" fontId="29" fillId="32" borderId="44" xfId="0" applyFont="1" applyFill="1" applyBorder="1" applyAlignment="1">
      <alignment horizontal="center" vertical="center"/>
    </xf>
    <xf numFmtId="0" fontId="29" fillId="32" borderId="46" xfId="0" applyFont="1" applyFill="1" applyBorder="1" applyAlignment="1">
      <alignment horizontal="center" vertical="center"/>
    </xf>
    <xf numFmtId="0" fontId="29" fillId="32" borderId="42" xfId="0" applyFont="1" applyFill="1" applyBorder="1" applyAlignment="1">
      <alignment horizontal="center" vertical="center"/>
    </xf>
    <xf numFmtId="0" fontId="29" fillId="32" borderId="47" xfId="0" applyFont="1" applyFill="1" applyBorder="1" applyAlignment="1">
      <alignment horizontal="center" vertical="center"/>
    </xf>
    <xf numFmtId="0" fontId="66" fillId="7" borderId="42" xfId="0" applyFont="1" applyFill="1" applyBorder="1" applyAlignment="1">
      <alignment horizontal="center"/>
    </xf>
    <xf numFmtId="0" fontId="11" fillId="65" borderId="6" xfId="0" applyFont="1" applyFill="1" applyBorder="1" applyAlignment="1">
      <alignment horizontal="center" wrapText="1"/>
    </xf>
    <xf numFmtId="0" fontId="29" fillId="32" borderId="48" xfId="0" applyFont="1" applyFill="1" applyBorder="1" applyAlignment="1">
      <alignment horizontal="center" vertical="center"/>
    </xf>
    <xf numFmtId="0" fontId="29" fillId="32" borderId="49" xfId="0" applyFont="1" applyFill="1" applyBorder="1" applyAlignment="1">
      <alignment horizontal="center" vertical="center"/>
    </xf>
    <xf numFmtId="0" fontId="39" fillId="0" borderId="0" xfId="0" applyFont="1"/>
    <xf numFmtId="0" fontId="40" fillId="2" borderId="14" xfId="0" applyFont="1" applyFill="1" applyBorder="1" applyAlignment="1">
      <alignment horizontal="center" vertical="center" wrapText="1"/>
    </xf>
    <xf numFmtId="0" fontId="40" fillId="2" borderId="10" xfId="0" applyFont="1" applyFill="1" applyBorder="1" applyAlignment="1">
      <alignment horizontal="center" vertical="center" wrapText="1"/>
    </xf>
    <xf numFmtId="0" fontId="40" fillId="2" borderId="44" xfId="0" applyFont="1" applyFill="1" applyBorder="1" applyAlignment="1">
      <alignment horizontal="center" vertical="center" wrapText="1"/>
    </xf>
    <xf numFmtId="0" fontId="40" fillId="2" borderId="47" xfId="0" applyFont="1" applyFill="1" applyBorder="1" applyAlignment="1">
      <alignment horizontal="center" vertical="center" wrapText="1"/>
    </xf>
    <xf numFmtId="0" fontId="40" fillId="6" borderId="14" xfId="0" applyFont="1" applyFill="1" applyBorder="1" applyAlignment="1">
      <alignment horizontal="center" vertical="center" wrapText="1"/>
    </xf>
    <xf numFmtId="0" fontId="40" fillId="6" borderId="10" xfId="0" applyFont="1" applyFill="1" applyBorder="1" applyAlignment="1">
      <alignment horizontal="center" vertical="center" wrapText="1"/>
    </xf>
    <xf numFmtId="0" fontId="30" fillId="32" borderId="20" xfId="0" applyFont="1" applyFill="1" applyBorder="1" applyAlignment="1">
      <alignment horizontal="center" vertical="center"/>
    </xf>
    <xf numFmtId="0" fontId="30" fillId="32" borderId="18" xfId="0" applyFont="1" applyFill="1" applyBorder="1" applyAlignment="1">
      <alignment horizontal="center" vertical="center"/>
    </xf>
    <xf numFmtId="0" fontId="30" fillId="32" borderId="19" xfId="0" applyFont="1" applyFill="1" applyBorder="1" applyAlignment="1">
      <alignment horizontal="center" vertical="center"/>
    </xf>
    <xf numFmtId="0" fontId="30" fillId="32" borderId="21" xfId="0" applyFont="1" applyFill="1" applyBorder="1" applyAlignment="1">
      <alignment horizontal="center" vertical="center"/>
    </xf>
    <xf numFmtId="0" fontId="30" fillId="32" borderId="22" xfId="0" applyFont="1" applyFill="1" applyBorder="1" applyAlignment="1">
      <alignment horizontal="center" vertical="center"/>
    </xf>
    <xf numFmtId="0" fontId="30" fillId="32" borderId="23" xfId="0" applyFont="1" applyFill="1" applyBorder="1" applyAlignment="1">
      <alignment horizontal="center" vertical="center"/>
    </xf>
    <xf numFmtId="0" fontId="30" fillId="32" borderId="17" xfId="0" applyFont="1" applyFill="1" applyBorder="1" applyAlignment="1">
      <alignment horizontal="center" vertical="center"/>
    </xf>
    <xf numFmtId="0" fontId="29" fillId="32" borderId="24" xfId="0" applyFont="1" applyFill="1" applyBorder="1" applyAlignment="1">
      <alignment horizontal="center" vertical="center"/>
    </xf>
    <xf numFmtId="0" fontId="29" fillId="32" borderId="25" xfId="0" applyFont="1" applyFill="1" applyBorder="1" applyAlignment="1">
      <alignment horizontal="center" vertical="center"/>
    </xf>
    <xf numFmtId="0" fontId="29" fillId="32" borderId="26" xfId="0" applyFont="1" applyFill="1" applyBorder="1" applyAlignment="1">
      <alignment horizontal="center" vertical="center"/>
    </xf>
    <xf numFmtId="0" fontId="29" fillId="32" borderId="27" xfId="0" applyFont="1" applyFill="1" applyBorder="1" applyAlignment="1">
      <alignment horizontal="center" vertical="center"/>
    </xf>
    <xf numFmtId="0" fontId="29" fillId="32" borderId="28" xfId="0" applyFont="1" applyFill="1" applyBorder="1" applyAlignment="1">
      <alignment horizontal="center" vertical="center"/>
    </xf>
    <xf numFmtId="0" fontId="29" fillId="32" borderId="18" xfId="0" applyFont="1" applyFill="1" applyBorder="1" applyAlignment="1">
      <alignment horizontal="center" vertical="center"/>
    </xf>
    <xf numFmtId="0" fontId="29" fillId="32" borderId="19" xfId="0" applyFont="1" applyFill="1" applyBorder="1" applyAlignment="1">
      <alignment horizontal="center" vertical="center"/>
    </xf>
    <xf numFmtId="0" fontId="29" fillId="32" borderId="21" xfId="0" applyFont="1" applyFill="1" applyBorder="1" applyAlignment="1">
      <alignment horizontal="center" vertical="center"/>
    </xf>
    <xf numFmtId="0" fontId="29" fillId="32" borderId="22" xfId="0" applyFont="1" applyFill="1" applyBorder="1" applyAlignment="1">
      <alignment horizontal="center" vertical="center"/>
    </xf>
    <xf numFmtId="0" fontId="29" fillId="32" borderId="23" xfId="0" applyFont="1" applyFill="1" applyBorder="1" applyAlignment="1">
      <alignment horizontal="center" vertical="center"/>
    </xf>
    <xf numFmtId="20" fontId="13" fillId="0" borderId="14" xfId="0" applyNumberFormat="1" applyFont="1" applyBorder="1" applyAlignment="1">
      <alignment horizontal="center" wrapText="1"/>
    </xf>
    <xf numFmtId="20" fontId="13" fillId="0" borderId="10" xfId="0" applyNumberFormat="1" applyFont="1" applyBorder="1" applyAlignment="1">
      <alignment horizontal="center" wrapText="1"/>
    </xf>
    <xf numFmtId="0" fontId="0" fillId="0" borderId="14" xfId="0" applyBorder="1"/>
    <xf numFmtId="0" fontId="0" fillId="0" borderId="30" xfId="0" applyBorder="1"/>
    <xf numFmtId="0" fontId="0" fillId="5" borderId="14" xfId="0" applyFill="1" applyBorder="1"/>
    <xf numFmtId="0" fontId="0" fillId="5" borderId="30" xfId="0" applyFill="1" applyBorder="1"/>
    <xf numFmtId="0" fontId="0" fillId="52" borderId="14" xfId="0" applyFill="1" applyBorder="1"/>
    <xf numFmtId="0" fontId="0" fillId="52" borderId="30" xfId="0" applyFill="1" applyBorder="1"/>
    <xf numFmtId="0" fontId="0" fillId="0" borderId="10" xfId="0" applyBorder="1"/>
    <xf numFmtId="0" fontId="0" fillId="5" borderId="10" xfId="0" applyFill="1" applyBorder="1"/>
    <xf numFmtId="0" fontId="0" fillId="52" borderId="10" xfId="0" applyFill="1" applyBorder="1"/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16" borderId="14" xfId="0" applyFill="1" applyBorder="1"/>
    <xf numFmtId="0" fontId="0" fillId="16" borderId="10" xfId="0" applyFill="1" applyBorder="1"/>
    <xf numFmtId="0" fontId="14" fillId="0" borderId="14" xfId="0" applyFont="1" applyBorder="1"/>
    <xf numFmtId="0" fontId="14" fillId="0" borderId="10" xfId="0" applyFont="1" applyBorder="1"/>
    <xf numFmtId="0" fontId="0" fillId="2" borderId="14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31" borderId="14" xfId="0" applyFill="1" applyBorder="1"/>
    <xf numFmtId="0" fontId="0" fillId="31" borderId="10" xfId="0" applyFill="1" applyBorder="1"/>
    <xf numFmtId="0" fontId="30" fillId="32" borderId="6" xfId="0" applyFont="1" applyFill="1" applyBorder="1" applyAlignment="1">
      <alignment horizontal="center" vertical="center"/>
    </xf>
    <xf numFmtId="0" fontId="14" fillId="32" borderId="6" xfId="0" applyFont="1" applyFill="1" applyBorder="1" applyAlignment="1">
      <alignment horizontal="center" vertical="center"/>
    </xf>
    <xf numFmtId="0" fontId="30" fillId="32" borderId="31" xfId="0" applyFont="1" applyFill="1" applyBorder="1" applyAlignment="1">
      <alignment horizontal="center" vertical="center"/>
    </xf>
    <xf numFmtId="0" fontId="29" fillId="32" borderId="32" xfId="0" applyFont="1" applyFill="1" applyBorder="1" applyAlignment="1">
      <alignment horizontal="center" vertical="center"/>
    </xf>
    <xf numFmtId="0" fontId="29" fillId="32" borderId="33" xfId="0" applyFont="1" applyFill="1" applyBorder="1" applyAlignment="1">
      <alignment horizontal="center" vertical="center"/>
    </xf>
    <xf numFmtId="0" fontId="29" fillId="32" borderId="34" xfId="0" applyFont="1" applyFill="1" applyBorder="1" applyAlignment="1">
      <alignment horizontal="center" vertical="center"/>
    </xf>
    <xf numFmtId="0" fontId="29" fillId="32" borderId="35" xfId="0" applyFont="1" applyFill="1" applyBorder="1" applyAlignment="1">
      <alignment horizontal="center" vertical="center"/>
    </xf>
    <xf numFmtId="0" fontId="29" fillId="32" borderId="36" xfId="0" applyFont="1" applyFill="1" applyBorder="1" applyAlignment="1">
      <alignment horizontal="center" vertical="center"/>
    </xf>
    <xf numFmtId="0" fontId="71" fillId="0" borderId="0" xfId="0" applyFont="1" applyAlignment="1">
      <alignment horizontal="left"/>
    </xf>
    <xf numFmtId="0" fontId="71" fillId="0" borderId="0" xfId="0" applyFont="1"/>
    <xf numFmtId="0" fontId="40" fillId="32" borderId="31" xfId="0" applyFont="1" applyFill="1" applyBorder="1" applyAlignment="1">
      <alignment horizontal="center" vertical="center"/>
    </xf>
    <xf numFmtId="0" fontId="40" fillId="32" borderId="32" xfId="0" applyFont="1" applyFill="1" applyBorder="1" applyAlignment="1">
      <alignment horizontal="center" vertical="center"/>
    </xf>
    <xf numFmtId="0" fontId="40" fillId="32" borderId="33" xfId="0" applyFont="1" applyFill="1" applyBorder="1" applyAlignment="1">
      <alignment horizontal="center" vertical="center"/>
    </xf>
    <xf numFmtId="0" fontId="40" fillId="32" borderId="34" xfId="0" applyFont="1" applyFill="1" applyBorder="1" applyAlignment="1">
      <alignment horizontal="center" vertical="center"/>
    </xf>
    <xf numFmtId="0" fontId="40" fillId="32" borderId="35" xfId="0" applyFont="1" applyFill="1" applyBorder="1" applyAlignment="1">
      <alignment horizontal="center" vertical="center"/>
    </xf>
    <xf numFmtId="0" fontId="40" fillId="32" borderId="36" xfId="0" applyFont="1" applyFill="1" applyBorder="1" applyAlignment="1">
      <alignment horizontal="center" vertical="center"/>
    </xf>
    <xf numFmtId="0" fontId="29" fillId="3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 wrapText="1"/>
    </xf>
    <xf numFmtId="2" fontId="15" fillId="0" borderId="0" xfId="0" applyNumberFormat="1" applyFont="1"/>
    <xf numFmtId="2" fontId="0" fillId="0" borderId="0" xfId="0" applyNumberFormat="1"/>
    <xf numFmtId="49" fontId="14" fillId="0" borderId="0" xfId="0" applyNumberFormat="1" applyFont="1"/>
    <xf numFmtId="166" fontId="15" fillId="0" borderId="0" xfId="0" applyNumberFormat="1" applyFont="1"/>
    <xf numFmtId="166" fontId="0" fillId="0" borderId="0" xfId="0" applyNumberFormat="1"/>
    <xf numFmtId="0" fontId="15" fillId="0" borderId="0" xfId="0" applyNumberFormat="1" applyFont="1"/>
    <xf numFmtId="0" fontId="0" fillId="0" borderId="0" xfId="0" applyNumberFormat="1"/>
    <xf numFmtId="1" fontId="15" fillId="0" borderId="0" xfId="0" applyNumberFormat="1" applyFont="1"/>
    <xf numFmtId="1" fontId="0" fillId="0" borderId="0" xfId="0" applyNumberFormat="1"/>
    <xf numFmtId="169" fontId="0" fillId="0" borderId="0" xfId="0" applyNumberFormat="1"/>
    <xf numFmtId="171" fontId="0" fillId="0" borderId="0" xfId="0" applyNumberFormat="1"/>
    <xf numFmtId="171" fontId="15" fillId="0" borderId="0" xfId="0" applyNumberFormat="1" applyFont="1"/>
    <xf numFmtId="174" fontId="15" fillId="0" borderId="0" xfId="0" applyNumberFormat="1" applyFont="1"/>
    <xf numFmtId="174" fontId="0" fillId="0" borderId="0" xfId="0" applyNumberFormat="1"/>
    <xf numFmtId="169" fontId="15" fillId="0" borderId="0" xfId="0" applyNumberFormat="1" applyFont="1"/>
  </cellXfs>
  <cellStyles count="3">
    <cellStyle name="Hyperlink" xfId="1" builtinId="8"/>
    <cellStyle name="Normal" xfId="0" builtinId="0"/>
    <cellStyle name="Normal 3" xfId="2" xr:uid="{00000000-0005-0000-0000-000003000000}"/>
  </cellStyles>
  <dxfs count="1005">
    <dxf>
      <numFmt numFmtId="1" formatCode="0"/>
    </dxf>
    <dxf>
      <numFmt numFmtId="166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1" formatCode="0"/>
    </dxf>
    <dxf>
      <numFmt numFmtId="166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1" formatCode="0"/>
    </dxf>
    <dxf>
      <numFmt numFmtId="166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numFmt numFmtId="2" formatCode="0.00"/>
    </dxf>
    <dxf>
      <numFmt numFmtId="30" formatCode="@"/>
    </dxf>
    <dxf>
      <numFmt numFmtId="171" formatCode="[$-409]h:mm\ AM/PM;@"/>
    </dxf>
    <dxf>
      <numFmt numFmtId="171" formatCode="[$-409]h:mm\ AM/PM;@"/>
    </dxf>
    <dxf>
      <numFmt numFmtId="169" formatCode="[$-409]m/d/yy\ h:mm\ AM/PM;@"/>
    </dxf>
    <dxf>
      <numFmt numFmtId="169" formatCode="[$-409]m/d/yy\ h:mm\ AM/PM;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74" formatCode="[$-409]mm/dd/yy\ hh:mm:ss\ AM/PM;@"/>
    </dxf>
    <dxf>
      <numFmt numFmtId="174" formatCode="[$-409]mm/dd/yy\ hh:mm:ss\ AM/PM;@"/>
    </dxf>
    <dxf>
      <numFmt numFmtId="30" formatCode="@"/>
    </dxf>
    <dxf>
      <numFmt numFmtId="169" formatCode="[$-409]m/d/yy\ h:mm\ AM/PM;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</dxf>
    <dxf>
      <numFmt numFmtId="2" formatCode="0.00"/>
    </dxf>
    <dxf>
      <numFmt numFmtId="1" formatCode="0"/>
    </dxf>
    <dxf>
      <numFmt numFmtId="166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1" formatCode="0"/>
    </dxf>
    <dxf>
      <numFmt numFmtId="166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1" formatCode="0"/>
    </dxf>
    <dxf>
      <numFmt numFmtId="166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numFmt numFmtId="2" formatCode="0.00"/>
    </dxf>
    <dxf>
      <numFmt numFmtId="30" formatCode="@"/>
    </dxf>
    <dxf>
      <numFmt numFmtId="171" formatCode="[$-409]h:mm\ AM/PM;@"/>
    </dxf>
    <dxf>
      <numFmt numFmtId="171" formatCode="[$-409]h:mm\ AM/PM;@"/>
    </dxf>
    <dxf>
      <numFmt numFmtId="169" formatCode="[$-409]m/d/yy\ h:mm\ AM/PM;@"/>
    </dxf>
    <dxf>
      <numFmt numFmtId="169" formatCode="[$-409]m/d/yy\ h:mm\ AM/PM;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74" formatCode="[$-409]mm/dd/yy\ hh:mm:ss\ AM/PM;@"/>
    </dxf>
    <dxf>
      <numFmt numFmtId="174" formatCode="[$-409]mm/dd/yy\ hh:mm:ss\ AM/PM;@"/>
    </dxf>
    <dxf>
      <numFmt numFmtId="30" formatCode="@"/>
    </dxf>
    <dxf>
      <numFmt numFmtId="169" formatCode="[$-409]m/d/yy\ h:mm\ AM/PM;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</dxf>
    <dxf>
      <numFmt numFmtId="1" formatCode="0"/>
    </dxf>
    <dxf>
      <numFmt numFmtId="166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1" formatCode="0"/>
    </dxf>
    <dxf>
      <numFmt numFmtId="166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1" formatCode="0"/>
    </dxf>
    <dxf>
      <numFmt numFmtId="166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numFmt numFmtId="2" formatCode="0.00"/>
    </dxf>
    <dxf>
      <numFmt numFmtId="30" formatCode="@"/>
    </dxf>
    <dxf>
      <numFmt numFmtId="171" formatCode="[$-409]h:mm\ AM/PM;@"/>
    </dxf>
    <dxf>
      <numFmt numFmtId="171" formatCode="[$-409]h:mm\ AM/PM;@"/>
    </dxf>
    <dxf>
      <numFmt numFmtId="169" formatCode="[$-409]m/d/yy\ h:mm\ AM/PM;@"/>
    </dxf>
    <dxf>
      <numFmt numFmtId="169" formatCode="[$-409]m/d/yy\ h:mm\ AM/PM;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74" formatCode="[$-409]mm/dd/yy\ hh:mm:ss\ AM/PM;@"/>
    </dxf>
    <dxf>
      <numFmt numFmtId="174" formatCode="[$-409]mm/dd/yy\ hh:mm:ss\ AM/PM;@"/>
    </dxf>
    <dxf>
      <numFmt numFmtId="30" formatCode="@"/>
    </dxf>
    <dxf>
      <numFmt numFmtId="169" formatCode="[$-409]m/d/yy\ h:mm\ AM/PM;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</dxf>
    <dxf>
      <numFmt numFmtId="1" formatCode="0"/>
    </dxf>
    <dxf>
      <numFmt numFmtId="166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1" formatCode="0"/>
    </dxf>
    <dxf>
      <numFmt numFmtId="166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1" formatCode="0"/>
    </dxf>
    <dxf>
      <numFmt numFmtId="166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numFmt numFmtId="2" formatCode="0.00"/>
    </dxf>
    <dxf>
      <numFmt numFmtId="30" formatCode="@"/>
    </dxf>
    <dxf>
      <numFmt numFmtId="171" formatCode="[$-409]h:mm\ AM/PM;@"/>
    </dxf>
    <dxf>
      <numFmt numFmtId="171" formatCode="[$-409]h:mm\ AM/PM;@"/>
    </dxf>
    <dxf>
      <numFmt numFmtId="169" formatCode="[$-409]m/d/yy\ h:mm\ AM/PM;@"/>
    </dxf>
    <dxf>
      <numFmt numFmtId="169" formatCode="[$-409]m/d/yy\ h:mm\ AM/PM;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74" formatCode="[$-409]mm/dd/yy\ hh:mm:ss\ AM/PM;@"/>
    </dxf>
    <dxf>
      <numFmt numFmtId="174" formatCode="[$-409]mm/dd/yy\ hh:mm:ss\ AM/PM;@"/>
    </dxf>
    <dxf>
      <numFmt numFmtId="30" formatCode="@"/>
    </dxf>
    <dxf>
      <numFmt numFmtId="169" formatCode="[$-409]m/d/yy\ h:mm\ AM/PM;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</dxf>
    <dxf>
      <numFmt numFmtId="1" formatCode="0"/>
    </dxf>
    <dxf>
      <numFmt numFmtId="166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1" formatCode="0"/>
    </dxf>
    <dxf>
      <numFmt numFmtId="166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1" formatCode="0"/>
    </dxf>
    <dxf>
      <numFmt numFmtId="166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numFmt numFmtId="30" formatCode="@"/>
    </dxf>
    <dxf>
      <numFmt numFmtId="171" formatCode="[$-409]h:mm\ AM/PM;@"/>
    </dxf>
    <dxf>
      <numFmt numFmtId="171" formatCode="[$-409]h:mm\ AM/PM;@"/>
    </dxf>
    <dxf>
      <numFmt numFmtId="169" formatCode="[$-409]m/d/yy\ h:mm\ AM/PM;@"/>
    </dxf>
    <dxf>
      <numFmt numFmtId="169" formatCode="[$-409]m/d/yy\ h:mm\ AM/PM;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74" formatCode="[$-409]mm/dd/yy\ hh:mm:ss\ AM/PM;@"/>
    </dxf>
    <dxf>
      <numFmt numFmtId="174" formatCode="[$-409]mm/dd/yy\ hh:mm:ss\ AM/PM;@"/>
    </dxf>
    <dxf>
      <numFmt numFmtId="30" formatCode="@"/>
    </dxf>
    <dxf>
      <numFmt numFmtId="169" formatCode="[$-409]m/d/yy\ h:mm\ AM/PM;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</dxf>
    <dxf>
      <numFmt numFmtId="1" formatCode="0"/>
    </dxf>
    <dxf>
      <numFmt numFmtId="166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1" formatCode="0"/>
    </dxf>
    <dxf>
      <numFmt numFmtId="166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1" formatCode="0"/>
    </dxf>
    <dxf>
      <numFmt numFmtId="166" formatCode="[&lt;=9999999]###\-####;\(###\)\ ###\-####"/>
    </dxf>
    <dxf>
      <numFmt numFmtId="1" formatCode="0"/>
    </dxf>
    <dxf>
      <numFmt numFmtId="0" formatCode="General"/>
    </dxf>
    <dxf>
      <numFmt numFmtId="30" formatCode="@"/>
    </dxf>
    <dxf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numFmt numFmtId="2" formatCode="0.00"/>
    </dxf>
    <dxf>
      <numFmt numFmtId="30" formatCode="@"/>
    </dxf>
    <dxf>
      <numFmt numFmtId="171" formatCode="[$-409]h:mm\ AM/PM;@"/>
    </dxf>
    <dxf>
      <numFmt numFmtId="171" formatCode="[$-409]h:mm\ AM/PM;@"/>
    </dxf>
    <dxf>
      <numFmt numFmtId="169" formatCode="[$-409]m/d/yy\ h:mm\ AM/PM;@"/>
    </dxf>
    <dxf>
      <numFmt numFmtId="169" formatCode="[$-409]m/d/yy\ h:mm\ AM/PM;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74" formatCode="[$-409]mm/dd/yy\ hh:mm:ss\ AM/PM;@"/>
    </dxf>
    <dxf>
      <numFmt numFmtId="174" formatCode="[$-409]mm/dd/yy\ hh:mm:ss\ AM/PM;@"/>
    </dxf>
    <dxf>
      <numFmt numFmtId="30" formatCode="@"/>
    </dxf>
    <dxf>
      <numFmt numFmtId="169" formatCode="[$-409]m/d/yy\ h:mm\ AM/PM;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</dxf>
    <dxf>
      <numFmt numFmtId="30" formatCode="@"/>
    </dxf>
    <dxf>
      <numFmt numFmtId="174" formatCode="[$-409]mm/dd/yy\ hh:mm:ss\ AM/PM;@"/>
    </dxf>
    <dxf>
      <numFmt numFmtId="169" formatCode="[$-409]m/d/yy\ h:mm\ AM/PM;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74" formatCode="[$-409]mm/dd/yy\ hh:mm:ss\ AM/PM;@"/>
    </dxf>
    <dxf>
      <numFmt numFmtId="169" formatCode="[$-409]m/d/yy\ h:mm\ AM/PM;@"/>
    </dxf>
    <dxf>
      <numFmt numFmtId="169" formatCode="[$-409]m/d/yy\ h:mm\ AM/PM;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1" formatCode="0"/>
    </dxf>
    <dxf>
      <numFmt numFmtId="166" formatCode="[&lt;=9999999]###\-####;\(###\)\ ###\-####"/>
    </dxf>
    <dxf>
      <numFmt numFmtId="0" formatCode="General"/>
    </dxf>
    <dxf>
      <numFmt numFmtId="1" formatCode="0"/>
    </dxf>
    <dxf>
      <numFmt numFmtId="30" formatCode="@"/>
    </dxf>
    <dxf>
      <numFmt numFmtId="1" formatCode="0"/>
    </dxf>
    <dxf>
      <numFmt numFmtId="166" formatCode="[&lt;=9999999]###\-####;\(###\)\ ###\-####"/>
    </dxf>
    <dxf>
      <numFmt numFmtId="1" formatCode="0"/>
    </dxf>
    <dxf>
      <numFmt numFmtId="0" formatCode="General"/>
    </dxf>
    <dxf>
      <numFmt numFmtId="1" formatCode="0"/>
    </dxf>
    <dxf>
      <numFmt numFmtId="30" formatCode="@"/>
    </dxf>
    <dxf>
      <numFmt numFmtId="166" formatCode="[&lt;=9999999]###\-####;\(###\)\ ###\-####"/>
    </dxf>
    <dxf>
      <numFmt numFmtId="1" formatCode="0"/>
    </dxf>
    <dxf>
      <numFmt numFmtId="0" formatCode="General"/>
    </dxf>
    <dxf>
      <numFmt numFmtId="2" formatCode="0.00"/>
    </dxf>
    <dxf>
      <numFmt numFmtId="171" formatCode="[$-409]h:mm\ AM/PM;@"/>
    </dxf>
    <dxf>
      <numFmt numFmtId="171" formatCode="[$-409]h:mm\ AM/PM;@"/>
    </dxf>
    <dxf>
      <numFmt numFmtId="30" formatCode="@"/>
    </dxf>
    <dxf>
      <font>
        <b/>
      </font>
      <numFmt numFmtId="30" formatCode="@"/>
    </dxf>
    <dxf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font>
        <b/>
      </font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</dxf>
  </dxfs>
  <tableStyles count="0" defaultTableStyle="TableStyleMedium9" defaultPivotStyle="PivotStyleLight16"/>
  <colors>
    <mruColors>
      <color rgb="FF0099CC"/>
      <color rgb="FFCCECFF"/>
      <color rgb="FFFF7C80"/>
      <color rgb="FFBC29C7"/>
      <color rgb="FF9999FF"/>
      <color rgb="FFD05B36"/>
      <color rgb="FFFF9900"/>
      <color rgb="FF33CCCC"/>
      <color rgb="FFCC00CC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48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E712978-C0FA-4CF9-9FBE-2E4ED2F85493}" name="Combined_tables" displayName="Combined_tables" ref="A1:AQ369" totalsRowShown="0" headerRowDxfId="1004" dataDxfId="1003">
  <autoFilter ref="A1:AQ369" xr:uid="{8FAB8214-9305-4D68-B4C3-0C877B0E8980}"/>
  <tableColumns count="43">
    <tableColumn id="29" xr3:uid="{67A1A7FC-408E-4C7A-BEBA-D891FFFBAEE1}" name="ItemID" dataDxfId="309"/>
    <tableColumn id="31" xr3:uid="{630A6EAD-A08F-4698-ACB7-942ABBD2E4FB}" name="CBOC_Name_text" dataDxfId="310"/>
    <tableColumn id="32" xr3:uid="{8A0EFB2D-90C3-47EB-979D-D407820163BA}" name="Room_number" dataDxfId="311"/>
    <tableColumn id="33" xr3:uid="{483AAE59-4EF2-4104-A76E-5A60AD4B8CB1}" name="Room_Name_text" dataDxfId="284"/>
    <tableColumn id="34" xr3:uid="{D9A50C47-E2CB-45A5-B507-B1C90C61F0E5}" name="Room_Alias_number" dataDxfId="282"/>
    <tableColumn id="35" xr3:uid="{10AE8887-FEAD-48B1-A819-43A1F675D64A}" name="Room_Extension_number" dataDxfId="283"/>
    <tableColumn id="36" xr3:uid="{1BBC4C13-E002-4241-9349-B9A19386D280}" name="Room_IPaddress_text" dataDxfId="281"/>
    <tableColumn id="57" xr3:uid="{FDDE45C4-60B0-44A5-81CF-1CF80E1C30B4}" name="Modified_Type" dataDxfId="273"/>
    <tableColumn id="48" xr3:uid="{B77177BD-0172-4AB7-B25D-0602337AD938}" name="Modified_Status_DateTime" dataDxfId="272"/>
    <tableColumn id="49" xr3:uid="{92D44A63-6161-4B73-AD6F-2932CD18F29F}" name="Modified_Status_Text" dataDxfId="270"/>
    <tableColumn id="54" xr3:uid="{2229C00D-F71D-4B1D-BC70-51DBD62DBB83}" name="Modified_Submitted_DateTime" dataDxfId="271"/>
    <tableColumn id="52" xr3:uid="{F8A96077-93FB-4A27-AE22-34809077561F}" name="Modified_SubmitterEmail_text" dataDxfId="277"/>
    <tableColumn id="47" xr3:uid="{68A7644D-6F1B-42FE-BFC9-AC1524F6F6E8}" name="Modified_SubmitterComment_text" dataDxfId="280"/>
    <tableColumn id="55" xr3:uid="{888D67EA-89E8-4225-94CC-886BED658742}" name="Modified_Approval_DateTime" dataDxfId="275"/>
    <tableColumn id="53" xr3:uid="{201860B6-DD20-4015-8A5C-551ADD9525D6}" name="Modified_ApproverEmail_text" dataDxfId="276"/>
    <tableColumn id="56" xr3:uid="{33074C33-72AD-4F1A-BC48-CA744DA5D2D3}" name="Modified_Approval_Comments" dataDxfId="274"/>
    <tableColumn id="51" xr3:uid="{931B3553-B3A6-436A-BD7E-0E4192566E0C}" name="Expiration_Start_DateTime" dataDxfId="279"/>
    <tableColumn id="50" xr3:uid="{6318CC56-EA2C-4E76-BE6D-FB370F8B44F8}" name="Expiration_Stop_DateTime" dataDxfId="278"/>
    <tableColumn id="42" xr3:uid="{74B2D51A-7BD3-46C8-ADA4-96C56914E226}" name="TimeSlot_Start_time" dataDxfId="300">
      <calculatedColumnFormula>TIME(LEFT(U2,2),RIGHT(U2,2),"00")</calculatedColumnFormula>
    </tableColumn>
    <tableColumn id="43" xr3:uid="{FA816FDB-07A4-42A8-9834-066761C35D1C}" name="TimeSlot_End_time" dataDxfId="301">
      <calculatedColumnFormula>S2+(TIME("00","30","00"))</calculatedColumnFormula>
    </tableColumn>
    <tableColumn id="30" xr3:uid="{ED1E49D3-3AC9-4FC8-9B79-1EF7571A18C2}" name="TimeSlot_Start_text" dataDxfId="302"/>
    <tableColumn id="45" xr3:uid="{F81A350D-5CB0-462B-8C95-805E23ABADDF}" name="TimeSlot_Start_number" dataDxfId="299">
      <calculatedColumnFormula>Combined_tables[[#This Row],[TimeSlot_Start_text]]</calculatedColumnFormula>
    </tableColumn>
    <tableColumn id="2" xr3:uid="{B154A076-1C81-444D-A818-C8757B61C80B}" name="Day_Monday_text" dataDxfId="308"/>
    <tableColumn id="3" xr3:uid="{5A713630-1548-4B6E-B314-188BDCF89281}" name="Day_Tuesday_text" dataDxfId="307"/>
    <tableColumn id="4" xr3:uid="{3FF03C69-2C7F-40F1-87BC-0456123C1253}" name="Day_Wednesday_text" dataDxfId="306"/>
    <tableColumn id="5" xr3:uid="{8FD3BF1F-9FFB-4B37-94CE-1CFADF19FA1B}" name="Day_Thursday_text" dataDxfId="305"/>
    <tableColumn id="6" xr3:uid="{A35D629F-74FA-4E1A-9BED-3DBEA48ADC51}" name="Day_Friday_text" dataDxfId="303"/>
    <tableColumn id="7" xr3:uid="{F69EB743-4151-4EFA-BF11-0C8DB0A17543}" name="TimeSlot_text" dataDxfId="304"/>
    <tableColumn id="14" xr3:uid="{8EBE0205-E8C4-4BB1-BE91-EA7DDBF77746}" name="TCT_Name_text" dataDxfId="1002"/>
    <tableColumn id="15" xr3:uid="{753D3E00-771C-4BEB-93AC-532EE8549A7D}" name="TCT_Email_text" dataDxfId="287"/>
    <tableColumn id="16" xr3:uid="{77D9CE83-EA41-4BD7-8211-E37CA1E5D786}" name="TCT_Phone_number" dataDxfId="285"/>
    <tableColumn id="17" xr3:uid="{EFA9B979-E099-4F15-BF22-B3AAFF7FC8AF}" name="TCT_Cell_text" dataDxfId="286"/>
    <tableColumn id="18" xr3:uid="{620BDFEF-4555-4EE0-AD01-72FDE0318E03}" name="TCT_Cell_number" dataDxfId="288"/>
    <tableColumn id="19" xr3:uid="{2942C063-172D-43AE-8B1B-C678D163B892}" name="CNM_Name_text" dataDxfId="289"/>
    <tableColumn id="20" xr3:uid="{9DA682D3-F941-4D0C-9E61-0A1AAB5147B5}" name="CNM_Email_text" dataDxfId="298"/>
    <tableColumn id="21" xr3:uid="{9771DFD6-7B26-4C55-BEB9-A4598F221A73}" name="CNM_Phone_number" dataDxfId="297"/>
    <tableColumn id="22" xr3:uid="{4D2FA67A-B3D0-47F6-9E97-F07141BED33D}" name="CNM_Cell_text" dataDxfId="296"/>
    <tableColumn id="23" xr3:uid="{2831B9AB-04C4-4968-AA55-AB33EE4C6365}" name="CNM_Cell_number" dataDxfId="294"/>
    <tableColumn id="24" xr3:uid="{1075E682-611E-4C6D-A949-3B2F3AB79223}" name="FTC_Name_text" dataDxfId="295"/>
    <tableColumn id="25" xr3:uid="{A6B62C55-30A1-4114-B5F2-27EAED68A55D}" name="FTC_Email_text" dataDxfId="293"/>
    <tableColumn id="26" xr3:uid="{6191598B-9740-4701-80AF-C58514207E8A}" name="FTC_Phone_number" dataDxfId="292"/>
    <tableColumn id="27" xr3:uid="{0E32D088-242E-44A9-BF64-10A55556E645}" name="FTC_Cell_text2" dataDxfId="291"/>
    <tableColumn id="28" xr3:uid="{59DBB47C-4E26-418D-8041-6F1A47CFEC76}" name="FTC_Cell_number" dataDxfId="29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DD60EF8-4B97-4601-9FE3-129BD54ED35E}" name="Aurora_table" displayName="Aurora_table" ref="A1:AQ33" totalsRowShown="0" headerRowDxfId="224" dataDxfId="223">
  <autoFilter ref="A1:AQ33" xr:uid="{8FAB8214-9305-4D68-B4C3-0C877B0E8980}"/>
  <tableColumns count="43">
    <tableColumn id="29" xr3:uid="{BCF710DA-2195-4CD9-9305-7DACDD457D53}" name="ItemID" dataDxfId="222"/>
    <tableColumn id="31" xr3:uid="{E4B1A3C7-8F53-4D8C-8352-B6619CC47E0E}" name="CBOC_Name_text" dataDxfId="221"/>
    <tableColumn id="32" xr3:uid="{BD41DF70-770B-423B-8639-73B7A417CFB9}" name="Room_number" dataDxfId="220"/>
    <tableColumn id="33" xr3:uid="{A38073FA-F07D-479B-8CDD-067094B079E1}" name="Room_Name_text" dataDxfId="219"/>
    <tableColumn id="34" xr3:uid="{62541CF2-E349-4990-9E0D-FC9BC86E679B}" name="Room_Alias_number" dataDxfId="218"/>
    <tableColumn id="35" xr3:uid="{E8E93071-EE7A-470A-B813-11F5A1E86E99}" name="Room_Extension_number" dataDxfId="217"/>
    <tableColumn id="36" xr3:uid="{8CD8387A-37BC-42C1-B8F9-1008184021A5}" name="Room_IPaddress_text" dataDxfId="216"/>
    <tableColumn id="57" xr3:uid="{81611D54-81DE-4606-B45B-DF34258CF5B4}" name="Modified_Type" dataDxfId="215"/>
    <tableColumn id="48" xr3:uid="{247539EB-024A-4CFF-9DC2-DF9FDB437B78}" name="Modified_Status_DateTime" dataDxfId="214"/>
    <tableColumn id="49" xr3:uid="{4D60BC47-E4FF-4767-AD1C-DFCCA2483540}" name="Modified_Status_Text" dataDxfId="213"/>
    <tableColumn id="54" xr3:uid="{AAA22600-43E9-43E0-9C0D-707BDB16E461}" name="Modified_Submitted_DateTime" dataDxfId="212"/>
    <tableColumn id="52" xr3:uid="{8D2697E4-BC9A-4274-AEEA-B14A110EDF6D}" name="Modified_SubmitterEmail_text" dataDxfId="211"/>
    <tableColumn id="47" xr3:uid="{D73B58EF-00BC-463B-8FED-C6DD1734ED8A}" name="Modified_SubmitterComment_text" dataDxfId="210"/>
    <tableColumn id="55" xr3:uid="{30B4CC6A-DF2D-4708-B6CA-167C928ECA60}" name="Modified_Approval_DateTime" dataDxfId="209"/>
    <tableColumn id="53" xr3:uid="{FBE309BA-693A-4736-AC29-3BE2DFC26AF8}" name="Modified_ApproverEmail_text" dataDxfId="208"/>
    <tableColumn id="56" xr3:uid="{72839B80-29AA-4825-B257-E269CB7AB983}" name="Modified_Approval_Comments" dataDxfId="207"/>
    <tableColumn id="51" xr3:uid="{9D69BBD4-F41A-471C-BD8F-C381AA2465ED}" name="Expiration_Start_DateTime" dataDxfId="206"/>
    <tableColumn id="50" xr3:uid="{8E42A27A-0EB8-4D1A-8724-E81698154822}" name="Expiration_Stop_DateTime" dataDxfId="205"/>
    <tableColumn id="42" xr3:uid="{63A1B651-B17E-4BE1-A3A6-880124E304D0}" name="TimeSlot_Start_time" dataDxfId="204">
      <calculatedColumnFormula>TIME(LEFT(U2,2),RIGHT(U2,2),"00")</calculatedColumnFormula>
    </tableColumn>
    <tableColumn id="43" xr3:uid="{D3C082C6-C982-4A57-8BDB-672F170861D5}" name="TimeSlot_End_time" dataDxfId="203">
      <calculatedColumnFormula>S2+(TIME("00","30","00"))</calculatedColumnFormula>
    </tableColumn>
    <tableColumn id="30" xr3:uid="{E4334D47-7BCE-4ACB-9A82-094D9AB414C9}" name="TimeSlot_Start_text" dataDxfId="202"/>
    <tableColumn id="45" xr3:uid="{782DD8EB-C1DE-48DE-A465-20F7307B2CF3}" name="TimeSlot_Start_number" dataDxfId="45">
      <calculatedColumnFormula>Aurora_table[[#This Row],[TimeSlot_Start_text]]</calculatedColumnFormula>
    </tableColumn>
    <tableColumn id="2" xr3:uid="{78736BF7-27D1-4D5A-B8E2-6ADCEFAD11D7}" name="Day_Monday_text" dataDxfId="201"/>
    <tableColumn id="3" xr3:uid="{01227823-CFCB-498B-9095-3CB2FB9A9C78}" name="Day_Tuesday_text" dataDxfId="200"/>
    <tableColumn id="4" xr3:uid="{7D4B83A4-B185-4B62-94D5-866B0603B6B8}" name="Day_Wednesday_text" dataDxfId="199"/>
    <tableColumn id="5" xr3:uid="{EDAC266F-CDB3-43A7-B010-FE5A68177212}" name="Day_Thursday_text" dataDxfId="198"/>
    <tableColumn id="6" xr3:uid="{A9EAD9AA-2F6F-4982-971B-DBB213CEF0F1}" name="Day_Friday_text" dataDxfId="197"/>
    <tableColumn id="7" xr3:uid="{D4205978-DDA6-47B0-AEBF-1AFD7D8A9E90}" name="TimeSlot_text" dataDxfId="196"/>
    <tableColumn id="14" xr3:uid="{53F20A69-05EB-483A-BB95-118E81D8DC64}" name="TCT_Name_text" dataDxfId="195"/>
    <tableColumn id="15" xr3:uid="{F4B7C313-5250-4DE0-BBEA-35D0FEB9783D}" name="TCT_Email_text" dataDxfId="194"/>
    <tableColumn id="16" xr3:uid="{FF163C5F-59E9-48F4-BE3E-7B6F8F89950A}" name="TCT_Phone_number" dataDxfId="193"/>
    <tableColumn id="17" xr3:uid="{B47478C9-8164-463F-9FB2-E296438881AF}" name="TCT_Cell_text" dataDxfId="192"/>
    <tableColumn id="18" xr3:uid="{33424E02-2B9F-45EB-99D2-5CBD42918A91}" name="TCT_Cell_number" dataDxfId="191"/>
    <tableColumn id="19" xr3:uid="{F4DE51D3-2925-4E25-BC82-DA34B05462CA}" name="CNM_Name_text" dataDxfId="190"/>
    <tableColumn id="20" xr3:uid="{89F1F7DC-2E81-465C-A75A-EDA58024700A}" name="CNM_Email_text" dataDxfId="189"/>
    <tableColumn id="21" xr3:uid="{654F0735-489F-4D80-8570-FE6C78E8E5FF}" name="CNM_Phone_number" dataDxfId="188"/>
    <tableColumn id="22" xr3:uid="{C8D0E5A9-8CC7-4AB2-B249-18023E87EE80}" name="CNM_Cell_text" dataDxfId="187"/>
    <tableColumn id="23" xr3:uid="{4EFC6D39-34B8-4DBF-A2D3-3DA757664D3A}" name="CNM_Cell_number" dataDxfId="186"/>
    <tableColumn id="24" xr3:uid="{9FFF83EF-5A50-4BFD-8CFE-93A51905C09F}" name="FTC_Name_text" dataDxfId="185"/>
    <tableColumn id="25" xr3:uid="{66334083-10E5-4DE2-9E6F-E70BD96FB599}" name="FTC_Email_text" dataDxfId="184"/>
    <tableColumn id="26" xr3:uid="{CA0D3083-06F6-40EA-A3C5-A2328C325937}" name="FTC_Phone_number" dataDxfId="183"/>
    <tableColumn id="27" xr3:uid="{220315E8-AA5C-4A85-8B3F-238913951574}" name="FTC_Cell_text2" dataDxfId="182"/>
    <tableColumn id="28" xr3:uid="{7B8FDF54-05DD-4F57-9BB5-5A94022FF8C6}" name="FTC_Cell_number" dataDxfId="18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590DA048-9CFB-41CA-AA45-194628B5698C}" name="HoffmanEstates_table" displayName="HoffmanEstates_table" ref="A1:AQ65" totalsRowShown="0" headerRowDxfId="90" dataDxfId="89">
  <autoFilter ref="A1:AQ65" xr:uid="{8FAB8214-9305-4D68-B4C3-0C877B0E8980}"/>
  <tableColumns count="43">
    <tableColumn id="29" xr3:uid="{EF765FC7-6FC6-45DD-8DC8-079CA2709C69}" name="ItemID" dataDxfId="88"/>
    <tableColumn id="31" xr3:uid="{64453932-90E9-4A6D-A6C7-4E0F76CE4C6F}" name="CBOC_Name_text" dataDxfId="87"/>
    <tableColumn id="32" xr3:uid="{B03F7789-0229-4BA9-9187-FA06DD094EB7}" name="Room_number" dataDxfId="86"/>
    <tableColumn id="33" xr3:uid="{BDF504AA-7B13-43EE-AD13-E932C82AB574}" name="Room_Name_text" dataDxfId="85"/>
    <tableColumn id="34" xr3:uid="{5911B09B-5D84-4BBB-838F-B1A4E829F409}" name="Room_Alias_number" dataDxfId="84"/>
    <tableColumn id="35" xr3:uid="{6593FCBD-4CB5-429A-9920-0212B2D92ADB}" name="Room_Extension_number" dataDxfId="83"/>
    <tableColumn id="36" xr3:uid="{565AA8FE-35A5-4700-8268-D136E9544D47}" name="Room_IPaddress_text" dataDxfId="82"/>
    <tableColumn id="57" xr3:uid="{149EBB77-C578-413F-A9DD-62692FDDFC11}" name="Modified_Type" dataDxfId="81"/>
    <tableColumn id="48" xr3:uid="{4A5EF3FF-AB97-4A18-8055-C850D7FB3A1A}" name="Modified_Status_DateTime" dataDxfId="80"/>
    <tableColumn id="49" xr3:uid="{D3D67635-3AC6-4723-98F1-F24217ED5FA3}" name="Modified_Status_Text" dataDxfId="79"/>
    <tableColumn id="54" xr3:uid="{2637F43E-2E07-4527-B8B2-0632EF35D7D9}" name="Modified_Submitted_DateTime" dataDxfId="78"/>
    <tableColumn id="52" xr3:uid="{B2C894C4-45B3-4B0D-8026-8310E96D9823}" name="Modified_SubmitterEmail_text" dataDxfId="77"/>
    <tableColumn id="47" xr3:uid="{186B5003-0805-483B-9A88-BBBE5FF46669}" name="Modified_SubmitterComment_text" dataDxfId="76"/>
    <tableColumn id="55" xr3:uid="{D4954B62-BDDB-41EF-AE48-27615B6D222A}" name="Modified_Approval_DateTime" dataDxfId="75"/>
    <tableColumn id="53" xr3:uid="{E2F14F6E-40C2-4324-B388-F85A40AB3E78}" name="Modified_ApproverEmail_text" dataDxfId="74"/>
    <tableColumn id="56" xr3:uid="{EC06FFEE-2B24-4627-B4FD-682B5ECCA1F3}" name="Modified_Approval_Comments" dataDxfId="73"/>
    <tableColumn id="51" xr3:uid="{44E789EE-051A-4F69-99EA-2B00E7D61EB0}" name="Expiration_Start_DateTime" dataDxfId="72"/>
    <tableColumn id="50" xr3:uid="{73EFDCF7-1C96-4663-A491-59E1F55BB3E2}" name="Expiration_Stop_DateTime" dataDxfId="71"/>
    <tableColumn id="42" xr3:uid="{494C15CD-0FC5-42CE-9CB1-007D9765DCE1}" name="TimeSlot_Start_time" dataDxfId="70">
      <calculatedColumnFormula>TIME(LEFT(U2,2),RIGHT(U2,2),"00")</calculatedColumnFormula>
    </tableColumn>
    <tableColumn id="43" xr3:uid="{CCD4FD5F-396B-445E-99B6-7168A3ED3DF8}" name="TimeSlot_End_time" dataDxfId="69">
      <calculatedColumnFormula>S2+(TIME("00","30","00"))</calculatedColumnFormula>
    </tableColumn>
    <tableColumn id="30" xr3:uid="{78DAF78A-38E8-4D56-A8BF-543D3DE02E92}" name="TimeSlot_Start_text" dataDxfId="68"/>
    <tableColumn id="45" xr3:uid="{FEF08C6F-15E1-42D5-B2BD-C613B01C430A}" name="TimeSlot_Start_number" dataDxfId="67">
      <calculatedColumnFormula>HoffmanEstates_table[[#This Row],[TimeSlot_Start_text]]</calculatedColumnFormula>
    </tableColumn>
    <tableColumn id="2" xr3:uid="{345A7B6D-F7CA-4239-BA87-1EE2A6D885E1}" name="Day_Monday_text" dataDxfId="66"/>
    <tableColumn id="3" xr3:uid="{A38B4701-6F99-44E1-91C2-89C40328DFDD}" name="Day_Tuesday_text" dataDxfId="65"/>
    <tableColumn id="4" xr3:uid="{A068B80B-B6DA-45AD-AB2E-3AD1BB3477F5}" name="Day_Wednesday_text" dataDxfId="64"/>
    <tableColumn id="5" xr3:uid="{44CD8907-DA0B-4B9B-8073-C2BDF1F448BD}" name="Day_Thursday_text" dataDxfId="63"/>
    <tableColumn id="6" xr3:uid="{C5913D9B-0444-43E2-9DF4-3B8248A47588}" name="Day_Friday_text" dataDxfId="62"/>
    <tableColumn id="7" xr3:uid="{7C5693A9-80D6-4097-AD5F-816ED4E48CFE}" name="TimeSlot_text" dataDxfId="61"/>
    <tableColumn id="14" xr3:uid="{C9A4DEF2-048A-4E0D-9C61-51B6B960C0BA}" name="TCT_Name_text" dataDxfId="60"/>
    <tableColumn id="15" xr3:uid="{AD48CF82-60F4-4303-A8EE-7463C8BCCE71}" name="TCT_Email_text" dataDxfId="59"/>
    <tableColumn id="16" xr3:uid="{9A3046C0-8E0C-45B5-9908-9E03802EE9DC}" name="TCT_Phone_number" dataDxfId="58"/>
    <tableColumn id="17" xr3:uid="{AF1C88B3-C3FF-4A16-9FD0-318236D78730}" name="TCT_Cell_text" dataDxfId="57"/>
    <tableColumn id="18" xr3:uid="{A20CA68D-45A0-46F4-A194-9763897A6125}" name="TCT_Cell_number" dataDxfId="56"/>
    <tableColumn id="19" xr3:uid="{9A4EA615-085F-4497-A1C0-0AAFACD24495}" name="CNM_Name_text" dataDxfId="55"/>
    <tableColumn id="20" xr3:uid="{974178E0-667E-4DE5-A813-5130FF13CE84}" name="CNM_Email_text" dataDxfId="54"/>
    <tableColumn id="21" xr3:uid="{42471FAC-452D-4B6F-A536-1CF15EE8C5BC}" name="CNM_Phone_number" dataDxfId="53"/>
    <tableColumn id="22" xr3:uid="{ADF89EFB-3644-4A6A-BDD0-3C9EA6249FA2}" name="CNM_Cell_text" dataDxfId="52"/>
    <tableColumn id="23" xr3:uid="{FEF442CB-DF11-4A4B-9971-BE5068AD55F6}" name="CNM_Cell_number" dataDxfId="51"/>
    <tableColumn id="24" xr3:uid="{A30F10F1-C077-4471-816C-86A11B597E60}" name="FTC_Name_text" dataDxfId="50"/>
    <tableColumn id="25" xr3:uid="{D08ECE22-00BD-4B6C-A77B-F43656F7B4C0}" name="FTC_Email_text" dataDxfId="49"/>
    <tableColumn id="26" xr3:uid="{6468EAA1-1227-4A43-A75E-5D80ED27711C}" name="FTC_Phone_number" dataDxfId="48"/>
    <tableColumn id="27" xr3:uid="{E8EA1BF5-8D02-44BE-9104-03D62A648DFB}" name="FTC_Cell_text2" dataDxfId="47"/>
    <tableColumn id="28" xr3:uid="{69E82897-9903-41CA-B8C8-E79A1808FCDC}" name="FTC_Cell_number" dataDxfId="4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CCA2F34-E77F-4EF0-B89D-473669E21F17}" name="Joliet_table" displayName="Joliet_table" ref="A1:AQ65" totalsRowShown="0" headerRowDxfId="180" dataDxfId="179">
  <autoFilter ref="A1:AQ65" xr:uid="{8FAB8214-9305-4D68-B4C3-0C877B0E8980}"/>
  <tableColumns count="43">
    <tableColumn id="29" xr3:uid="{B18C2201-1242-4F95-847E-7036DF7E8707}" name="ItemID" dataDxfId="178"/>
    <tableColumn id="31" xr3:uid="{6BC84C91-127A-454B-8164-FDF41D0EBB4A}" name="CBOC_Name_text" dataDxfId="177"/>
    <tableColumn id="32" xr3:uid="{406CE216-3533-40D8-BFDC-C83FA030BBB1}" name="Room_number" dataDxfId="176"/>
    <tableColumn id="33" xr3:uid="{0DC9723D-6064-4BBF-8AFE-EE22C8A17093}" name="Room_Name_text" dataDxfId="175"/>
    <tableColumn id="34" xr3:uid="{A85F1F68-1FA3-4112-8423-943FC966402A}" name="Room_Alias_number" dataDxfId="174"/>
    <tableColumn id="35" xr3:uid="{61C5010B-9CC1-4CAD-93CE-F07F5C4303BC}" name="Room_Extension_number" dataDxfId="173"/>
    <tableColumn id="36" xr3:uid="{5FA3827E-524A-4762-8D3E-76C43EB653EA}" name="Room_IPaddress_text" dataDxfId="172"/>
    <tableColumn id="57" xr3:uid="{D09374E1-312F-44E6-B2A2-1695F1854A63}" name="Modified_Type" dataDxfId="171"/>
    <tableColumn id="48" xr3:uid="{050A6184-CEBE-48C7-847C-C397C1EACE8F}" name="Modified_Status_DateTime" dataDxfId="170"/>
    <tableColumn id="49" xr3:uid="{24C45778-0D3D-426C-855C-A867B686D3AE}" name="Modified_Status_Text" dataDxfId="169"/>
    <tableColumn id="54" xr3:uid="{545EB178-825E-40CF-B8CE-673143F8D0D1}" name="Modified_Submitted_DateTime" dataDxfId="168"/>
    <tableColumn id="52" xr3:uid="{15590C14-4E52-4290-8BC7-031CC5090CC7}" name="Modified_SubmitterEmail_text" dataDxfId="167"/>
    <tableColumn id="47" xr3:uid="{76006B36-F5A5-432E-A31B-53CBFDD0723E}" name="Modified_SubmitterComment_text" dataDxfId="166"/>
    <tableColumn id="55" xr3:uid="{CD7D8120-338B-4FE1-82B5-1E16AAC54666}" name="Modified_Approval_DateTime" dataDxfId="165"/>
    <tableColumn id="53" xr3:uid="{80788749-CE80-4B4D-B370-5DDA95529ACF}" name="Modified_ApproverEmail_text" dataDxfId="164"/>
    <tableColumn id="56" xr3:uid="{190E15DB-FCE8-495F-B77A-9B059120567E}" name="Modified_Approval_Comments" dataDxfId="163"/>
    <tableColumn id="51" xr3:uid="{1F351450-275B-4252-87FC-A85704E50112}" name="Expiration_Start_DateTime" dataDxfId="162"/>
    <tableColumn id="50" xr3:uid="{8ECCA52E-BF85-416E-8F29-ACFBE7CB42D8}" name="Expiration_Stop_DateTime" dataDxfId="161"/>
    <tableColumn id="42" xr3:uid="{035A6998-BC4D-4F64-9CDC-CEBA4E5A908C}" name="TimeSlot_Start_time" dataDxfId="160">
      <calculatedColumnFormula>TIME(LEFT(U2,2),RIGHT(U2,2),"00")</calculatedColumnFormula>
    </tableColumn>
    <tableColumn id="43" xr3:uid="{7BCD3D21-F3DD-445A-A93D-A924287382A2}" name="TimeSlot_End_time" dataDxfId="159">
      <calculatedColumnFormula>S2+(TIME("00","30","00"))</calculatedColumnFormula>
    </tableColumn>
    <tableColumn id="30" xr3:uid="{18D98E04-EE9F-40AA-BB41-595C1AABA94F}" name="TimeSlot_Start_text" dataDxfId="158"/>
    <tableColumn id="45" xr3:uid="{0FEFF962-12A0-4D84-AD42-401120DCE80B}" name="TimeSlot_Start_number" dataDxfId="157">
      <calculatedColumnFormula>Joliet_table[[#This Row],[TimeSlot_Start_text]]</calculatedColumnFormula>
    </tableColumn>
    <tableColumn id="2" xr3:uid="{8C980FEB-346F-4EF5-86E3-4B87256595F4}" name="Day_Monday_text" dataDxfId="156"/>
    <tableColumn id="3" xr3:uid="{03F1A303-78B8-4933-96D1-EBB18F07C9E4}" name="Day_Tuesday_text" dataDxfId="155"/>
    <tableColumn id="4" xr3:uid="{3A3031F7-68E7-444B-B990-E098F828374A}" name="Day_Wednesday_text" dataDxfId="154"/>
    <tableColumn id="5" xr3:uid="{73EBEF4E-CC98-46AE-8C06-44608736FC98}" name="Day_Thursday_text" dataDxfId="153"/>
    <tableColumn id="6" xr3:uid="{3BE784BB-F07B-4D3C-80BB-1D3466FA75A7}" name="Day_Friday_text" dataDxfId="152"/>
    <tableColumn id="7" xr3:uid="{E6D1C891-1DEB-493C-B40D-9E1A34D2F374}" name="TimeSlot_text" dataDxfId="151"/>
    <tableColumn id="14" xr3:uid="{1DFA6BDC-5BAE-49E2-8592-C366C093AA23}" name="TCT_Name_text" dataDxfId="150"/>
    <tableColumn id="15" xr3:uid="{856B20BE-7B1E-4FCC-A2AD-1E4823016099}" name="TCT_Email_text" dataDxfId="149"/>
    <tableColumn id="16" xr3:uid="{2391B2FF-D99C-4882-8ADD-52DC39E35DC2}" name="TCT_Phone_number" dataDxfId="148"/>
    <tableColumn id="17" xr3:uid="{59A076F9-CE5A-4FDC-AB77-75C2294B2360}" name="TCT_Cell_text" dataDxfId="147"/>
    <tableColumn id="18" xr3:uid="{893AEA99-C913-4FAE-80A6-8690F3769345}" name="TCT_Cell_number" dataDxfId="146"/>
    <tableColumn id="19" xr3:uid="{C598E717-CE2D-4A1F-8D95-3A06154BEC09}" name="CNM_Name_text" dataDxfId="145"/>
    <tableColumn id="20" xr3:uid="{3E32F82D-2604-4114-8E8B-F787EA735103}" name="CNM_Email_text" dataDxfId="144"/>
    <tableColumn id="21" xr3:uid="{62222D0A-4869-4459-9480-83A49DF63180}" name="CNM_Phone_number" dataDxfId="143"/>
    <tableColumn id="22" xr3:uid="{F09D3310-5139-4653-A17E-3B1ED388E15B}" name="CNM_Cell_text" dataDxfId="142"/>
    <tableColumn id="23" xr3:uid="{4E0A8E36-5D67-49A5-BDF6-5C6C472BF41A}" name="CNM_Cell_number" dataDxfId="141"/>
    <tableColumn id="24" xr3:uid="{4407397A-67D8-4014-A17B-EC27FE6E9503}" name="FTC_Name_text" dataDxfId="140"/>
    <tableColumn id="25" xr3:uid="{D6298A1C-CF49-47DB-B0DE-33AE6EA0176B}" name="FTC_Email_text" dataDxfId="139"/>
    <tableColumn id="26" xr3:uid="{FD062B00-945E-4AAB-8185-D2D319424085}" name="FTC_Phone_number" dataDxfId="138"/>
    <tableColumn id="27" xr3:uid="{FCD2A44C-7E66-4B36-8A2E-E025D8875C9B}" name="FTC_Cell_text2" dataDxfId="137"/>
    <tableColumn id="28" xr3:uid="{51DB1A00-7EC6-4170-895C-CB0EC6AA77DD}" name="FTC_Cell_number" dataDxfId="13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10CACE2-D368-4356-9C87-EBC3314F20F4}" name="Kankakee_table" displayName="Kankakee_table" ref="A1:AQ81" totalsRowShown="0" headerRowDxfId="135" dataDxfId="134">
  <autoFilter ref="A1:AQ81" xr:uid="{8FAB8214-9305-4D68-B4C3-0C877B0E8980}"/>
  <tableColumns count="43">
    <tableColumn id="29" xr3:uid="{44EF972B-97D0-43CD-BDAD-B8A1E4480136}" name="ItemID" dataDxfId="133"/>
    <tableColumn id="31" xr3:uid="{AD3CBF61-36D5-4BFC-A771-3B9E8ED9A2C4}" name="CBOC_Name_text" dataDxfId="132"/>
    <tableColumn id="32" xr3:uid="{9F4B1C5A-78BA-4BAB-9C69-1248EE1326B6}" name="Room_number" dataDxfId="131"/>
    <tableColumn id="33" xr3:uid="{7A6AED4D-B9C6-4252-8D6A-EFE103A38E78}" name="Room_Name_text" dataDxfId="130"/>
    <tableColumn id="34" xr3:uid="{BCDF4414-4916-46C1-BCEA-DFBC4912AAD3}" name="Room_Alias_number" dataDxfId="129"/>
    <tableColumn id="35" xr3:uid="{B642B2B6-8F15-4AA5-A179-AF775518E3C1}" name="Room_Extension_number" dataDxfId="128"/>
    <tableColumn id="36" xr3:uid="{E3ACC583-0081-4B3C-8A05-B3EF0B69929F}" name="Room_IPaddress_text" dataDxfId="127"/>
    <tableColumn id="57" xr3:uid="{C9B56A8F-63F6-4184-8CDA-5F5D7FFEAAD2}" name="Modified_Type" dataDxfId="126"/>
    <tableColumn id="48" xr3:uid="{6CA33B58-E6A9-4109-BFB9-1D306DD57137}" name="Modified_Status_DateTime" dataDxfId="125"/>
    <tableColumn id="49" xr3:uid="{C92446CC-B1C7-4DC4-9129-A09275B8CCE9}" name="Modified_Status_Text" dataDxfId="124"/>
    <tableColumn id="54" xr3:uid="{D71DC186-845A-4F47-9019-40D8AC055EBA}" name="Modified_Submitted_DateTime" dataDxfId="123"/>
    <tableColumn id="52" xr3:uid="{7249F8BD-45FA-4E54-A125-98135F51D033}" name="Modified_SubmitterEmail_text" dataDxfId="122"/>
    <tableColumn id="47" xr3:uid="{F800A9B4-7F97-4DC3-B6BC-D03B49BDCC97}" name="Modified_SubmitterComment_text" dataDxfId="121"/>
    <tableColumn id="55" xr3:uid="{8FD48AA3-2093-40E2-8461-C42F9C1809BB}" name="Modified_Approval_DateTime" dataDxfId="120"/>
    <tableColumn id="53" xr3:uid="{564BA665-2E8F-4BC6-AFC1-1D40825F0D8B}" name="Modified_ApproverEmail_text" dataDxfId="119"/>
    <tableColumn id="56" xr3:uid="{B81EB988-0A89-40DE-8354-BB96D2B903DA}" name="Modified_Approval_Comments" dataDxfId="118"/>
    <tableColumn id="51" xr3:uid="{EE3A1133-4655-4745-8633-65B558254D47}" name="Expiration_Start_DateTime" dataDxfId="117"/>
    <tableColumn id="50" xr3:uid="{B907BB33-B914-4372-A350-CDDDFC43C016}" name="Expiration_Stop_DateTime" dataDxfId="116"/>
    <tableColumn id="42" xr3:uid="{892406E4-DFA6-40DC-9DC1-511A46AE1370}" name="TimeSlot_Start_time" dataDxfId="115">
      <calculatedColumnFormula>TIME(LEFT(U2,2),RIGHT(U2,2),"00")</calculatedColumnFormula>
    </tableColumn>
    <tableColumn id="43" xr3:uid="{6506696E-3402-4443-B29F-3BD1ABD2480C}" name="TimeSlot_End_time" dataDxfId="114">
      <calculatedColumnFormula>S2+(TIME("00","30","00"))</calculatedColumnFormula>
    </tableColumn>
    <tableColumn id="30" xr3:uid="{35114E2C-305A-49A8-9C93-A74E0AE89D2C}" name="TimeSlot_Start_text" dataDxfId="113"/>
    <tableColumn id="45" xr3:uid="{77515E82-0412-4C51-8755-653B26402DED}" name="TimeSlot_Start_number" dataDxfId="112">
      <calculatedColumnFormula>Kankakee_table[[#This Row],[TimeSlot_Start_text]]</calculatedColumnFormula>
    </tableColumn>
    <tableColumn id="2" xr3:uid="{C043366F-7059-423B-BEB8-240366C8D3D5}" name="Day_Monday_text" dataDxfId="111"/>
    <tableColumn id="3" xr3:uid="{40B7928D-F1B5-4354-A458-4F0013286E6A}" name="Day_Tuesday_text" dataDxfId="110"/>
    <tableColumn id="4" xr3:uid="{5F9B1ED0-9FC1-452D-AC76-787835805E0F}" name="Day_Wednesday_text" dataDxfId="109"/>
    <tableColumn id="5" xr3:uid="{5224C986-1C93-4834-820B-4DAD407890B7}" name="Day_Thursday_text" dataDxfId="108"/>
    <tableColumn id="6" xr3:uid="{6659AB99-7562-4C1F-85FE-F3A2A4D7DF07}" name="Day_Friday_text" dataDxfId="107"/>
    <tableColumn id="7" xr3:uid="{4C544BD7-D429-40BB-8EC2-19A4E5ED6261}" name="TimeSlot_text" dataDxfId="106"/>
    <tableColumn id="14" xr3:uid="{03453900-B151-4363-94D7-429350787D06}" name="TCT_Name_text" dataDxfId="105"/>
    <tableColumn id="15" xr3:uid="{B711FDD0-72DC-43C1-87DF-76BF96DBB6C2}" name="TCT_Email_text" dataDxfId="104"/>
    <tableColumn id="16" xr3:uid="{EFFF1889-98FE-42E0-9BC6-3DC6A9A5A590}" name="TCT_Phone_number" dataDxfId="103"/>
    <tableColumn id="17" xr3:uid="{2F23F06C-218A-4EAF-B9E2-8AB3972D9BF9}" name="TCT_Cell_text" dataDxfId="102"/>
    <tableColumn id="18" xr3:uid="{EA5CE165-BA35-42E7-A6B8-1CA06BF05A03}" name="TCT_Cell_number" dataDxfId="101"/>
    <tableColumn id="19" xr3:uid="{BB69BD2C-F69B-4096-9C56-C7AC4E6A12B9}" name="CNM_Name_text" dataDxfId="100"/>
    <tableColumn id="20" xr3:uid="{1A686E50-F1FD-487C-8CBD-2C6F7429D6DE}" name="CNM_Email_text" dataDxfId="99"/>
    <tableColumn id="21" xr3:uid="{1240B598-02B6-4210-98AF-1693D7AEC6AE}" name="CNM_Phone_number" dataDxfId="98"/>
    <tableColumn id="22" xr3:uid="{3B71FEDE-7EE4-4579-B15F-6FA117838910}" name="CNM_Cell_text" dataDxfId="97"/>
    <tableColumn id="23" xr3:uid="{B6093FA8-7827-4B80-8FCC-619CE66464E2}" name="CNM_Cell_number" dataDxfId="96"/>
    <tableColumn id="24" xr3:uid="{7689AD31-C12B-4089-A9D7-F95C8EFC533A}" name="FTC_Name_text" dataDxfId="95"/>
    <tableColumn id="25" xr3:uid="{28EF7189-2BE4-44D1-967E-F8C80A88282E}" name="FTC_Email_text" dataDxfId="94"/>
    <tableColumn id="26" xr3:uid="{E1598400-1C17-4B97-B123-F926812124CF}" name="FTC_Phone_number" dataDxfId="93"/>
    <tableColumn id="27" xr3:uid="{7372ED89-0820-41EC-949A-9BFC87C5768E}" name="FTC_Cell_text2" dataDxfId="92"/>
    <tableColumn id="28" xr3:uid="{F4DC5D85-B664-4529-A048-D3FC95575316}" name="FTC_Cell_number" dataDxfId="9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4ED3C9BF-0F60-431E-904B-35570649B374}" name="Lasalle_table" displayName="Lasalle_table" ref="A1:AQ65" totalsRowShown="0" headerRowDxfId="44" dataDxfId="43">
  <autoFilter ref="A1:AQ65" xr:uid="{8FAB8214-9305-4D68-B4C3-0C877B0E8980}"/>
  <tableColumns count="43">
    <tableColumn id="29" xr3:uid="{AA3E5982-5C18-4D57-AF3A-A24812170A1D}" name="ItemID" dataDxfId="42"/>
    <tableColumn id="31" xr3:uid="{43D4887C-1CE6-4A9C-97D9-40D0DE3D6696}" name="CBOC_Name_text" dataDxfId="41"/>
    <tableColumn id="32" xr3:uid="{F2E5D5A0-6FF2-4CF5-B18A-BF887E658028}" name="Room_number" dataDxfId="40"/>
    <tableColumn id="33" xr3:uid="{933FA963-A76E-4418-96C8-C9B46E5838E1}" name="Room_Name_text" dataDxfId="39"/>
    <tableColumn id="34" xr3:uid="{7B268261-65BE-4D1D-A37B-D76DEA9AE3DD}" name="Room_Alias_number" dataDxfId="38"/>
    <tableColumn id="35" xr3:uid="{2325E08F-2FCA-41D7-837F-572C79FF2A7A}" name="Room_Extension_number" dataDxfId="37"/>
    <tableColumn id="36" xr3:uid="{70F821A3-60DA-4BA7-8A33-3D8ABFFE896B}" name="Room_IPaddress_text" dataDxfId="36"/>
    <tableColumn id="57" xr3:uid="{BB8AACC7-ADDB-4FAD-A494-944CA217EF0B}" name="Modified_Type" dataDxfId="35"/>
    <tableColumn id="48" xr3:uid="{AADCFBEF-B6D4-4C5A-89F6-4C4047C0D41B}" name="Modified_Status_DateTime" dataDxfId="34"/>
    <tableColumn id="49" xr3:uid="{62F75065-0C70-48D1-84FD-92D64EF84FF0}" name="Modified_Status_Text" dataDxfId="33"/>
    <tableColumn id="54" xr3:uid="{A578A855-555F-4624-9436-6AA667D7C742}" name="Modified_Submitted_DateTime" dataDxfId="32"/>
    <tableColumn id="52" xr3:uid="{D6D74BE8-F032-4A9A-B287-AE5D62453CEF}" name="Modified_SubmitterEmail_text" dataDxfId="31"/>
    <tableColumn id="47" xr3:uid="{7F3F6356-7B8F-4992-AC9D-47C73F94AF41}" name="Modified_SubmitterComment_text" dataDxfId="30"/>
    <tableColumn id="55" xr3:uid="{C7F6DA44-C453-4D8F-AE19-EE270C435E57}" name="Modified_Approval_DateTime" dataDxfId="29"/>
    <tableColumn id="53" xr3:uid="{7B6EE633-C5FF-4128-A9C5-3F4D751F549D}" name="Modified_ApproverEmail_text" dataDxfId="28"/>
    <tableColumn id="56" xr3:uid="{DD3411A5-AC18-4C70-B60A-7D0C6FC72C40}" name="Modified_Approval_Comments" dataDxfId="27"/>
    <tableColumn id="51" xr3:uid="{94A7845E-DF4F-47C6-8FA7-CD5AE7F06810}" name="Expiration_Start_DateTime" dataDxfId="26"/>
    <tableColumn id="50" xr3:uid="{249DF2EF-1AB1-49C3-B680-D019B7B07968}" name="Expiration_Stop_DateTime" dataDxfId="25"/>
    <tableColumn id="42" xr3:uid="{906FEBCE-F5CE-42E7-BF35-8B145B5A33B0}" name="TimeSlot_Start_time" dataDxfId="24">
      <calculatedColumnFormula>TIME(LEFT(U2,2),RIGHT(U2,2),"00")</calculatedColumnFormula>
    </tableColumn>
    <tableColumn id="43" xr3:uid="{945B2CCF-E613-469B-A401-BBA4EDF09A29}" name="TimeSlot_End_time" dataDxfId="23">
      <calculatedColumnFormula>S2+(TIME("00","30","00"))</calculatedColumnFormula>
    </tableColumn>
    <tableColumn id="30" xr3:uid="{7E866320-235C-4DE9-ABFC-FA54682159D3}" name="TimeSlot_Start_text" dataDxfId="22"/>
    <tableColumn id="45" xr3:uid="{BFF985FA-47A0-40BE-90DD-4FE6889D8BA2}" name="TimeSlot_Start_number" dataDxfId="21">
      <calculatedColumnFormula>Lasalle_table[[#This Row],[TimeSlot_Start_text]]</calculatedColumnFormula>
    </tableColumn>
    <tableColumn id="2" xr3:uid="{C0E9622E-7DE2-4E8C-BB56-D87EB75E0EEB}" name="Day_Monday_text" dataDxfId="20"/>
    <tableColumn id="3" xr3:uid="{F318DE14-C02C-4A51-B68F-8CE5F522C3B7}" name="Day_Tuesday_text" dataDxfId="19"/>
    <tableColumn id="4" xr3:uid="{82C5A209-CC99-43F0-9101-197C8B7BA1CD}" name="Day_Wednesday_text" dataDxfId="18"/>
    <tableColumn id="5" xr3:uid="{9E49E749-78D2-4FFD-987C-45B26702EC2D}" name="Day_Thursday_text" dataDxfId="17"/>
    <tableColumn id="6" xr3:uid="{EEDE008A-A0E1-4AFD-9FB3-99E2C314F2DF}" name="Day_Friday_text" dataDxfId="16"/>
    <tableColumn id="7" xr3:uid="{7B3469B9-22D4-47D1-9A82-592992621E41}" name="TimeSlot_text" dataDxfId="15"/>
    <tableColumn id="14" xr3:uid="{827710AA-4BCF-4459-A963-F538932B90DE}" name="TCT_Name_text" dataDxfId="14"/>
    <tableColumn id="15" xr3:uid="{4673A21D-8DCC-448E-B85A-25C4619EC266}" name="TCT_Email_text" dataDxfId="13"/>
    <tableColumn id="16" xr3:uid="{83BA6313-9C69-4BB5-BBB7-80610B810F5B}" name="TCT_Phone_number" dataDxfId="12"/>
    <tableColumn id="17" xr3:uid="{CC1391AA-D1DC-45A5-AA04-32D8381BB7A5}" name="TCT_Cell_text" dataDxfId="11"/>
    <tableColumn id="18" xr3:uid="{FB5573D7-F336-4CBA-94A8-A38AF29E7CC8}" name="TCT_Cell_number" dataDxfId="10"/>
    <tableColumn id="19" xr3:uid="{0EA44566-A427-4168-969D-30021E2E4C51}" name="CNM_Name_text" dataDxfId="9"/>
    <tableColumn id="20" xr3:uid="{7D7DD9AD-46B8-49D6-83C4-B9026125AB5C}" name="CNM_Email_text" dataDxfId="8"/>
    <tableColumn id="21" xr3:uid="{2AC8BE35-CEC2-4C1C-90DB-028F33F96926}" name="CNM_Phone_number" dataDxfId="7"/>
    <tableColumn id="22" xr3:uid="{A5AB16BE-8235-4C1E-B9DF-EFA77DDCCEBA}" name="CNM_Cell_text" dataDxfId="6"/>
    <tableColumn id="23" xr3:uid="{65D60B6B-9EAD-42B9-9E90-4CA36AB0784A}" name="CNM_Cell_number" dataDxfId="5"/>
    <tableColumn id="24" xr3:uid="{B1B04560-E1E3-4E80-B172-D0FEB774CF65}" name="FTC_Name_text" dataDxfId="4"/>
    <tableColumn id="25" xr3:uid="{68CEE1FF-3B0B-4768-9385-D81C3AF9D696}" name="FTC_Email_text" dataDxfId="3"/>
    <tableColumn id="26" xr3:uid="{C9ADD4C6-053A-4FE6-AF71-044E90A0810C}" name="FTC_Phone_number" dataDxfId="2"/>
    <tableColumn id="27" xr3:uid="{BB241F3B-A2A9-4A17-9617-26113F3FA500}" name="FTC_Cell_text2" dataDxfId="1"/>
    <tableColumn id="28" xr3:uid="{BF0936BC-8F27-4A38-B839-0C01990DE128}" name="FTC_Cell_number" dataDxfId="0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50C0514-4F4B-4614-B9A9-B823473F91BB}" name="Oaklawn_table" displayName="Oaklawn_table" ref="A1:AQ65" totalsRowShown="0" headerRowDxfId="269" dataDxfId="268">
  <autoFilter ref="A1:AQ65" xr:uid="{8FAB8214-9305-4D68-B4C3-0C877B0E8980}"/>
  <tableColumns count="43">
    <tableColumn id="29" xr3:uid="{B0FB0F5B-F224-48C6-BAB3-E1398754EF0F}" name="ItemID" dataDxfId="267"/>
    <tableColumn id="31" xr3:uid="{9E654B73-10F2-4425-B508-C4F39C4842BD}" name="CBOC_Name_text" dataDxfId="266"/>
    <tableColumn id="32" xr3:uid="{00FB1860-4D6E-4765-84AE-6BF1DB665A9F}" name="Room_number" dataDxfId="265"/>
    <tableColumn id="33" xr3:uid="{0BDE788F-7F7D-4829-A479-C155751A679D}" name="Room_Name_text" dataDxfId="264"/>
    <tableColumn id="34" xr3:uid="{BD919CB9-0E7C-49E5-835D-1AF44D453D3D}" name="Room_Alias_number" dataDxfId="263"/>
    <tableColumn id="35" xr3:uid="{D2831D11-B2F6-462F-9DB9-343860B04889}" name="Room_Extension_number" dataDxfId="262"/>
    <tableColumn id="36" xr3:uid="{E42CFB67-889A-4359-AD79-63E2AEA37249}" name="Room_IPaddress_text" dataDxfId="261"/>
    <tableColumn id="57" xr3:uid="{711FA2C9-A235-43E1-8961-0571A810C3E5}" name="Modified_Type" dataDxfId="260"/>
    <tableColumn id="48" xr3:uid="{08AC79CC-3BB4-4D94-B3ED-57EED652E344}" name="Modified_Status_DateTime" dataDxfId="259"/>
    <tableColumn id="49" xr3:uid="{931EF3E4-7EE1-4221-B49F-A6E6587DE3B1}" name="Modified_Status_Text" dataDxfId="258"/>
    <tableColumn id="54" xr3:uid="{C39280DB-568B-4230-80A9-671C4BD0CB81}" name="Modified_Submitted_DateTime" dataDxfId="257"/>
    <tableColumn id="52" xr3:uid="{8F6927A8-FAAB-4FB7-AFB5-C44A8D3228BD}" name="Modified_SubmitterEmail_text" dataDxfId="256"/>
    <tableColumn id="47" xr3:uid="{2F3DF036-BA09-4F1C-BD60-9D6E836AACA5}" name="Modified_SubmitterComment_text" dataDxfId="255"/>
    <tableColumn id="55" xr3:uid="{D07C238C-9CD6-4859-9B72-03DBAC2DE5FA}" name="Modified_Approval_DateTime" dataDxfId="254"/>
    <tableColumn id="53" xr3:uid="{101F7189-CAA2-48CA-AED9-F45F83EAAFE9}" name="Modified_ApproverEmail_text" dataDxfId="253"/>
    <tableColumn id="56" xr3:uid="{BE80B137-8F41-4615-BF38-EEA4AC0ACB45}" name="Modified_Approval_Comments" dataDxfId="252"/>
    <tableColumn id="51" xr3:uid="{F1D1F8F3-C4F5-4BE7-99DF-4FF81B3BDDB3}" name="Expiration_Start_DateTime" dataDxfId="251"/>
    <tableColumn id="50" xr3:uid="{A8220402-378A-4DF5-83C4-5D774B8D0006}" name="Expiration_Stop_DateTime" dataDxfId="250"/>
    <tableColumn id="42" xr3:uid="{929A2188-F590-424A-A8F5-2ED38225BF85}" name="TimeSlot_Start_time" dataDxfId="249">
      <calculatedColumnFormula>TIME(LEFT(U2,2),RIGHT(U2,2),"00")</calculatedColumnFormula>
    </tableColumn>
    <tableColumn id="43" xr3:uid="{CFAF9632-2A30-42AD-AB49-7A236EF9C3C7}" name="TimeSlot_End_time" dataDxfId="248">
      <calculatedColumnFormula>S2+(TIME("00","30","00"))</calculatedColumnFormula>
    </tableColumn>
    <tableColumn id="30" xr3:uid="{53237A74-F24C-4054-8141-B1787D569062}" name="TimeSlot_Start_text" dataDxfId="247"/>
    <tableColumn id="45" xr3:uid="{ED89FFDD-1676-431B-87CC-5708F1C5BAB9}" name="TimeSlot_Start_number" dataDxfId="246">
      <calculatedColumnFormula>Oaklawn_table[[#This Row],[TimeSlot_Start_text]]</calculatedColumnFormula>
    </tableColumn>
    <tableColumn id="2" xr3:uid="{A976F416-4412-4EC8-AA29-12ABE3EDE201}" name="Day_Monday_text" dataDxfId="245"/>
    <tableColumn id="3" xr3:uid="{DFF6397B-44D1-4D90-9AE9-2A0E9B91E998}" name="Day_Tuesday_text" dataDxfId="244"/>
    <tableColumn id="4" xr3:uid="{CBDFF5CC-C610-40B9-98AC-CFC4FAE085A0}" name="Day_Wednesday_text" dataDxfId="243"/>
    <tableColumn id="5" xr3:uid="{A1C6122D-66C5-4F8E-9DB6-1571889E7785}" name="Day_Thursday_text" dataDxfId="242"/>
    <tableColumn id="6" xr3:uid="{CE651535-A967-43D4-B942-0B0D52CA6860}" name="Day_Friday_text" dataDxfId="241"/>
    <tableColumn id="7" xr3:uid="{1A06C5EC-83DE-44FF-B66E-853D7F23652A}" name="TimeSlot_text" dataDxfId="240"/>
    <tableColumn id="14" xr3:uid="{AF204749-4531-4182-9396-EB5D26164324}" name="TCT_Name_text" dataDxfId="239"/>
    <tableColumn id="15" xr3:uid="{C14353F5-CDE2-4AB4-94C8-77F1671CC5B0}" name="TCT_Email_text" dataDxfId="238"/>
    <tableColumn id="16" xr3:uid="{6F3C3012-6428-43A0-B6F1-F03D6C9E9119}" name="TCT_Phone_number" dataDxfId="237"/>
    <tableColumn id="17" xr3:uid="{438377C8-88B5-48A5-AB27-731DEB2ED813}" name="TCT_Cell_text" dataDxfId="236"/>
    <tableColumn id="18" xr3:uid="{05C0D596-CA61-4FAE-B769-545F98BB74DA}" name="TCT_Cell_number" dataDxfId="235"/>
    <tableColumn id="19" xr3:uid="{AFBA1941-DE32-4A3F-A291-5571F091AA5F}" name="CNM_Name_text" dataDxfId="234"/>
    <tableColumn id="20" xr3:uid="{3F1E31A7-0706-4A63-9674-57A2DA1171CF}" name="CNM_Email_text" dataDxfId="233"/>
    <tableColumn id="21" xr3:uid="{153368AA-EC23-4DAC-92A0-FA3C2B8A4D91}" name="CNM_Phone_number" dataDxfId="232"/>
    <tableColumn id="22" xr3:uid="{C30CE877-A1E2-400E-ADBB-A0C23E8A2373}" name="CNM_Cell_text" dataDxfId="231"/>
    <tableColumn id="23" xr3:uid="{F0E978A6-B59D-4642-B41C-601D46AB4E2D}" name="CNM_Cell_number" dataDxfId="230"/>
    <tableColumn id="24" xr3:uid="{6C8603C9-6E59-43E8-BA2B-0ADE77044852}" name="FTC_Name_text" dataDxfId="229"/>
    <tableColumn id="25" xr3:uid="{12D173F8-634C-416C-BFFD-430F8403751E}" name="FTC_Email_text" dataDxfId="228"/>
    <tableColumn id="26" xr3:uid="{F24115FD-6FEB-4F85-913C-1F347C72EDEF}" name="FTC_Phone_number" dataDxfId="227"/>
    <tableColumn id="27" xr3:uid="{F0ECED08-0CB4-40A1-9DBC-DA5E50245DC5}" name="FTC_Cell_text2" dataDxfId="226"/>
    <tableColumn id="28" xr3:uid="{CDC4EA60-76DD-4173-884A-4256A2A3A6B6}" name="FTC_Cell_number" dataDxfId="225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D2A44D-B5EE-4382-90B6-65DFDD20F788}" name="OakLawn102" displayName="OakLawn102" ref="A1:AB17" totalsRowShown="0" headerRowDxfId="1001" dataDxfId="1000">
  <autoFilter ref="A1:AB17" xr:uid="{81D2A44D-B5EE-4382-90B6-65DFDD20F788}"/>
  <tableColumns count="28">
    <tableColumn id="1" xr3:uid="{6F68ACA8-92F1-459B-BF0D-4869379E6E1D}" name="TimeSlot_text" dataDxfId="999"/>
    <tableColumn id="2" xr3:uid="{7B35524A-4092-4A42-846A-8923A461F19C}" name="Day_Monday_text" dataDxfId="998"/>
    <tableColumn id="3" xr3:uid="{B608B1AA-60AB-4AB5-BBF7-C6848826A14A}" name="Day_Tuesday_text" dataDxfId="997"/>
    <tableColumn id="4" xr3:uid="{8A237A49-3EAD-478B-B15E-E153C572E32F}" name="Day_Wednesday_text" dataDxfId="996"/>
    <tableColumn id="5" xr3:uid="{981636FB-7BBE-4DFB-83F0-7F9D57AB2CC6}" name="Day_Thursday_text" dataDxfId="995"/>
    <tableColumn id="6" xr3:uid="{67273F24-D9B4-48F9-80AC-6066A9023681}" name="Day_Friday_text" dataDxfId="994"/>
    <tableColumn id="25" xr3:uid="{3DC44C2A-6D8C-4DB6-8DC7-689369291939}" name="TimeSlot_Start_text" dataDxfId="993"/>
    <tableColumn id="7" xr3:uid="{562D4E19-3C1A-48D7-B903-93428C80CC38}" name="CBOC_Name_text" dataDxfId="992"/>
    <tableColumn id="8" xr3:uid="{27056434-9B05-4289-8A39-10A2F574C58F}" name="Room_Name_text" dataDxfId="991"/>
    <tableColumn id="29" xr3:uid="{8DA3BA0A-579C-4C75-9D3F-389BDC682FB7}" name="Room_number" dataDxfId="990"/>
    <tableColumn id="9" xr3:uid="{09308DBD-AD8A-48F9-A2C7-B0845AFE81A8}" name="Room_Alias_text" dataDxfId="989"/>
    <tableColumn id="10" xr3:uid="{984535E3-0797-4262-9593-7D66FB776BBD}" name="Room_Extension_text" dataDxfId="988"/>
    <tableColumn id="11" xr3:uid="{B9105B8D-B58B-4FC7-9843-4447787C9B03}" name="Room_IPaddress_text" dataDxfId="987"/>
    <tableColumn id="12" xr3:uid="{6ADA8416-7BA5-4362-B6EB-10D8149E6D0F}" name="TCT_Name_text" dataDxfId="986"/>
    <tableColumn id="13" xr3:uid="{36994FFC-A670-47DB-B271-6AB9CB1866B1}" name="TCT_Email_text" dataDxfId="985"/>
    <tableColumn id="14" xr3:uid="{05ED2B75-70F0-4167-AD66-680669F8401C}" name="TCT_Phone_text" dataDxfId="984"/>
    <tableColumn id="15" xr3:uid="{E6397131-48BD-4B21-9372-7E9CA43F9291}" name="TCT_Cell_text" dataDxfId="983"/>
    <tableColumn id="27" xr3:uid="{ACAA7648-3A82-41CC-9EB1-4467EE29A7F1}" name="TCT_Cell_number" dataDxfId="982"/>
    <tableColumn id="16" xr3:uid="{70E3D623-50D7-4927-B316-54A240CB96F8}" name="CNM_Name_text" dataDxfId="981"/>
    <tableColumn id="17" xr3:uid="{93690B93-0314-4AD0-910B-3B2CA525FAF4}" name="CNM_Email_text" dataDxfId="980"/>
    <tableColumn id="18" xr3:uid="{817C52B6-49FF-4E09-9EA5-6F346EB1D25A}" name="CNM_Phone_text" dataDxfId="979"/>
    <tableColumn id="19" xr3:uid="{13A4E3C2-B48B-4865-8B57-2C5D98D1118B}" name="CNM_Cell_text" dataDxfId="978"/>
    <tableColumn id="28" xr3:uid="{52E2206A-15FC-4810-A4EF-48FA84FE3B4A}" name="CNM_Cell_number" dataDxfId="977"/>
    <tableColumn id="20" xr3:uid="{595FCE25-91B4-4C4C-AF5A-0B5732BE7F0A}" name="FTC_Name_text" dataDxfId="976"/>
    <tableColumn id="21" xr3:uid="{86C19C7B-4A24-4AC2-AEA5-785473699D2B}" name="FTC_Email_text" dataDxfId="975"/>
    <tableColumn id="23" xr3:uid="{0E439539-DFFD-45D7-A050-26759B39CA1C}" name="FTC_Phone_text" dataDxfId="974"/>
    <tableColumn id="26" xr3:uid="{E3FDFACD-F665-4967-8B70-DFC000E9571C}" name="FTC_Cell_text2" dataDxfId="973"/>
    <tableColumn id="24" xr3:uid="{D1C4CCA7-9E78-418A-9C5B-4E9EBF71A185}" name="FTC_Cell_number" dataDxfId="972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D548B1-9B8B-4756-9986-D97AC866C4BA}" name="OakLawn103" displayName="OakLawn103" ref="A1:AB17" totalsRowShown="0" headerRowDxfId="971" dataDxfId="970">
  <autoFilter ref="A1:AB17" xr:uid="{81D2A44D-B5EE-4382-90B6-65DFDD20F788}"/>
  <tableColumns count="28">
    <tableColumn id="1" xr3:uid="{D2C76E76-B6A3-4ABA-9D30-C022388B1B1B}" name="TimeSlot_text" dataDxfId="969"/>
    <tableColumn id="2" xr3:uid="{C0EAACFE-37BE-4DB0-88AA-9A61D5A48398}" name="Day_Monday_text" dataDxfId="968"/>
    <tableColumn id="3" xr3:uid="{A00E5AAF-1DFD-42A2-9A13-AAEC7AE8A357}" name="Day_Tuesday_text" dataDxfId="967"/>
    <tableColumn id="4" xr3:uid="{57D6B93B-C277-4611-AAD5-434069566733}" name="Day_Wednesday_text" dataDxfId="966"/>
    <tableColumn id="5" xr3:uid="{5B9A9EB1-14BE-4DC6-A705-77A2C380F389}" name="Day_Thursday_text" dataDxfId="965"/>
    <tableColumn id="6" xr3:uid="{E6AF2820-42EB-4A04-8318-34FEBA65BFF0}" name="Day_Friday_text" dataDxfId="964"/>
    <tableColumn id="25" xr3:uid="{FBBE3E8B-8E31-470E-9CBE-E862903A5308}" name="TimeSlot_Start_text" dataDxfId="963"/>
    <tableColumn id="7" xr3:uid="{0E250E1C-8B4C-4220-9D7F-32B86D8100F3}" name="CBOC_Name_text" dataDxfId="962"/>
    <tableColumn id="8" xr3:uid="{EA487405-78BF-4B9C-94B1-8EA96B470319}" name="Room_Name_text" dataDxfId="961"/>
    <tableColumn id="29" xr3:uid="{0547A4F7-F673-4CAC-8C6E-3E36F9F58559}" name="Room_number" dataDxfId="960"/>
    <tableColumn id="9" xr3:uid="{877B8919-7635-4809-811D-FE48BB34026B}" name="Room_Alias_text" dataDxfId="959"/>
    <tableColumn id="10" xr3:uid="{0A6F3A3B-79DD-4280-AB34-FA111F3B259D}" name="Room_Extension_text" dataDxfId="958"/>
    <tableColumn id="11" xr3:uid="{9EEA0215-6C7D-4620-A818-29A30A1662DC}" name="Room_IPaddress_text" dataDxfId="957"/>
    <tableColumn id="12" xr3:uid="{E842DE6E-38D7-4FD6-A3C4-27726C71FD63}" name="TCT_Name_text" dataDxfId="956"/>
    <tableColumn id="13" xr3:uid="{A15C3DDB-52AE-4DD5-88AC-4B1C1F919973}" name="TCT_Email_text" dataDxfId="955"/>
    <tableColumn id="14" xr3:uid="{F932088A-074D-4753-9214-A3F7895E0550}" name="TCT_Phone_text" dataDxfId="954"/>
    <tableColumn id="15" xr3:uid="{16E886F3-C712-4DB6-AF62-F7985AF025E6}" name="TCT_Cell_text" dataDxfId="953"/>
    <tableColumn id="26" xr3:uid="{10E253CD-5390-4127-9AB2-D49161714A19}" name="TCT_Cell_number" dataDxfId="952"/>
    <tableColumn id="16" xr3:uid="{6DC5C60D-AC69-4914-BCD9-31F496384D5D}" name="CNM_Name_text" dataDxfId="951"/>
    <tableColumn id="17" xr3:uid="{4465538F-54CD-49EF-BAF8-39CDB9B16D97}" name="CNM_Email_text" dataDxfId="950"/>
    <tableColumn id="18" xr3:uid="{2D5F09F2-27F3-4968-AC76-BF97F839E2D8}" name="CNM_Phone_text" dataDxfId="949"/>
    <tableColumn id="19" xr3:uid="{50A716D3-7E0B-43CF-A5E4-631556988C60}" name="CNM_Cell_text" dataDxfId="948"/>
    <tableColumn id="27" xr3:uid="{9A9A5DCF-1B6B-40AC-9025-1B2FDC1B38EA}" name="CNM_Cell_number" dataDxfId="947"/>
    <tableColumn id="20" xr3:uid="{E229520D-5B44-428B-9D93-6B289C321BA6}" name="FTC_Name_text" dataDxfId="946"/>
    <tableColumn id="21" xr3:uid="{7519EE84-A8B5-4A85-84A1-A426081551BA}" name="FTC_Email_text" dataDxfId="945"/>
    <tableColumn id="23" xr3:uid="{7D8835A2-FF94-4C93-9755-43F2AC0CDDCA}" name="FTC_Phone_text" dataDxfId="944"/>
    <tableColumn id="28" xr3:uid="{6F756748-0877-49C7-95BB-C3C644FCB461}" name="FTC_Cell_text2" dataDxfId="943"/>
    <tableColumn id="24" xr3:uid="{9A42557B-150D-4F0A-80B8-6E3829197F06}" name="FTC_Cell_text22" dataDxfId="942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D60233-8404-439D-85AB-006890BE6F6F}" name="OakLawn104" displayName="OakLawn104" ref="A1:AB17" totalsRowShown="0" headerRowDxfId="941" dataDxfId="940">
  <autoFilter ref="A1:AB17" xr:uid="{81D2A44D-B5EE-4382-90B6-65DFDD20F788}"/>
  <tableColumns count="28">
    <tableColumn id="1" xr3:uid="{21E48097-887E-496A-947D-9A5C34EF1F29}" name="TimeSlot_text" dataDxfId="939"/>
    <tableColumn id="2" xr3:uid="{565E2FD2-E73F-46C5-93C3-5969548A4770}" name="Day_Monday_text" dataDxfId="938"/>
    <tableColumn id="3" xr3:uid="{9D77FF06-635C-4284-B70E-9D072C0E86AE}" name="Day_Tuesday_text" dataDxfId="937"/>
    <tableColumn id="4" xr3:uid="{112E0B65-0D1F-4A83-8956-22CB1F30561D}" name="Day_Wednesday_text" dataDxfId="936"/>
    <tableColumn id="5" xr3:uid="{7FB3C99A-25B0-4505-8EEA-CF2C59A77D99}" name="Day_Thursday_text" dataDxfId="935"/>
    <tableColumn id="6" xr3:uid="{73F2E953-8491-4593-8EC6-2BF2B577B4E6}" name="Day_Friday_text" dataDxfId="934"/>
    <tableColumn id="25" xr3:uid="{28651C85-56CC-4A46-BA77-99964258FB6E}" name="TimeSlot_Start_text" dataDxfId="933"/>
    <tableColumn id="7" xr3:uid="{D0FF68BA-B866-403D-8B1C-FE2239228CB0}" name="CBOC_Name_text" dataDxfId="932"/>
    <tableColumn id="8" xr3:uid="{A6502338-9347-4AD9-8F70-CF5D20D7D00E}" name="Room_Name_text" dataDxfId="931"/>
    <tableColumn id="30" xr3:uid="{18F9776F-3F6B-4CC4-832B-207887EA8B53}" name="Room_number" dataDxfId="930"/>
    <tableColumn id="9" xr3:uid="{87DC28D0-B2A1-4AA7-8F5F-DADFD369CAA2}" name="Room_Alias_text" dataDxfId="929"/>
    <tableColumn id="10" xr3:uid="{C56F66EF-BE0A-445A-9821-DCF58658A4F1}" name="Room_Extension_text" dataDxfId="928"/>
    <tableColumn id="11" xr3:uid="{6A2DF458-9D30-4B39-9BCF-57D7F211636A}" name="Room_IPaddress_text" dataDxfId="927"/>
    <tableColumn id="12" xr3:uid="{599A62E7-AC7D-47FC-B9D7-3792DF372C2C}" name="TCT_Name_text" dataDxfId="926"/>
    <tableColumn id="13" xr3:uid="{77A8DB57-139D-4AF7-8A48-7C82CBA7C8B7}" name="TCT_Email_text" dataDxfId="925"/>
    <tableColumn id="14" xr3:uid="{9C8F7A02-4280-41EF-A73C-D6453FF3A99B}" name="TCT_Phone_text" dataDxfId="924"/>
    <tableColumn id="15" xr3:uid="{2DC2767E-34C8-4106-A1E4-03FA3077B305}" name="TCT_Cell_text" dataDxfId="923"/>
    <tableColumn id="27" xr3:uid="{E7A0DB71-CBC3-40E4-BDF5-F3D11FD3A30F}" name="TCT_Cell_number" dataDxfId="922"/>
    <tableColumn id="16" xr3:uid="{F79B809E-9AC5-4B05-BE3D-4103D1C8BDBC}" name="CNM_Name_text" dataDxfId="921"/>
    <tableColumn id="17" xr3:uid="{2FD46AD6-6B7B-45CE-96C5-3FA4E635879D}" name="CNM_Email_text" dataDxfId="920"/>
    <tableColumn id="18" xr3:uid="{6054464D-F56E-4604-AC03-F0FBA19BF30B}" name="CNM_Phone_text" dataDxfId="919"/>
    <tableColumn id="19" xr3:uid="{2AEE2DCC-2427-4B6A-8275-E7CDBE898F09}" name="CNM_Cell_text" dataDxfId="918"/>
    <tableColumn id="28" xr3:uid="{61A96514-4379-4C05-A11C-BF6DFCD66016}" name="CNM_Cell_number" dataDxfId="917"/>
    <tableColumn id="20" xr3:uid="{4F4EDF7D-AACE-4086-B02F-82734332B65E}" name="FTC_Name_text" dataDxfId="916"/>
    <tableColumn id="21" xr3:uid="{4CF62CD5-F3BB-42D8-9BEF-F1FB366F2CFC}" name="FTC_Email_text" dataDxfId="915"/>
    <tableColumn id="23" xr3:uid="{E8F1010F-9E56-4D3A-8E4E-8B8BCCA65B61}" name="FTC_Phone_text" dataDxfId="914"/>
    <tableColumn id="29" xr3:uid="{FEA2C542-1472-481C-BF06-B49A9FD843B3}" name="FTC_Cell_number" dataDxfId="913"/>
    <tableColumn id="24" xr3:uid="{84B0B14D-EFA5-4281-B6FC-0694C260B194}" name="FTC_Cell_text22" dataDxfId="912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1D2D95-E416-4B35-A0F0-75C7B0A405A2}" name="OakLawn105" displayName="OakLawn105" ref="A1:AB17" totalsRowShown="0" headerRowDxfId="911" dataDxfId="910">
  <autoFilter ref="A1:AB17" xr:uid="{81D2A44D-B5EE-4382-90B6-65DFDD20F788}"/>
  <tableColumns count="28">
    <tableColumn id="1" xr3:uid="{47BDBB24-F55E-470A-AC4C-79868DC90C78}" name="TimeSlot_text" dataDxfId="909"/>
    <tableColumn id="2" xr3:uid="{6D38890E-F7A3-4C50-B2A0-87959BE27135}" name="Day_Monday_text" dataDxfId="908"/>
    <tableColumn id="3" xr3:uid="{25EDB4E9-D06F-4DEB-BEDC-C466A0878A15}" name="Day_Tuesday_text" dataDxfId="907"/>
    <tableColumn id="4" xr3:uid="{B550B687-CF1E-46F1-A420-87985A6DF998}" name="Day_Wednesday_text" dataDxfId="906"/>
    <tableColumn id="5" xr3:uid="{8914C28D-BAF1-4537-A84A-9794CAF77A98}" name="Day_Thursday_text" dataDxfId="905"/>
    <tableColumn id="6" xr3:uid="{6843B9CE-7E54-48D2-A29F-94351C6C7AD8}" name="Day_Friday_text" dataDxfId="904"/>
    <tableColumn id="25" xr3:uid="{F834DF3E-A7D8-415E-83AA-35AE2C0D0A59}" name="TimeSlot_Start_text" dataDxfId="903"/>
    <tableColumn id="7" xr3:uid="{88AEA664-1E60-49DE-8622-4DBAFDABEBB2}" name="CBOC_Name_text" dataDxfId="902"/>
    <tableColumn id="8" xr3:uid="{59DFD153-984D-43EE-9680-03B0FDC0D13E}" name="Room_Name_text" dataDxfId="901"/>
    <tableColumn id="30" xr3:uid="{93ECE776-52E7-44B8-B531-09FF9071ECAE}" name="Room_number" dataDxfId="900"/>
    <tableColumn id="9" xr3:uid="{827084E9-0BE2-4587-A335-3F06B10AE3A1}" name="Room_Alias_text" dataDxfId="899"/>
    <tableColumn id="10" xr3:uid="{DC35357D-5D01-47A4-A5E1-1E56968CB107}" name="Room_Extension_text" dataDxfId="898"/>
    <tableColumn id="11" xr3:uid="{0B70F25E-F0C2-4E2A-9EDD-B067C2F48621}" name="Room_IPaddress_text" dataDxfId="897"/>
    <tableColumn id="12" xr3:uid="{1A13580E-549D-4B58-AF19-A34786094614}" name="TCT_Name_text" dataDxfId="896"/>
    <tableColumn id="13" xr3:uid="{D154E2F8-723C-4B2D-AB38-3930597660BB}" name="TCT_Email_text" dataDxfId="895"/>
    <tableColumn id="14" xr3:uid="{B1DEE142-335E-41B3-A75A-1103E7E44153}" name="TCT_Phone_text" dataDxfId="894"/>
    <tableColumn id="15" xr3:uid="{03D18C4D-E187-4546-8A10-8E058F7CB936}" name="TCT_Cell_text" dataDxfId="893"/>
    <tableColumn id="27" xr3:uid="{C08D0CE0-A6F8-4F64-A937-E5FB36DFF9FF}" name="TCT_Cell_number" dataDxfId="892"/>
    <tableColumn id="16" xr3:uid="{F3BA26AC-A4B2-411D-8E3F-E893F65DA10B}" name="CNM_Name_text" dataDxfId="891"/>
    <tableColumn id="17" xr3:uid="{7456B872-EA84-4B92-BF34-E781FCF77E4C}" name="CNM_Email_text" dataDxfId="890"/>
    <tableColumn id="18" xr3:uid="{B9FA1AAA-EE31-48AA-B197-777202E81D11}" name="CNM_Phone_text" dataDxfId="889"/>
    <tableColumn id="19" xr3:uid="{942F31F9-1EF6-4B91-80A9-871FD0C419F9}" name="CNM_Cell_text" dataDxfId="888"/>
    <tableColumn id="28" xr3:uid="{E1A1D4C0-BEB5-493A-9703-26423DD7D588}" name="CNM_Cell_number" dataDxfId="887"/>
    <tableColumn id="20" xr3:uid="{911A7EE9-A7A6-47B9-835F-E362627E7231}" name="FTC_Name_text" dataDxfId="886"/>
    <tableColumn id="21" xr3:uid="{F070FCC1-2D1E-4B51-B0F5-5335D465858E}" name="FTC_Email_text" dataDxfId="885"/>
    <tableColumn id="23" xr3:uid="{1DDE3CFF-2FCB-4B37-B0A8-8E46A310D77E}" name="FTC_Phone_text" dataDxfId="884"/>
    <tableColumn id="29" xr3:uid="{F1BC8FE0-33B5-488E-9F54-94A64F0F79A9}" name="FTC_Cell_number" dataDxfId="883"/>
    <tableColumn id="24" xr3:uid="{849CF931-1199-4D4F-B3ED-33B235D802CC}" name="FTC_Cell_text22" dataDxfId="882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DB0254-4B40-4EC1-87B8-71E08C9A937A}" name="Aurora120" displayName="Aurora120" ref="A1:AB17" totalsRowShown="0" headerRowDxfId="881" dataDxfId="880">
  <autoFilter ref="A1:AB17" xr:uid="{81D2A44D-B5EE-4382-90B6-65DFDD20F788}"/>
  <tableColumns count="28">
    <tableColumn id="1" xr3:uid="{0C2A996B-2E23-49D8-BF2F-057F01E8130C}" name="TimeSlot_text" dataDxfId="879"/>
    <tableColumn id="2" xr3:uid="{52302E1F-CBC5-423D-82EB-4AD23C8F19A6}" name="Day_Monday_text" dataDxfId="878"/>
    <tableColumn id="3" xr3:uid="{12328DE3-2F05-47DE-A360-1C04B6708345}" name="Day_Tuesday_text" dataDxfId="877"/>
    <tableColumn id="4" xr3:uid="{E1094F7F-1736-42C7-BFBA-DE59750F9048}" name="Day_Wednesday_text" dataDxfId="876"/>
    <tableColumn id="5" xr3:uid="{08DB9748-F26E-4BB5-9970-34F2862E719A}" name="Day_Thursday_text" dataDxfId="875"/>
    <tableColumn id="6" xr3:uid="{FF90B3AC-3783-4C16-B899-1927B6684083}" name="Day_Friday_text" dataDxfId="874"/>
    <tableColumn id="25" xr3:uid="{7DAC89DC-BBD9-4D25-B616-2DE5C4C09729}" name="TimeSlot_Start_text" dataDxfId="873"/>
    <tableColumn id="7" xr3:uid="{B32C99E1-D109-4BDA-8C98-875A0CEA357C}" name="CBOC_Name_text" dataDxfId="872"/>
    <tableColumn id="8" xr3:uid="{EA0D5A1D-403C-497D-9D4F-2FD82AAF24FB}" name="Room_Name_text" dataDxfId="871"/>
    <tableColumn id="30" xr3:uid="{13FB2C32-DE2D-4218-B09C-1D5EF9668F2E}" name="Room_number" dataDxfId="870"/>
    <tableColumn id="9" xr3:uid="{DEC12542-6E84-4C4D-BF84-F36666D56F5D}" name="Room_Alias_text" dataDxfId="869"/>
    <tableColumn id="10" xr3:uid="{444434E8-BA91-4984-AED8-459251789537}" name="Room_Extension_text" dataDxfId="868"/>
    <tableColumn id="11" xr3:uid="{C66D6CAC-4022-41E4-8D10-9CCE1AD8ECD3}" name="Room_IPaddress_text" dataDxfId="867"/>
    <tableColumn id="12" xr3:uid="{ACF18168-F826-4C46-96B0-D7AD298AE199}" name="TCT_Name_text" dataDxfId="866"/>
    <tableColumn id="13" xr3:uid="{DE019C4A-214A-45D5-A0EB-1CE00EE45F7E}" name="TCT_Email_text" dataDxfId="865"/>
    <tableColumn id="14" xr3:uid="{14D2C834-F8DD-41EA-8741-F3B5CB856E76}" name="TCT_Phone_text" dataDxfId="864"/>
    <tableColumn id="15" xr3:uid="{50F2E4AF-82D2-4234-A6E1-75007D0D7A0E}" name="TCT_Cell_text" dataDxfId="863"/>
    <tableColumn id="27" xr3:uid="{FD9A1E3B-AD71-4CDA-AC93-60F4E205B76E}" name="TCT_Cell_number" dataDxfId="862"/>
    <tableColumn id="16" xr3:uid="{1E658D5D-A8B4-425F-9560-736DA6C90CF3}" name="CNM_Name_text" dataDxfId="861"/>
    <tableColumn id="17" xr3:uid="{6FC8CDC9-10FC-4106-A652-54833A0969BF}" name="CNM_Email_text" dataDxfId="860"/>
    <tableColumn id="18" xr3:uid="{CF2C4A89-9D2D-4DF3-9F87-24C617429F21}" name="CNM_Phone_text" dataDxfId="859"/>
    <tableColumn id="19" xr3:uid="{BDCCAE6E-1413-420D-AFB4-E8B4CB6B7F6A}" name="CNM_Cell_text" dataDxfId="858"/>
    <tableColumn id="28" xr3:uid="{C465AD66-4896-4FDB-B890-04DEB51F60FC}" name="CNM_Cell_number" dataDxfId="857"/>
    <tableColumn id="20" xr3:uid="{D47B6536-5695-4176-8A09-D29691C68931}" name="FTC_Name_text" dataDxfId="856"/>
    <tableColumn id="21" xr3:uid="{3AE9F1BB-6ECE-45E3-ACC6-69365796BE0A}" name="FTC_Email_text" dataDxfId="855"/>
    <tableColumn id="23" xr3:uid="{F152301E-238B-4864-9568-9997E8AE76F3}" name="FTC_Phone_text" dataDxfId="854"/>
    <tableColumn id="29" xr3:uid="{B7461FA3-E394-4C61-87F7-DD04057EED92}" name="FTC_Cell_text" dataDxfId="853"/>
    <tableColumn id="24" xr3:uid="{B535A7BC-9CB9-44A9-B346-6F9DA278CA91}" name="FTC_Cell_number" dataDxfId="852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5A72C04-8BE6-4677-AFD6-F26777ABF9AF}" name="Aurora121" displayName="Aurora121" ref="A1:AB17" totalsRowShown="0" headerRowDxfId="851" dataDxfId="850">
  <autoFilter ref="A1:AB17" xr:uid="{81D2A44D-B5EE-4382-90B6-65DFDD20F788}"/>
  <tableColumns count="28">
    <tableColumn id="1" xr3:uid="{AA18E965-FBAF-4C1E-8439-227E4930235A}" name="TimeSlot_text" dataDxfId="849"/>
    <tableColumn id="2" xr3:uid="{DDE463B5-2CFB-4F23-A878-4A9CE52A37DF}" name="Day_Monday_text" dataDxfId="848"/>
    <tableColumn id="3" xr3:uid="{13ED52FB-A38D-46FF-999A-B8D62583DAAF}" name="Day_Tuesday_text" dataDxfId="847"/>
    <tableColumn id="4" xr3:uid="{445F5D19-CB7B-4EE5-92B4-ADF6B75F7573}" name="Day_Wednesday_text" dataDxfId="846"/>
    <tableColumn id="5" xr3:uid="{21F13E80-D95A-4235-9076-E13DBA911F6B}" name="Day_Thursday_text" dataDxfId="845"/>
    <tableColumn id="6" xr3:uid="{D7171916-4A6B-48B0-B4B0-A040076A0CB8}" name="Day_Friday_text" dataDxfId="844"/>
    <tableColumn id="25" xr3:uid="{D05E733D-23E4-4CDE-8FAA-A2E648B106A4}" name="TimeSlot_Start_text" dataDxfId="843"/>
    <tableColumn id="7" xr3:uid="{AB29FCA1-A278-4190-BDD0-624815C2E690}" name="CBOC_Name_text" dataDxfId="842"/>
    <tableColumn id="8" xr3:uid="{BFBD2D9E-4C10-463A-A277-3AE1E10A5FB3}" name="Room_Name_text" dataDxfId="841"/>
    <tableColumn id="30" xr3:uid="{D044566E-9057-4E7F-92CE-ECDE38E2C17A}" name="Room_number" dataDxfId="840"/>
    <tableColumn id="9" xr3:uid="{0557D3BB-7A6C-44A0-AB9E-6B044B70B377}" name="Room_Alias_text" dataDxfId="839"/>
    <tableColumn id="10" xr3:uid="{AE06EF9E-10AF-4356-9CF7-597C13698821}" name="Room_Extension_text" dataDxfId="838"/>
    <tableColumn id="11" xr3:uid="{9CDA35DA-61A1-42F6-88ED-AD309FA52A17}" name="Room_IPaddress_text" dataDxfId="837"/>
    <tableColumn id="12" xr3:uid="{32273FDA-B093-4E58-9600-CE3C3B70B61F}" name="TCT_Name_text" dataDxfId="836"/>
    <tableColumn id="13" xr3:uid="{9716DA0B-E777-45BD-B107-7A58ADD20224}" name="TCT_Email_text" dataDxfId="835"/>
    <tableColumn id="14" xr3:uid="{9A196E17-659B-499F-AA8D-6F5B075F9684}" name="TCT_Phone_text" dataDxfId="834"/>
    <tableColumn id="15" xr3:uid="{718D8389-0D2D-4890-8625-C1ECEA1B1B0B}" name="TCT_Cell_text" dataDxfId="833"/>
    <tableColumn id="27" xr3:uid="{470F452B-EAA5-4519-83BE-BCCC9B09BC94}" name="TCT_Cell_number" dataDxfId="832"/>
    <tableColumn id="16" xr3:uid="{41D54AB8-F55B-49C4-BD66-B0DACE457D20}" name="CNM_Name_text" dataDxfId="831"/>
    <tableColumn id="17" xr3:uid="{F83CF3CA-0579-4A6F-910C-CF17E2227CE2}" name="CNM_Email_text" dataDxfId="830"/>
    <tableColumn id="18" xr3:uid="{6EF82458-0BB2-4BF1-87C8-CD406773BE51}" name="CNM_Phone_text" dataDxfId="829"/>
    <tableColumn id="19" xr3:uid="{EF53A0DF-8996-4184-9CB1-1D07737EBE33}" name="CNM_Cell_text" dataDxfId="828"/>
    <tableColumn id="28" xr3:uid="{62012621-57F4-4C4E-9BB5-758C6DAA2E6D}" name="CNM_Cell_number" dataDxfId="827"/>
    <tableColumn id="20" xr3:uid="{538CA2FC-E028-4868-8032-B00DAB2B46F2}" name="FTC_Name_text" dataDxfId="826"/>
    <tableColumn id="21" xr3:uid="{3EB54273-E151-4ECC-9EE0-5078191D6C5F}" name="FTC_Email_text" dataDxfId="825"/>
    <tableColumn id="23" xr3:uid="{A8437881-E75C-451E-9DE1-20CA0992599D}" name="FTC_Phone_text" dataDxfId="824"/>
    <tableColumn id="29" xr3:uid="{F4E51C56-64EA-44FB-9BB5-15161E109385}" name="FTC_Cell_text" dataDxfId="823"/>
    <tableColumn id="24" xr3:uid="{60E2A6F9-32A0-47A8-A40F-2803F93DCAA6}" name="FTC_Cell_number" dataDxfId="822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D67BF6B-A63D-46AA-BEE7-600632DAD0CE}" name="Joliet1010" displayName="Joliet1010" ref="A1:AB17" totalsRowShown="0" headerRowDxfId="821" dataDxfId="820">
  <autoFilter ref="A1:AB17" xr:uid="{81D2A44D-B5EE-4382-90B6-65DFDD20F788}"/>
  <tableColumns count="28">
    <tableColumn id="1" xr3:uid="{04AD61C5-E34E-4F37-98E8-5B35863DBB77}" name="TimeSlot_text" dataDxfId="819"/>
    <tableColumn id="2" xr3:uid="{02868E4B-8449-4BC2-B606-590EA8A48E03}" name="Day_Monday_text" dataDxfId="818"/>
    <tableColumn id="3" xr3:uid="{B9C70F7A-7B95-4A57-AC67-D18C66A78128}" name="Day_Tuesday_text" dataDxfId="817"/>
    <tableColumn id="4" xr3:uid="{3FD0CDD1-B692-45CB-A6E1-EDB149187D87}" name="Day_Wednesday_text" dataDxfId="816"/>
    <tableColumn id="5" xr3:uid="{9DB80A69-065D-4EAB-B2E8-3E2F83A33948}" name="Day_Thursday_text" dataDxfId="815"/>
    <tableColumn id="6" xr3:uid="{7DBBEC41-148A-4F6B-8650-709BCE75E2AC}" name="Day_Friday_text" dataDxfId="814"/>
    <tableColumn id="25" xr3:uid="{719EE817-D8EE-4E19-B5D3-554DA6C143AD}" name="TimeSlot_Start_text" dataDxfId="813"/>
    <tableColumn id="7" xr3:uid="{2113F07E-B26C-4919-8770-3E7E0AD27715}" name="CBOC_Name_text" dataDxfId="812"/>
    <tableColumn id="8" xr3:uid="{4069422E-7724-4148-A971-93C2C9CDC506}" name="Room_Name_text" dataDxfId="811"/>
    <tableColumn id="30" xr3:uid="{CA4A853A-43AB-461B-BAE4-9A1C9F66E114}" name="Room_number" dataDxfId="810"/>
    <tableColumn id="9" xr3:uid="{A3F74945-1300-4B1B-A065-ADF56516284D}" name="Room_Alias_text" dataDxfId="809"/>
    <tableColumn id="10" xr3:uid="{423437ED-3B39-4DF9-B1C0-9894B738BD06}" name="Room_Extension_text" dataDxfId="808"/>
    <tableColumn id="11" xr3:uid="{CCD085AF-E40A-4F47-B5E8-5FD9D278C360}" name="Room_IPaddress_text" dataDxfId="807"/>
    <tableColumn id="12" xr3:uid="{0534BF16-3A90-4BCF-92F1-342BC202A8A0}" name="TCT_Name_text" dataDxfId="806"/>
    <tableColumn id="13" xr3:uid="{612984C0-ACC0-4271-9FE6-8DAF9AEE7A15}" name="TCT_Email_text" dataDxfId="805"/>
    <tableColumn id="14" xr3:uid="{BDAFE8C5-38B1-4B2E-9515-5C0E79FFBE49}" name="TCT_Phone_text" dataDxfId="804"/>
    <tableColumn id="15" xr3:uid="{F140EDA6-9252-4E25-9513-30B7EDC925F6}" name="TCT_Cell_text" dataDxfId="803"/>
    <tableColumn id="29" xr3:uid="{B506E6BD-5326-4BF7-A792-2760B3534958}" name="TCT_Cell_number" dataDxfId="802"/>
    <tableColumn id="16" xr3:uid="{F5E5EF9E-C5AE-4A74-A08E-420E1C2FA448}" name="CNM_Name_text" dataDxfId="801"/>
    <tableColumn id="17" xr3:uid="{FA82B653-031B-4E6D-8991-EB118A0F8127}" name="CNM_Email_text" dataDxfId="800"/>
    <tableColumn id="18" xr3:uid="{8D7CF770-0510-470C-9785-D58341384333}" name="CNM_Phone_text" dataDxfId="799"/>
    <tableColumn id="19" xr3:uid="{B7747244-5DE8-4CA2-8885-DF5756485119}" name="CNM_Cell_text" dataDxfId="798"/>
    <tableColumn id="28" xr3:uid="{6964020D-B501-43A4-9A35-FD3F85DB3DB5}" name="CNM_Cell_number" dataDxfId="797"/>
    <tableColumn id="20" xr3:uid="{140484BD-FBFB-417B-8344-67F4A6AD6EAC}" name="FTC_Name_text" dataDxfId="796"/>
    <tableColumn id="21" xr3:uid="{CB2EC81B-EBC2-4B0B-9C41-0F1398E539E7}" name="FTC_Email_text" dataDxfId="795"/>
    <tableColumn id="23" xr3:uid="{8F603D67-3E6F-4069-8AA8-B3C1185BCB1F}" name="FTC_Phone_text" dataDxfId="794"/>
    <tableColumn id="27" xr3:uid="{A9489BFE-493E-4A1F-83C6-C098EC65E3DA}" name="FTC_Cell_text" dataDxfId="793"/>
    <tableColumn id="24" xr3:uid="{4A04DB15-2D76-4E28-B347-441468380A7A}" name="FTC_Cell_number" dataDxfId="792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F7557A6-92C6-4410-9DC1-94D100B3158C}" name="Joliet1011" displayName="Joliet1011" ref="A1:AB17" totalsRowShown="0" headerRowDxfId="791" dataDxfId="790">
  <autoFilter ref="A1:AB17" xr:uid="{81D2A44D-B5EE-4382-90B6-65DFDD20F788}"/>
  <tableColumns count="28">
    <tableColumn id="1" xr3:uid="{B04BB01E-5F88-405D-B30C-3260049C11EC}" name="TimeSlot_text" dataDxfId="789"/>
    <tableColumn id="2" xr3:uid="{0064FA6D-7B3D-4C05-B713-8E2AD730C3D2}" name="Day_Monday_text" dataDxfId="788"/>
    <tableColumn id="3" xr3:uid="{8A2F6866-D6DC-43CE-810C-1049B5997725}" name="Day_Tuesday_text" dataDxfId="787"/>
    <tableColumn id="4" xr3:uid="{04383C55-2B08-48D5-B28E-90A7DA785667}" name="Day_Wednesday_text" dataDxfId="786"/>
    <tableColumn id="5" xr3:uid="{D1C44AFB-009D-4ABB-AC2E-B061E6B1129F}" name="Day_Thursday_text" dataDxfId="785"/>
    <tableColumn id="6" xr3:uid="{E3ED0FEB-92D1-4D93-ADED-352F3F210603}" name="Day_Friday_text" dataDxfId="784"/>
    <tableColumn id="25" xr3:uid="{398D9313-035F-49AA-B0F9-6945FEEA5EA2}" name="TimeSlot_Start_text" dataDxfId="783"/>
    <tableColumn id="7" xr3:uid="{AF7C8822-4415-4FC4-A2DD-611F93FAD695}" name="CBOC_Name_text" dataDxfId="782"/>
    <tableColumn id="8" xr3:uid="{A33034B2-A67C-48BA-899C-177B6D626835}" name="Room_Name_text" dataDxfId="781"/>
    <tableColumn id="30" xr3:uid="{09FA47AF-FA2D-4C18-AE10-11FC83AE9D3F}" name="Room_number" dataDxfId="780"/>
    <tableColumn id="9" xr3:uid="{F3390A4F-41B5-41E2-82F3-BE566ABB7653}" name="Room_Alias_text" dataDxfId="779"/>
    <tableColumn id="10" xr3:uid="{B5ABD3B1-06DF-4D24-91BD-2BF53742BC1B}" name="Room_Extension_text" dataDxfId="778"/>
    <tableColumn id="11" xr3:uid="{0E9252AE-1C34-4877-BFFF-7226F5FA377C}" name="Room_IPaddress_text" dataDxfId="777"/>
    <tableColumn id="12" xr3:uid="{D66ED9A3-A2F1-491D-8A3B-D481AD67BEE2}" name="TCT_Name_text" dataDxfId="776"/>
    <tableColumn id="13" xr3:uid="{FE9E3EAD-7D91-4B3A-98E5-E8F085F0D444}" name="TCT_Email_text" dataDxfId="775"/>
    <tableColumn id="14" xr3:uid="{DE4F1447-4566-4FB4-92FF-EF08382F1772}" name="TCT_Phone_text" dataDxfId="774"/>
    <tableColumn id="15" xr3:uid="{9C6B7AA2-BF10-4C58-9805-79A8F482EF02}" name="TCT_Cell_text" dataDxfId="773"/>
    <tableColumn id="29" xr3:uid="{894FF6E4-5D49-4637-BE79-BCB381D2ABC3}" name="TCT_Cell_number" dataDxfId="772"/>
    <tableColumn id="16" xr3:uid="{59602ECE-3DA5-4F92-90D2-17851CF6C271}" name="CNM_Name_text" dataDxfId="771"/>
    <tableColumn id="17" xr3:uid="{408428B6-51D1-4DF2-B8A1-5CF3DE1C48CE}" name="CNM_Email_text" dataDxfId="770"/>
    <tableColumn id="18" xr3:uid="{8CFB0CEA-B5BC-4366-8323-3F17F7005626}" name="CNM_Phone_text" dataDxfId="769"/>
    <tableColumn id="19" xr3:uid="{BF1D6492-41D0-4941-9F03-54A3EC23257C}" name="CNM_Cell_text" dataDxfId="768"/>
    <tableColumn id="28" xr3:uid="{20CCC264-D9A8-49BD-BF50-9024C8131CD6}" name="CNM_Cell_number" dataDxfId="767"/>
    <tableColumn id="20" xr3:uid="{E2904A82-C8ED-465D-815A-F6BF56A5253A}" name="FTC_Name_text" dataDxfId="766"/>
    <tableColumn id="21" xr3:uid="{60DA51AF-2B30-4F12-9FF1-15038EB5199A}" name="FTC_Email_text" dataDxfId="765"/>
    <tableColumn id="23" xr3:uid="{B0694CEA-C213-48B3-A12C-3CE426998525}" name="FTC_Phone_text" dataDxfId="764"/>
    <tableColumn id="27" xr3:uid="{E3A85D70-CA1D-4B19-8A5B-CF7DA4077E6E}" name="FTC_Cell_text" dataDxfId="763"/>
    <tableColumn id="24" xr3:uid="{0BD0D7C4-FD9E-44FC-B6FE-573513FEAA1D}" name="FTC_Cell_number" dataDxfId="762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CC9D268-6CA8-46D3-A275-A58840DEB1B0}" name="Joliet1012" displayName="Joliet1012" ref="A1:AB17" totalsRowShown="0" headerRowDxfId="761" dataDxfId="760">
  <autoFilter ref="A1:AB17" xr:uid="{81D2A44D-B5EE-4382-90B6-65DFDD20F788}"/>
  <tableColumns count="28">
    <tableColumn id="1" xr3:uid="{EC8B03CE-6A97-417C-8D09-8778C90E2902}" name="TimeSlot_text" dataDxfId="759"/>
    <tableColumn id="2" xr3:uid="{A99A6070-CD42-4B1B-BFFB-373776B5D9A2}" name="Day_Monday_text" dataDxfId="758"/>
    <tableColumn id="3" xr3:uid="{EB8629F4-692F-4C29-BAF5-C8DA7036F741}" name="Day_Tuesday_text" dataDxfId="757"/>
    <tableColumn id="4" xr3:uid="{FD976810-1893-4B47-BB56-ADF05A0BCE8B}" name="Day_Wednesday_text" dataDxfId="756"/>
    <tableColumn id="5" xr3:uid="{BC85F64A-5425-4741-8980-2647778238AC}" name="Day_Thursday_text" dataDxfId="755"/>
    <tableColumn id="6" xr3:uid="{B7480EB1-E4A8-4B15-8A3A-51845A84CC49}" name="Day_Friday_text" dataDxfId="754"/>
    <tableColumn id="25" xr3:uid="{B8220A8C-8813-470E-8C39-4D4358859048}" name="TimeSlot_Start_text" dataDxfId="753"/>
    <tableColumn id="7" xr3:uid="{672D960A-926B-4347-9E9A-E38FE6644053}" name="CBOC_Name_text" dataDxfId="752"/>
    <tableColumn id="8" xr3:uid="{7B266F01-E5CA-412F-BCC4-207CA5154808}" name="Room_Name_text" dataDxfId="751"/>
    <tableColumn id="30" xr3:uid="{3CE4BE9F-0349-4CEF-9546-4EE861748FC7}" name="Room_number" dataDxfId="750"/>
    <tableColumn id="9" xr3:uid="{EFBF1FE8-27BE-40A2-8CAF-D7D4E0BB466B}" name="Room_Alias_text" dataDxfId="749"/>
    <tableColumn id="10" xr3:uid="{A4A279C1-DFC8-4466-B105-133033E9BA04}" name="Room_Extension_text" dataDxfId="748"/>
    <tableColumn id="11" xr3:uid="{FE005809-6006-4365-8675-4E10DDA1F949}" name="Room_IPaddress_text" dataDxfId="747"/>
    <tableColumn id="12" xr3:uid="{C6A0B16F-4ABE-4E16-BD0F-921A7038D358}" name="TCT_Name_text" dataDxfId="746"/>
    <tableColumn id="13" xr3:uid="{87B6131B-7E01-4495-895D-27D0F286F51F}" name="TCT_Email_text" dataDxfId="745"/>
    <tableColumn id="14" xr3:uid="{7DB845F1-826E-49D7-8508-F1105C3AEEB5}" name="TCT_Phone_text" dataDxfId="744"/>
    <tableColumn id="15" xr3:uid="{D31CB136-11DD-4428-8741-BFD9F07C27D8}" name="TCT_Cell_text" dataDxfId="743"/>
    <tableColumn id="29" xr3:uid="{08DD3FA0-30E6-41F4-A552-D8ED15085EB9}" name="TCT_Cell_number" dataDxfId="742"/>
    <tableColumn id="16" xr3:uid="{8F44F234-3A76-486B-A110-317066CE78CB}" name="CNM_Name_text" dataDxfId="741"/>
    <tableColumn id="17" xr3:uid="{451D16AE-023D-430C-96A8-315B477920F0}" name="CNM_Email_text" dataDxfId="740"/>
    <tableColumn id="18" xr3:uid="{BA394173-FA7E-41F5-8040-F0860075BDC9}" name="CNM_Phone_text" dataDxfId="739"/>
    <tableColumn id="19" xr3:uid="{03CD3483-7DF1-4D20-8C42-E2C6D5A3C938}" name="CNM_Cell_text" dataDxfId="738"/>
    <tableColumn id="28" xr3:uid="{C0A9F708-840C-4093-BBB0-3F127FF616B4}" name="CNM_Cell_number" dataDxfId="737"/>
    <tableColumn id="20" xr3:uid="{E813A714-37E7-44E4-99A3-B0142A50F458}" name="FTC_Name_text" dataDxfId="736"/>
    <tableColumn id="21" xr3:uid="{64676342-DB19-4D60-9439-FC46514C19FE}" name="FTC_Email_text" dataDxfId="735"/>
    <tableColumn id="23" xr3:uid="{953035A8-98A0-4218-87BB-DE3ED2495F75}" name="FTC_Phone_text" dataDxfId="734"/>
    <tableColumn id="27" xr3:uid="{283F1602-C2BE-4D23-A338-39C8D6B7EA7E}" name="FTC_Cell_text" dataDxfId="733"/>
    <tableColumn id="24" xr3:uid="{015EEB99-BF88-4B30-B51A-60A8CCCBF2F9}" name="FTC_Cell_number" dataDxfId="732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B35D508-F4D5-4F93-88D2-5F1B67C72C68}" name="Joliet1013" displayName="Joliet1013" ref="A1:AB17" totalsRowShown="0" headerRowDxfId="731" dataDxfId="730">
  <autoFilter ref="A1:AB17" xr:uid="{81D2A44D-B5EE-4382-90B6-65DFDD20F788}"/>
  <tableColumns count="28">
    <tableColumn id="1" xr3:uid="{AB10DBE2-5F89-4215-B394-761070A66AF6}" name="TimeSlot_text" dataDxfId="729"/>
    <tableColumn id="2" xr3:uid="{C7F6F34E-0D15-4897-87C7-A69E491B40F1}" name="Day_Monday_text" dataDxfId="728"/>
    <tableColumn id="3" xr3:uid="{3BBB7A2C-C87B-4452-B8FD-998F460920B3}" name="Day_Tuesday_text" dataDxfId="727"/>
    <tableColumn id="4" xr3:uid="{013556A5-7644-4EB6-A716-702394AA3AD6}" name="Day_Wednesday_text" dataDxfId="726"/>
    <tableColumn id="5" xr3:uid="{DC9E3549-0441-4D58-8807-16B5653993AB}" name="Day_Thursday_text" dataDxfId="725"/>
    <tableColumn id="6" xr3:uid="{9391EBB6-BA5C-444A-A26A-AD3862AD4D40}" name="Day_Friday_text" dataDxfId="724"/>
    <tableColumn id="25" xr3:uid="{813841F8-1688-4B9D-A5E3-FF76F62E9F05}" name="TimeSlot_Start_text" dataDxfId="723"/>
    <tableColumn id="7" xr3:uid="{75C1BE3E-5DAC-4104-BD8F-8EF8EDF17916}" name="CBOC_Name_text" dataDxfId="722"/>
    <tableColumn id="8" xr3:uid="{1838C67B-3302-4991-8DC5-E6070AF95C0B}" name="Room_Name_text" dataDxfId="721"/>
    <tableColumn id="30" xr3:uid="{F0984040-8668-4395-8870-F59CF2817970}" name="Room_number" dataDxfId="720"/>
    <tableColumn id="9" xr3:uid="{4297B044-08F9-422D-876E-5B69ADC6523C}" name="Room_Alias_text" dataDxfId="719"/>
    <tableColumn id="10" xr3:uid="{0063ACCE-660F-458A-B0CE-60256894AFCC}" name="Room_Extension_text" dataDxfId="718"/>
    <tableColumn id="11" xr3:uid="{8152C3EA-B93A-4ACA-8185-8CBD1438943F}" name="Room_IPaddress_text" dataDxfId="717"/>
    <tableColumn id="12" xr3:uid="{8F4B754F-29CF-4A2D-8DDE-225C3D1A151C}" name="TCT_Name_text" dataDxfId="716"/>
    <tableColumn id="13" xr3:uid="{BABA651A-113D-4798-AA9D-BEB35BA16DBC}" name="TCT_Email_text" dataDxfId="715"/>
    <tableColumn id="14" xr3:uid="{5EF6EFB6-D608-4603-BF88-A59342216331}" name="TCT_Phone_text" dataDxfId="714"/>
    <tableColumn id="15" xr3:uid="{5ED69372-661E-4025-AB62-0D69165DF080}" name="TCT_Cell_text" dataDxfId="713"/>
    <tableColumn id="29" xr3:uid="{C9FDF7CE-6171-4D85-9911-FB5924D7D13A}" name="TCT_Cell_number" dataDxfId="712"/>
    <tableColumn id="16" xr3:uid="{2DF1B6EB-E669-4BF0-AC14-45917B53D9FE}" name="CNM_Name_text" dataDxfId="711"/>
    <tableColumn id="17" xr3:uid="{E937A4C4-E81C-48C6-822F-BA368E3C14D2}" name="CNM_Email_text" dataDxfId="710"/>
    <tableColumn id="18" xr3:uid="{7E72C36D-3BF1-4399-98A5-266A4E641FE3}" name="CNM_Phone_text" dataDxfId="709"/>
    <tableColumn id="19" xr3:uid="{4C0A1A25-6907-4AE9-AE68-295B2E688168}" name="CNM_Cell_text" dataDxfId="708"/>
    <tableColumn id="28" xr3:uid="{1792018A-7F26-4891-B768-66B0166DD0B8}" name="CNM_Cell_number" dataDxfId="707"/>
    <tableColumn id="20" xr3:uid="{1A32AE08-92F0-4929-B28C-97D436507384}" name="FTC_Name_text" dataDxfId="706"/>
    <tableColumn id="21" xr3:uid="{CA943985-378F-4B6F-B3A6-38AF2D2AFE76}" name="FTC_Email_text" dataDxfId="705"/>
    <tableColumn id="23" xr3:uid="{F764696F-4E98-4C73-9C53-2F21F16860E1}" name="FTC_Phone_text" dataDxfId="704"/>
    <tableColumn id="27" xr3:uid="{4A66FCB7-7BD5-43C3-9EF6-20458BAA3F97}" name="FTC_Cell_text" dataDxfId="703"/>
    <tableColumn id="24" xr3:uid="{00D9ADBF-739E-4DCB-925C-1EB3334AAA4F}" name="FTC_Cell_number" dataDxfId="702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B3D2832-55B7-463F-8ED6-F1EEAFDBA891}" name="HoffmanEstates106" displayName="HoffmanEstates106" ref="A1:AB17" totalsRowShown="0" headerRowDxfId="701" dataDxfId="700">
  <autoFilter ref="A1:AB17" xr:uid="{81D2A44D-B5EE-4382-90B6-65DFDD20F788}"/>
  <tableColumns count="28">
    <tableColumn id="1" xr3:uid="{2F48EE39-D43E-4B21-90DB-B9176C31CCE9}" name="TimeSlot_text" dataDxfId="699"/>
    <tableColumn id="2" xr3:uid="{5120DA8B-37E1-4323-8228-1FB6E85E95DD}" name="Day_Monday_text" dataDxfId="698"/>
    <tableColumn id="3" xr3:uid="{D97A9D4F-7404-4635-AB9F-F0363697B5F1}" name="Day_Tuesday_text" dataDxfId="697"/>
    <tableColumn id="4" xr3:uid="{C20A4A2F-A2E5-4515-AE0F-74BF281AB44E}" name="Day_Wednesday_text" dataDxfId="696"/>
    <tableColumn id="5" xr3:uid="{6DB5D2FE-B801-4C76-B1D8-10E07BD8224C}" name="Day_Thursday_text" dataDxfId="695"/>
    <tableColumn id="6" xr3:uid="{3B75AA4C-F0A9-4B26-91C5-B8E87B37E23C}" name="Day_Friday_text" dataDxfId="694"/>
    <tableColumn id="25" xr3:uid="{06FE16B1-281E-4E37-813D-21A576A49B2C}" name="TimeSlot_Start_text" dataDxfId="693"/>
    <tableColumn id="7" xr3:uid="{99CD2E76-F87C-4887-A621-FFE7C63F15D6}" name="CBOC_Name_text" dataDxfId="692"/>
    <tableColumn id="8" xr3:uid="{1F7CD172-063F-4891-A40B-F8A334B7FAF1}" name="Room_Name_text" dataDxfId="691"/>
    <tableColumn id="30" xr3:uid="{00C8A886-B7F9-43D3-85C6-1622C7617011}" name="Room_number" dataDxfId="690"/>
    <tableColumn id="9" xr3:uid="{594B37D2-BC7C-4B16-AB0A-B19CC8189A86}" name="Room_Alias_text" dataDxfId="689"/>
    <tableColumn id="10" xr3:uid="{ED000043-4ED1-4084-A026-2BC9E0DAEA78}" name="Room_Extension_text" dataDxfId="688"/>
    <tableColumn id="11" xr3:uid="{5F64F1E1-5E9D-4A42-858A-8E91D0F5FB67}" name="Room_IPaddress_text" dataDxfId="687"/>
    <tableColumn id="12" xr3:uid="{A3B08093-30F6-4825-AB74-AA46BB368051}" name="TCT_Name_text" dataDxfId="686"/>
    <tableColumn id="13" xr3:uid="{C69D1409-60DC-4D2D-9626-EA31B600F9A2}" name="TCT_Email_text" dataDxfId="685"/>
    <tableColumn id="14" xr3:uid="{1DD0BD2A-E337-4BD1-AF1F-F34A3716F559}" name="TCT_Phone_text" dataDxfId="684"/>
    <tableColumn id="15" xr3:uid="{2757F96E-F687-40F7-B149-9849D9DC0ECB}" name="TCT_Cell_text" dataDxfId="683"/>
    <tableColumn id="29" xr3:uid="{A8FF4E9D-C1D5-4A1A-AD98-22C7A2569A36}" name="TCT_Cell_number" dataDxfId="682"/>
    <tableColumn id="16" xr3:uid="{A75E2CBE-C06D-43C4-A76F-ECFF00B58DE4}" name="CNM_Name_text" dataDxfId="681"/>
    <tableColumn id="17" xr3:uid="{83EDCFCC-9A1A-4935-ABC2-163E576F0FB3}" name="CNM_Email_text" dataDxfId="680"/>
    <tableColumn id="18" xr3:uid="{E9BC6565-3747-4FA1-8EB0-FFCFC73DAF02}" name="CNM_Phone_text" dataDxfId="679"/>
    <tableColumn id="19" xr3:uid="{99BDE635-8C4F-48D7-9583-CC877B67C652}" name="CNM_Cell_text" dataDxfId="678"/>
    <tableColumn id="28" xr3:uid="{4FC63DE1-742F-4A96-82E5-4E94AFA6D16C}" name="CNM_Cell_number" dataDxfId="677"/>
    <tableColumn id="20" xr3:uid="{1046AB13-65DA-4360-A72C-1487BEF126AC}" name="FTC_Name_text" dataDxfId="676"/>
    <tableColumn id="21" xr3:uid="{2CF2EA7E-4933-4854-9813-F6A7DAD10377}" name="FTC_Email_text" dataDxfId="675"/>
    <tableColumn id="23" xr3:uid="{669BAFDB-DDE5-4D81-A295-8899C308C362}" name="FTC_Phone_text" dataDxfId="674"/>
    <tableColumn id="27" xr3:uid="{35FE8DE1-54F1-4C0C-9993-4D2581B70124}" name="FTC_Cell_text" dataDxfId="673"/>
    <tableColumn id="24" xr3:uid="{2B241A46-79B9-4BAE-BF83-E837296EC057}" name="FTC_Cell_number" dataDxfId="672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9F1D69F-6EAA-499B-A10C-682A5D201F20}" name="HoffmanEstates104" displayName="HoffmanEstates104" ref="A1:AB17" totalsRowShown="0" headerRowDxfId="671" dataDxfId="670">
  <autoFilter ref="A1:AB17" xr:uid="{81D2A44D-B5EE-4382-90B6-65DFDD20F788}"/>
  <tableColumns count="28">
    <tableColumn id="1" xr3:uid="{78990A58-55AD-408C-97CC-D82EA19DBCDE}" name="TimeSlot_text" dataDxfId="669"/>
    <tableColumn id="2" xr3:uid="{C0667BED-1F7F-4885-B2E6-FF16A8350F28}" name="Day_Monday_text" dataDxfId="668"/>
    <tableColumn id="3" xr3:uid="{F666AC4F-878C-427E-B784-650804910FAA}" name="Day_Tuesday_text" dataDxfId="667"/>
    <tableColumn id="4" xr3:uid="{ADB20795-DE93-406A-A33A-FB07B03C5D9E}" name="Day_Wednesday_text" dataDxfId="666"/>
    <tableColumn id="5" xr3:uid="{C98A058F-0503-424A-BF24-175A7C823A0D}" name="Day_Thursday_text" dataDxfId="665"/>
    <tableColumn id="6" xr3:uid="{964C9BAC-CF3F-4A38-9671-91AB328B2616}" name="Day_Friday_text" dataDxfId="664"/>
    <tableColumn id="25" xr3:uid="{F3D8B917-F81B-44F6-BC59-AA80C6512DC4}" name="TimeSlot_Start_text" dataDxfId="663"/>
    <tableColumn id="7" xr3:uid="{F6E6391F-3543-4E4E-92AE-AAE5AC41EC1B}" name="CBOC_Name_text" dataDxfId="662"/>
    <tableColumn id="8" xr3:uid="{E9CC199E-528E-49C8-819E-B2A47A12B838}" name="Room_Name_text" dataDxfId="661"/>
    <tableColumn id="30" xr3:uid="{69CC2A73-8505-4263-B928-11C677D9B91D}" name="Room_number" dataDxfId="660"/>
    <tableColumn id="9" xr3:uid="{72B8DD58-93F1-4F50-8CF2-902D0D36FEFE}" name="Room_Alias_text" dataDxfId="659"/>
    <tableColumn id="10" xr3:uid="{C4329D10-C4B6-4C53-9E1E-DA8470CA4BD4}" name="Room_Extension_text" dataDxfId="658"/>
    <tableColumn id="11" xr3:uid="{3072DAD4-B96D-43B5-9EB8-5B5A36E93B14}" name="Room_IPaddress_text" dataDxfId="657"/>
    <tableColumn id="12" xr3:uid="{C1854327-F8BB-40C3-ADF8-273EB532412B}" name="TCT_Name_text" dataDxfId="656"/>
    <tableColumn id="13" xr3:uid="{6158B067-7DA6-4184-90F9-65BC65D8A56D}" name="TCT_Email_text" dataDxfId="655"/>
    <tableColumn id="14" xr3:uid="{1304F9B7-E8A6-4445-9509-72CE5CD149D6}" name="TCT_Phone_text" dataDxfId="654"/>
    <tableColumn id="15" xr3:uid="{3C302D0E-8582-425E-BA17-9216AEA8FDD2}" name="TCT_Cell_text" dataDxfId="653"/>
    <tableColumn id="29" xr3:uid="{8986256A-97E2-4709-81D5-1531E27FE55C}" name="TCT_Cell_number" dataDxfId="652"/>
    <tableColumn id="16" xr3:uid="{441C034F-5E38-4FB6-8326-B29BB340A6BB}" name="CNM_Name_text" dataDxfId="651"/>
    <tableColumn id="17" xr3:uid="{1A85E968-CCFF-4771-9DF0-3D1EFB63551D}" name="CNM_Email_text" dataDxfId="650"/>
    <tableColumn id="18" xr3:uid="{24FC7994-19BA-4C9A-B79A-25058E36895D}" name="CNM_Phone_text" dataDxfId="649"/>
    <tableColumn id="19" xr3:uid="{387034EF-8C7C-4231-91F6-016D1C092CD7}" name="CNM_Cell_text" dataDxfId="648"/>
    <tableColumn id="28" xr3:uid="{312E65E6-425C-484A-A8B2-06BF694548CB}" name="CNM_Cell_number" dataDxfId="647"/>
    <tableColumn id="20" xr3:uid="{E394F32C-39E6-4BDC-91E1-20FFFA342602}" name="FTC_Name_text" dataDxfId="646"/>
    <tableColumn id="21" xr3:uid="{BF4A3AC0-3C77-405B-B2D2-A4A1F1F13717}" name="FTC_Email_text" dataDxfId="645"/>
    <tableColumn id="23" xr3:uid="{A3CD6A8E-DD3F-485A-B6D9-76F3AB5D72E6}" name="FTC_Phone_text" dataDxfId="644"/>
    <tableColumn id="27" xr3:uid="{CBC3479E-AA84-4CC5-9724-535146847DCC}" name="FTC_Cell_text" dataDxfId="643"/>
    <tableColumn id="24" xr3:uid="{66427178-F216-4D36-98CB-4B06C46F62D7}" name="FTC_Cell_number" dataDxfId="642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53EFCE6-CAB2-4580-A3F2-741832F25FE6}" name="HoffmanEstates105" displayName="HoffmanEstates105" ref="A1:AB17" totalsRowShown="0" headerRowDxfId="641" dataDxfId="640">
  <autoFilter ref="A1:AB17" xr:uid="{81D2A44D-B5EE-4382-90B6-65DFDD20F788}"/>
  <tableColumns count="28">
    <tableColumn id="1" xr3:uid="{9B99BEDA-E33D-452B-9DE4-AACCFE428DD9}" name="TimeSlot_text" dataDxfId="639"/>
    <tableColumn id="2" xr3:uid="{9240838F-AEF3-40F3-B15F-3CAF992026C4}" name="Day_Monday_text" dataDxfId="638"/>
    <tableColumn id="3" xr3:uid="{66A80D3B-189A-41E2-A13F-8DC618F663B8}" name="Day_Tuesday_text" dataDxfId="637"/>
    <tableColumn id="4" xr3:uid="{F7CCB600-A42F-4A83-8D7B-B25410AF5D00}" name="Day_Wednesday_text" dataDxfId="636"/>
    <tableColumn id="5" xr3:uid="{46004B0E-6E71-4343-A6B5-23F12D0319D5}" name="Day_Thursday_text" dataDxfId="635"/>
    <tableColumn id="6" xr3:uid="{E2FCDA1B-CAA4-4AD3-8874-0092F63604B0}" name="Day_Friday_text" dataDxfId="634"/>
    <tableColumn id="25" xr3:uid="{A668535F-8B74-4855-A649-995A4335A560}" name="TimeSlot_Start_text" dataDxfId="633"/>
    <tableColumn id="7" xr3:uid="{B7C0DB02-34E0-4BE4-A866-9B41E978BE5A}" name="CBOC_Name_text" dataDxfId="632"/>
    <tableColumn id="8" xr3:uid="{0449DC20-F1CE-45E9-9F27-9AAD09D8ACBC}" name="Room_Name_text" dataDxfId="631"/>
    <tableColumn id="30" xr3:uid="{7DDEFFC7-27E6-452B-A8DB-6423848A3063}" name="Room_number" dataDxfId="630"/>
    <tableColumn id="9" xr3:uid="{1D46BDB2-BC5C-48DB-8BFE-E3616FAE28F5}" name="Room_Alias_text" dataDxfId="629"/>
    <tableColumn id="10" xr3:uid="{33FA902F-D9E8-4CCE-B4A2-ED1B7BB9E20E}" name="Room_Extension_text" dataDxfId="628"/>
    <tableColumn id="11" xr3:uid="{F67DD3CB-FC35-4FAE-A515-4F6C85EE58FF}" name="Room_IPaddress_text" dataDxfId="627"/>
    <tableColumn id="12" xr3:uid="{4C3936F0-0CDA-4A15-98F1-3E5A8AFD31E5}" name="TCT_Name_text" dataDxfId="626"/>
    <tableColumn id="13" xr3:uid="{EA7C354E-C95E-4EEF-90A4-F5CD817C6F75}" name="TCT_Email_text" dataDxfId="625"/>
    <tableColumn id="14" xr3:uid="{BDB2D391-7296-4128-B0CE-E915F065928F}" name="TCT_Phone_text" dataDxfId="624"/>
    <tableColumn id="15" xr3:uid="{4A89BF98-603E-492C-BEA8-59AE381EA493}" name="TCT_Cell_text" dataDxfId="623"/>
    <tableColumn id="29" xr3:uid="{EF7ED09A-7EFC-46B2-AFC0-EED9A7D118E5}" name="TCT_Cell_number" dataDxfId="622"/>
    <tableColumn id="16" xr3:uid="{DBB1E37C-A7E3-4F8A-B29B-BEFD55640E14}" name="CNM_Name_text" dataDxfId="621"/>
    <tableColumn id="17" xr3:uid="{B6F184A3-E0F7-4A8F-84A0-17F50551517E}" name="CNM_Email_text" dataDxfId="620"/>
    <tableColumn id="18" xr3:uid="{74D8CD25-6F4F-4F7A-BC02-78157992ABED}" name="CNM_Phone_text" dataDxfId="619"/>
    <tableColumn id="19" xr3:uid="{FCA2551B-0351-4952-8BC5-1F52E7E6E95C}" name="CNM_Cell_text" dataDxfId="618"/>
    <tableColumn id="28" xr3:uid="{F1898BA3-5B71-43B9-80BB-27175C2C61E1}" name="CNM_Cell_number" dataDxfId="617"/>
    <tableColumn id="20" xr3:uid="{3546D1AF-34CB-44DC-8BE7-F6A7B3B4C2BC}" name="FTC_Name_text" dataDxfId="616"/>
    <tableColumn id="21" xr3:uid="{48C736D1-2F1F-4FAD-9AF1-52EF227D0FF6}" name="FTC_Email_text" dataDxfId="615"/>
    <tableColumn id="23" xr3:uid="{C9720E5D-E060-45CE-A782-3DD98B62FB74}" name="FTC_Phone_text" dataDxfId="614"/>
    <tableColumn id="27" xr3:uid="{0914F208-4165-4D4A-A0B6-1C1A444832D0}" name="FTC_Cell_text" dataDxfId="613"/>
    <tableColumn id="24" xr3:uid="{73FFDF5F-835D-4C85-A80B-2B18B70A2743}" name="FTC_Cell_number" dataDxfId="612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06A2D3F-F84A-4D74-BF7D-0EF3AB9FC78F}" name="HoffmanEstates103" displayName="HoffmanEstates103" ref="A1:AB17" totalsRowShown="0" headerRowDxfId="611" dataDxfId="610">
  <autoFilter ref="A1:AB17" xr:uid="{81D2A44D-B5EE-4382-90B6-65DFDD20F788}"/>
  <tableColumns count="28">
    <tableColumn id="1" xr3:uid="{AC92A4E2-1A03-4B18-AFEA-06DEB73FA0E5}" name="TimeSlot_text" dataDxfId="609"/>
    <tableColumn id="2" xr3:uid="{4B8BDA28-C442-467A-9A09-B4803AC71ABC}" name="Day_Monday_text" dataDxfId="608"/>
    <tableColumn id="3" xr3:uid="{B89C5263-17A3-4BD8-901B-9242C4EF72CA}" name="Day_Tuesday_text" dataDxfId="607"/>
    <tableColumn id="4" xr3:uid="{DA4ED5AF-75BE-49F3-B22A-5BA580427B0F}" name="Day_Wednesday_text" dataDxfId="606"/>
    <tableColumn id="5" xr3:uid="{22688CBC-8559-4DEA-8C40-23D6A1CAE725}" name="Day_Thursday_text" dataDxfId="605"/>
    <tableColumn id="6" xr3:uid="{171E7AC8-A900-42AC-B8E4-68C715F19898}" name="Day_Friday_text" dataDxfId="604"/>
    <tableColumn id="25" xr3:uid="{7968FECB-B4AB-4CC1-B780-AF6D94B42C12}" name="TimeSlot_Start_text" dataDxfId="603"/>
    <tableColumn id="7" xr3:uid="{9C9195B0-0C17-4A7F-8451-61EBDBAD75D5}" name="CBOC_Name_text" dataDxfId="602"/>
    <tableColumn id="8" xr3:uid="{ADF20D3A-5C8D-47C3-8362-8836984BA487}" name="Room_Name_text" dataDxfId="601"/>
    <tableColumn id="30" xr3:uid="{E31BF5DA-0A53-4EE7-9767-61F99562C5B8}" name="Room_number" dataDxfId="600"/>
    <tableColumn id="9" xr3:uid="{82365580-303D-4D1A-A190-CADD90546E16}" name="Room_Alias_text" dataDxfId="599"/>
    <tableColumn id="10" xr3:uid="{38760EF7-555E-499F-9288-7C6073ED8058}" name="Room_Extension_text" dataDxfId="598"/>
    <tableColumn id="11" xr3:uid="{B02B90B2-3161-49AC-AFFE-20D99A82748A}" name="Room_IPaddress_text" dataDxfId="597"/>
    <tableColumn id="12" xr3:uid="{0F23764B-751F-4DF8-AF75-55D932A4E242}" name="TCT_Name_text" dataDxfId="596"/>
    <tableColumn id="13" xr3:uid="{8A65403B-4A1B-4D9B-AD41-ADB60E7C50B3}" name="TCT_Email_text" dataDxfId="595"/>
    <tableColumn id="14" xr3:uid="{E6C28076-4BAC-456B-B222-008F935F023A}" name="TCT_Phone_text" dataDxfId="594"/>
    <tableColumn id="15" xr3:uid="{32B3DF49-410D-4852-9791-E5987F03FDFF}" name="TCT_Cell_text" dataDxfId="593"/>
    <tableColumn id="29" xr3:uid="{7D5211F0-104C-4381-842A-D3DBF43747ED}" name="TCT_Cell_number" dataDxfId="592"/>
    <tableColumn id="16" xr3:uid="{1039300E-4E9C-48EB-9A18-9B9F05FEA223}" name="CNM_Name_text" dataDxfId="591"/>
    <tableColumn id="17" xr3:uid="{369BDAF7-8D8B-4E67-BE17-1B962D937BFC}" name="CNM_Email_text" dataDxfId="590"/>
    <tableColumn id="18" xr3:uid="{AF98D48D-C360-42A8-BC7E-BD4E1569B331}" name="CNM_Phone_text" dataDxfId="589"/>
    <tableColumn id="19" xr3:uid="{621EFA1E-D5AB-465E-A6C1-86B66EB9B16A}" name="CNM_Cell_text" dataDxfId="588"/>
    <tableColumn id="28" xr3:uid="{D245B4D9-5C13-4F22-BEE8-8D2ADBB0DCE6}" name="CNM_Cell_number" dataDxfId="587"/>
    <tableColumn id="20" xr3:uid="{02C8617F-59F9-4D1C-92D4-CDD44BE96AA9}" name="FTC_Name_text" dataDxfId="586"/>
    <tableColumn id="21" xr3:uid="{9B444402-D7E4-4D3D-A236-550096D41BCC}" name="FTC_Email_text" dataDxfId="585"/>
    <tableColumn id="23" xr3:uid="{CFB80DE3-3C67-4C24-B585-9AEDA1AE4D9F}" name="FTC_Phone_text" dataDxfId="584"/>
    <tableColumn id="27" xr3:uid="{2766120F-FF56-4E77-ABC7-5C91D5E9ECF9}" name="FTC_Cell_text" dataDxfId="583"/>
    <tableColumn id="24" xr3:uid="{D46D1000-53A7-4135-B07C-16111E210E7B}" name="FTC_Cell_number" dataDxfId="582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CBF8291-0699-4BE6-9675-568539E807BD}" name="Kankakee101" displayName="Kankakee101" ref="A1:AB17" totalsRowShown="0" headerRowDxfId="581" dataDxfId="580">
  <autoFilter ref="A1:AB17" xr:uid="{81D2A44D-B5EE-4382-90B6-65DFDD20F788}"/>
  <tableColumns count="28">
    <tableColumn id="1" xr3:uid="{0AAFF2F8-C02A-4F4B-8789-8706318CCF3A}" name="TimeSlot_text" dataDxfId="579"/>
    <tableColumn id="2" xr3:uid="{50AA8149-5477-47E7-B117-D68B337506DF}" name="Day_Monday_text" dataDxfId="578"/>
    <tableColumn id="3" xr3:uid="{49CF23AC-BC86-4BC7-B5B6-5A69140743EC}" name="Day_Tuesday_text" dataDxfId="577"/>
    <tableColumn id="4" xr3:uid="{A7657900-D94F-470F-87A9-DEC10E67ABF6}" name="Day_Wednesday_text" dataDxfId="576"/>
    <tableColumn id="5" xr3:uid="{14E2EC96-FB2A-4E6C-9D6D-BF7D1EE07D83}" name="Day_Thursday_text" dataDxfId="575"/>
    <tableColumn id="6" xr3:uid="{B47CD874-C233-4E83-813C-30F2C3FE1E57}" name="Day_Friday_text" dataDxfId="574"/>
    <tableColumn id="25" xr3:uid="{09A06B92-D289-4E5D-A79F-B043CFC74F85}" name="TimeSlot_Start_text" dataDxfId="573"/>
    <tableColumn id="7" xr3:uid="{7BC5374B-FF93-434F-BF23-D110105C0134}" name="CBOC_Name_text" dataDxfId="572"/>
    <tableColumn id="8" xr3:uid="{3BFF53D8-5A70-4444-9170-DE925D222B4B}" name="Room_Name_text" dataDxfId="571"/>
    <tableColumn id="30" xr3:uid="{F09416A1-7AC1-4323-8DC8-0FD75539965A}" name="Room_number" dataDxfId="570"/>
    <tableColumn id="9" xr3:uid="{6E8B2F78-7071-456F-AAD2-2AB150A47399}" name="Room_Alias_text" dataDxfId="569"/>
    <tableColumn id="10" xr3:uid="{0ADBF8CE-B239-4BCB-B30B-3CDC5BE35368}" name="Room_Extension_text" dataDxfId="568"/>
    <tableColumn id="11" xr3:uid="{B294FC9D-112F-4788-9FCF-DC0CB9DB0B67}" name="Room_IPaddress_text" dataDxfId="567"/>
    <tableColumn id="12" xr3:uid="{955EDAF0-071A-4D08-A557-BD5AC6ED5CF8}" name="TCT_Name_text" dataDxfId="566"/>
    <tableColumn id="13" xr3:uid="{7647A535-8144-4140-B9BB-32E6C3FC853B}" name="TCT_Email_text" dataDxfId="565"/>
    <tableColumn id="14" xr3:uid="{952D0E26-628C-4A52-81B6-411A6A401000}" name="TCT_Phone_text" dataDxfId="564"/>
    <tableColumn id="15" xr3:uid="{5B4D82FE-89E9-41CD-86A0-5BC47F920B44}" name="TCT_Cell_text" dataDxfId="563"/>
    <tableColumn id="29" xr3:uid="{AD91D542-94A6-43B0-82B7-ADEF998721DB}" name="TCT_Cell_number" dataDxfId="562"/>
    <tableColumn id="16" xr3:uid="{75AB8388-B897-49F5-9262-B5A0C80C1EDA}" name="CNM_Name_text" dataDxfId="561"/>
    <tableColumn id="17" xr3:uid="{B30FCE69-F4B2-4542-AADB-813FBD10C7AB}" name="CNM_Email_text" dataDxfId="560"/>
    <tableColumn id="18" xr3:uid="{C7A14A3D-D0F0-48E0-B7E3-A7D8D98FBFFE}" name="CNM_Phone_text" dataDxfId="559"/>
    <tableColumn id="19" xr3:uid="{8217DC41-A344-4D39-8164-8F4EAE60DE97}" name="CNM_Cell_text" dataDxfId="558"/>
    <tableColumn id="28" xr3:uid="{7F703708-BD80-4A22-8313-725EBFF04DDD}" name="CNM_Cell_number" dataDxfId="557"/>
    <tableColumn id="20" xr3:uid="{C34E9557-9D56-4F67-AB60-EB7F52BBE660}" name="FTC_Name_text" dataDxfId="556"/>
    <tableColumn id="21" xr3:uid="{E6213236-E5F5-4BF1-8AF0-D82151773420}" name="FTC_Email_text" dataDxfId="555"/>
    <tableColumn id="23" xr3:uid="{F8BF2FFA-1097-4E2F-AE45-43CA6E206457}" name="FTC_Phone_text" dataDxfId="554"/>
    <tableColumn id="27" xr3:uid="{BEC3D81A-2298-4204-BB94-1F704AEF4121}" name="FTC_Cell_text" dataDxfId="553"/>
    <tableColumn id="24" xr3:uid="{7BFE63FA-D9DF-4ECD-948D-BAD3AC9BB3E1}" name="FTC_Cell_number" dataDxfId="552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970FC9A-C10C-4224-90F9-876028C94C11}" name="Kankakee102" displayName="Kankakee102" ref="A1:AB17" totalsRowShown="0" headerRowDxfId="551" dataDxfId="550">
  <autoFilter ref="A1:AB17" xr:uid="{81D2A44D-B5EE-4382-90B6-65DFDD20F788}"/>
  <tableColumns count="28">
    <tableColumn id="1" xr3:uid="{F64023B6-43A8-4117-A01C-51EC2BEAFF4A}" name="TimeSlot_text" dataDxfId="549"/>
    <tableColumn id="2" xr3:uid="{CFD1B6CB-794C-423B-9847-D5786D955532}" name="Day_Monday_text" dataDxfId="548"/>
    <tableColumn id="3" xr3:uid="{576F7842-AD8F-41A8-A26F-AC39B470F439}" name="Day_Tuesday_text" dataDxfId="547"/>
    <tableColumn id="4" xr3:uid="{FA02D235-69C7-4383-92F5-42F5064B5E90}" name="Day_Wednesday_text" dataDxfId="546"/>
    <tableColumn id="5" xr3:uid="{9C6DF53E-4530-4B36-8E78-58165B41AD1C}" name="Day_Thursday_text" dataDxfId="545"/>
    <tableColumn id="6" xr3:uid="{E811206B-6D8A-4F91-AE70-D931F424ED37}" name="Day_Friday_text" dataDxfId="544"/>
    <tableColumn id="25" xr3:uid="{A286C8C3-B1A9-4582-9F24-475EF4DD1F9C}" name="TimeSlot_Start_text" dataDxfId="543"/>
    <tableColumn id="7" xr3:uid="{B7F58E4B-AD3A-42CA-A921-0114AA406631}" name="CBOC_Name_text" dataDxfId="542"/>
    <tableColumn id="8" xr3:uid="{67F5404A-5E75-40A8-8DC2-535356DFBB1C}" name="Room_Name_text" dataDxfId="541"/>
    <tableColumn id="30" xr3:uid="{EF65D51D-ED46-4207-8744-E68F8A56FBC1}" name="Room_number" dataDxfId="540"/>
    <tableColumn id="9" xr3:uid="{82F26B5F-DA5F-432D-AF72-62DDA702A0A1}" name="Room_Alias_text" dataDxfId="539"/>
    <tableColumn id="10" xr3:uid="{C7E1B420-2E4C-4C31-BF89-312CD9ED6F10}" name="Room_Extension_text" dataDxfId="538"/>
    <tableColumn id="11" xr3:uid="{978FFDBB-348E-4BDB-96A0-E7C8F4ED34E8}" name="Room_IPaddress_text" dataDxfId="537"/>
    <tableColumn id="12" xr3:uid="{8186466D-974C-4F3A-A8F9-D3B845D1CA5D}" name="TCT_Name_text" dataDxfId="536"/>
    <tableColumn id="13" xr3:uid="{1CE4E390-D671-4A59-80E8-82242FA55EEA}" name="TCT_Email_text" dataDxfId="535"/>
    <tableColumn id="14" xr3:uid="{6EFE8B88-6951-42B2-8193-061FA3EE1961}" name="TCT_Phone_text" dataDxfId="534"/>
    <tableColumn id="15" xr3:uid="{CC32B976-DCA0-4FB1-BC61-323D618894D9}" name="TCT_Cell_text" dataDxfId="533"/>
    <tableColumn id="29" xr3:uid="{4B313C79-56DA-4BCF-BC40-CB92894FCFF0}" name="TCT_Cell_number" dataDxfId="532"/>
    <tableColumn id="16" xr3:uid="{C9D456CE-9128-4210-B16C-6C03DA83C22B}" name="CNM_Name_text" dataDxfId="531"/>
    <tableColumn id="17" xr3:uid="{A7838617-79C6-4343-A165-02C895213F3C}" name="CNM_Email_text" dataDxfId="530"/>
    <tableColumn id="18" xr3:uid="{92635E33-308D-49F3-90E9-7D98535BD0B9}" name="CNM_Phone_text" dataDxfId="529"/>
    <tableColumn id="19" xr3:uid="{A86E7449-BECE-4628-8876-F3494685D1E1}" name="CNM_Cell_text" dataDxfId="528"/>
    <tableColumn id="28" xr3:uid="{CF738919-C744-4B99-821B-DB10A1EF418F}" name="CNM_Cell_number" dataDxfId="527"/>
    <tableColumn id="20" xr3:uid="{E4CDB221-E2A1-4BF9-973F-CFDE93C47DC5}" name="FTC_Name_text" dataDxfId="526"/>
    <tableColumn id="21" xr3:uid="{AB4BF3A0-2DED-4D78-9196-9FCDA5F41E3C}" name="FTC_Email_text" dataDxfId="525"/>
    <tableColumn id="23" xr3:uid="{27B47981-5A23-40E3-8D19-B89CBDA53B32}" name="FTC_Phone_text" dataDxfId="524"/>
    <tableColumn id="27" xr3:uid="{AC2F2B28-0404-4808-AD01-8BC881E45743}" name="FTC_Cell_text" dataDxfId="523"/>
    <tableColumn id="24" xr3:uid="{B8103B4F-9F6C-4F38-8882-45824F464B2E}" name="FTC_Cell_number" dataDxfId="522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0E37ECD-BC29-461B-9996-9F0FDC228862}" name="Kankakee103" displayName="Kankakee103" ref="A1:AB17" totalsRowShown="0" headerRowDxfId="521" dataDxfId="520">
  <autoFilter ref="A1:AB17" xr:uid="{81D2A44D-B5EE-4382-90B6-65DFDD20F788}"/>
  <tableColumns count="28">
    <tableColumn id="1" xr3:uid="{BB3D354B-CF5F-4857-ADB9-0596B8A5BDCB}" name="TimeSlot_text" dataDxfId="519"/>
    <tableColumn id="2" xr3:uid="{55B67DF7-C397-4F84-BF86-38AA8A576D2B}" name="Day_Monday_text" dataDxfId="518"/>
    <tableColumn id="3" xr3:uid="{91E210D0-A966-49A5-892E-073217EEB7E5}" name="Day_Tuesday_text" dataDxfId="517"/>
    <tableColumn id="4" xr3:uid="{609473E4-F41F-4E4E-B733-D724B8B841AF}" name="Day_Wednesday_text" dataDxfId="516"/>
    <tableColumn id="5" xr3:uid="{11B6FC97-3114-45A4-AFEE-AC242E5ECEDE}" name="Day_Thursday_text" dataDxfId="515"/>
    <tableColumn id="6" xr3:uid="{1B39BA5D-6749-4B26-AEBB-291BD9D0C256}" name="Day_Friday_text" dataDxfId="514"/>
    <tableColumn id="25" xr3:uid="{E19C454C-2B01-4F60-9040-E83D59046F30}" name="TimeSlot_Start_text" dataDxfId="513"/>
    <tableColumn id="7" xr3:uid="{EFEA4F0D-167B-4F87-829B-36ECAAD5676B}" name="CBOC_Name_text" dataDxfId="512"/>
    <tableColumn id="8" xr3:uid="{0851B990-7ABD-429D-97E7-35434B166FED}" name="Room_Name_text" dataDxfId="511"/>
    <tableColumn id="30" xr3:uid="{A2EBA13C-B828-4FC2-892F-D64964F0015E}" name="Room_number" dataDxfId="510"/>
    <tableColumn id="9" xr3:uid="{F6F2D093-9895-4D57-B247-AB2A1B512A72}" name="Room_Alias_text" dataDxfId="509"/>
    <tableColumn id="10" xr3:uid="{8E36E097-5D7A-4FEA-8CE7-C373B010AA99}" name="Room_Extension_text" dataDxfId="508"/>
    <tableColumn id="11" xr3:uid="{C747E730-4529-4610-BECB-308C22CD5BFE}" name="Room_IPaddress_text" dataDxfId="507"/>
    <tableColumn id="12" xr3:uid="{E00C84B0-32A2-4FFA-BAB8-AB4F352DE4D7}" name="TCT_Name_text" dataDxfId="506"/>
    <tableColumn id="13" xr3:uid="{9F5754EE-6337-4BEB-87ED-F7DC6BFBAF33}" name="TCT_Email_text" dataDxfId="505"/>
    <tableColumn id="14" xr3:uid="{02C4A0FA-433D-4522-A3D6-506343D2C2E7}" name="TCT_Phone_text" dataDxfId="504"/>
    <tableColumn id="15" xr3:uid="{BD273F0D-4671-4802-98EF-CAD646F9A733}" name="TCT_Cell_text" dataDxfId="503"/>
    <tableColumn id="29" xr3:uid="{7355C560-5B2A-41BC-9AE5-3DE5D8E1D74B}" name="TCT_Cell_number" dataDxfId="502"/>
    <tableColumn id="16" xr3:uid="{899E197E-3019-4371-B93E-6C878BA5D4B8}" name="CNM_Name_text" dataDxfId="501"/>
    <tableColumn id="17" xr3:uid="{832E6D1B-BEE7-4CD6-BE4B-5FBC96FCE0E9}" name="CNM_Email_text" dataDxfId="500"/>
    <tableColumn id="18" xr3:uid="{AA4B8D9C-C898-4A42-AC5E-2E3D4EDCE3B9}" name="CNM_Phone_text" dataDxfId="499"/>
    <tableColumn id="19" xr3:uid="{1B00A6E5-D21D-43F6-93D3-6ECD21BAA7FA}" name="CNM_Cell_text" dataDxfId="498"/>
    <tableColumn id="28" xr3:uid="{6E3B10E3-14CE-409F-9843-06B01A787264}" name="CNM_Cell_number" dataDxfId="497"/>
    <tableColumn id="20" xr3:uid="{70A14272-4A95-4B61-A6E4-E6D32497BD69}" name="FTC_Name_text" dataDxfId="496"/>
    <tableColumn id="21" xr3:uid="{A8D46F5C-324A-4DBB-9024-F8CF915F3268}" name="FTC_Email_text" dataDxfId="495"/>
    <tableColumn id="23" xr3:uid="{CCC4B827-7E4D-4141-95FF-8E96622A93B4}" name="FTC_Phone_text" dataDxfId="494"/>
    <tableColumn id="27" xr3:uid="{A66FEE26-800C-4683-8666-29A6F01F74C3}" name="FTC_Cell_text" dataDxfId="493"/>
    <tableColumn id="24" xr3:uid="{A75D62FD-59A0-494E-9369-885DFA26138F}" name="FTC_Cell_number" dataDxfId="492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652A1D0-3518-4117-BFAA-33B3A5B23B63}" name="Kankakee104" displayName="Kankakee104" ref="A1:AB17" totalsRowShown="0" headerRowDxfId="491" dataDxfId="490">
  <autoFilter ref="A1:AB17" xr:uid="{81D2A44D-B5EE-4382-90B6-65DFDD20F788}"/>
  <tableColumns count="28">
    <tableColumn id="1" xr3:uid="{6539DAD0-4222-4218-B8C5-523C2005E2E7}" name="TimeSlot_text" dataDxfId="489"/>
    <tableColumn id="2" xr3:uid="{D8F9589E-6106-43E7-8333-1314C0FB3D19}" name="Day_Monday_text" dataDxfId="488"/>
    <tableColumn id="3" xr3:uid="{08C128DA-E4F7-4065-B433-806AD5DECFDE}" name="Day_Tuesday_text" dataDxfId="487"/>
    <tableColumn id="4" xr3:uid="{17812938-25DD-4B54-88AE-860FF5D1B0E6}" name="Day_Wednesday_text" dataDxfId="486"/>
    <tableColumn id="5" xr3:uid="{4CB041A3-E046-44DD-9342-2247BDF6D1BE}" name="Day_Thursday_text" dataDxfId="485"/>
    <tableColumn id="6" xr3:uid="{2F551152-DDB5-4C43-B5B7-67709E0B0846}" name="Day_Friday_text" dataDxfId="484"/>
    <tableColumn id="25" xr3:uid="{01014A50-E9CF-4EAF-9B8E-ABD7FB4A10FE}" name="TimeSlot_Start_text" dataDxfId="483"/>
    <tableColumn id="7" xr3:uid="{A47AD7FB-77F0-489D-9ABB-1C36751BC0AE}" name="CBOC_Name_text" dataDxfId="482"/>
    <tableColumn id="8" xr3:uid="{2E069BA1-E0E3-499B-AD41-9FDE9FD85122}" name="Room_Name_text" dataDxfId="481"/>
    <tableColumn id="30" xr3:uid="{9F3E1FD7-2A45-44B4-B5FF-912DA4EBABC7}" name="Room_number" dataDxfId="480"/>
    <tableColumn id="9" xr3:uid="{B7B4EE06-452F-4619-847A-F3913DE4B904}" name="Room_Alias_text" dataDxfId="479"/>
    <tableColumn id="10" xr3:uid="{292F9FEC-83B4-4316-BAD6-5FA66EC477D4}" name="Room_Extension_text" dataDxfId="478"/>
    <tableColumn id="11" xr3:uid="{F4B6EF00-B189-4739-9310-774846616681}" name="Room_IPaddress_text" dataDxfId="477"/>
    <tableColumn id="12" xr3:uid="{D81E024A-FF05-4691-B31E-AB713D44AD19}" name="TCT_Name_text" dataDxfId="476"/>
    <tableColumn id="13" xr3:uid="{B53FE9D5-B21D-4F52-811C-EA9E62B1800B}" name="TCT_Email_text" dataDxfId="475"/>
    <tableColumn id="14" xr3:uid="{4412E87F-5EE7-4524-B212-20ECA12E1B83}" name="TCT_Phone_text" dataDxfId="474"/>
    <tableColumn id="15" xr3:uid="{4A937B1E-0C45-4B48-B3AC-AB2F5CDAE745}" name="TCT_Cell_text" dataDxfId="473"/>
    <tableColumn id="29" xr3:uid="{D2720712-A7D8-4313-BA29-073F59C2595D}" name="TCT_Cell_number" dataDxfId="472"/>
    <tableColumn id="16" xr3:uid="{47AE90DA-59BD-4771-B003-D0B29705278C}" name="CNM_Name_text" dataDxfId="471"/>
    <tableColumn id="17" xr3:uid="{DB96A696-9FD8-4EDD-8FAD-AA81DB459473}" name="CNM_Email_text" dataDxfId="470"/>
    <tableColumn id="18" xr3:uid="{55DCA9F6-A395-4AB7-9397-EF607FE380E8}" name="CNM_Phone_text" dataDxfId="469"/>
    <tableColumn id="19" xr3:uid="{5B7AFD15-6D14-4DB1-969C-9B89B9E9549D}" name="CNM_Cell_text" dataDxfId="468"/>
    <tableColumn id="28" xr3:uid="{A2E76300-8BB9-495F-A50B-6005512874C3}" name="CNM_Cell_number" dataDxfId="467"/>
    <tableColumn id="20" xr3:uid="{A72A2902-7A6C-4598-88A7-B6485057DFC6}" name="FTC_Name_text" dataDxfId="466"/>
    <tableColumn id="21" xr3:uid="{616BBCD4-8CFE-4190-A35A-D2D955DA1544}" name="FTC_Email_text" dataDxfId="465"/>
    <tableColumn id="23" xr3:uid="{EE816CAC-FFA8-4470-A8D2-6364AF44B0B4}" name="FTC_Phone_text" dataDxfId="464"/>
    <tableColumn id="27" xr3:uid="{98E1EFCA-DACC-4A08-BB0A-F924F1D1E6FE}" name="FTC_Cell_text" dataDxfId="463"/>
    <tableColumn id="24" xr3:uid="{0997B492-BBE1-4347-B2E8-D75E78343110}" name="FTC_Cell_number" dataDxfId="462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8D3F36F-5122-4435-BFB4-D859C1690F54}" name="Kankakee10420" displayName="Kankakee10420" ref="A1:AB17" totalsRowShown="0" headerRowDxfId="461" dataDxfId="460">
  <autoFilter ref="A1:AB17" xr:uid="{81D2A44D-B5EE-4382-90B6-65DFDD20F788}"/>
  <tableColumns count="28">
    <tableColumn id="1" xr3:uid="{AD84FE9D-B182-4A07-B828-BD86D530419F}" name="TimeSlot_text" dataDxfId="459"/>
    <tableColumn id="2" xr3:uid="{BA5AE0D3-C66D-43A2-9F75-5237F5837755}" name="Day_Monday_text" dataDxfId="458"/>
    <tableColumn id="3" xr3:uid="{8C78F782-07CE-4D98-B613-5D9C1F76A447}" name="Day_Tuesday_text" dataDxfId="457"/>
    <tableColumn id="4" xr3:uid="{0ECE149B-BB41-4ECF-8FCB-CE5384E21D6A}" name="Day_Wednesday_text" dataDxfId="456"/>
    <tableColumn id="5" xr3:uid="{E00898C0-421C-40EF-987F-77C0D24D815C}" name="Day_Thursday_text" dataDxfId="455"/>
    <tableColumn id="6" xr3:uid="{3AD8DEB7-2663-40C3-AB31-4042224E66CA}" name="Day_Friday_text" dataDxfId="454"/>
    <tableColumn id="25" xr3:uid="{04A24419-EBEA-4839-8974-CB2C2B9AD554}" name="TimeSlot_Start_text" dataDxfId="453"/>
    <tableColumn id="7" xr3:uid="{35134A83-E525-419A-876A-2E77B8558ED2}" name="CBOC_Name_text" dataDxfId="452"/>
    <tableColumn id="8" xr3:uid="{DCCE18C1-A221-45CF-9971-5271868917D5}" name="Room_Name_text" dataDxfId="451"/>
    <tableColumn id="30" xr3:uid="{B8BE1D6E-BC80-4500-B6B8-90B28805D314}" name="Room_number" dataDxfId="450"/>
    <tableColumn id="9" xr3:uid="{BFCCA879-F857-4D05-B9B8-C9049210E71E}" name="Room_Alias_text" dataDxfId="449"/>
    <tableColumn id="10" xr3:uid="{F2537333-17DD-4D4C-8F67-ED8B6FAE8A02}" name="Room_Extension_text" dataDxfId="448"/>
    <tableColumn id="11" xr3:uid="{1C96CD91-694D-42DA-9A08-8631EEB13DC3}" name="Room_IPaddress_text" dataDxfId="447"/>
    <tableColumn id="12" xr3:uid="{1E0654BD-856E-4752-84E4-0401CA04D710}" name="TCT_Name_text" dataDxfId="446"/>
    <tableColumn id="13" xr3:uid="{1C6F1FA2-4F89-42ED-BA95-FD4EDB27B482}" name="TCT_Email_text" dataDxfId="445"/>
    <tableColumn id="14" xr3:uid="{CDE4D4D4-50AA-4B3C-A356-E4E5BCF96908}" name="TCT_Phone_text" dataDxfId="444"/>
    <tableColumn id="15" xr3:uid="{330E58DB-24CD-4FE9-AF5A-26660148780B}" name="TCT_Cell_text" dataDxfId="443"/>
    <tableColumn id="29" xr3:uid="{B61D22D5-72FB-458E-91E8-9B119DE5EE82}" name="TCT_Cell_number" dataDxfId="442"/>
    <tableColumn id="16" xr3:uid="{D793E750-02BD-4068-80A9-37D6DEC0295F}" name="CNM_Name_text" dataDxfId="441"/>
    <tableColumn id="17" xr3:uid="{25C73623-5532-4FDB-8C01-1F796915975F}" name="CNM_Email_text" dataDxfId="440"/>
    <tableColumn id="18" xr3:uid="{0AD7CB59-6AFB-4D5C-B1DA-3EDF00C61335}" name="CNM_Phone_text" dataDxfId="439"/>
    <tableColumn id="19" xr3:uid="{78408845-409C-481A-A6EB-23BDC7466680}" name="CNM_Cell_text" dataDxfId="438"/>
    <tableColumn id="28" xr3:uid="{B6721A44-12D9-4FEE-91EE-4C6E2C4F3712}" name="CNM_Cell_number" dataDxfId="437"/>
    <tableColumn id="20" xr3:uid="{14BBDD9C-718A-41C6-B909-E89E06CBE5FD}" name="FTC_Name_text" dataDxfId="436"/>
    <tableColumn id="21" xr3:uid="{9AA94FCD-79CA-434E-875A-C7651053D925}" name="FTC_Email_text" dataDxfId="435"/>
    <tableColumn id="23" xr3:uid="{D240B7C9-A425-498A-A6D9-5499CC0B6C8E}" name="FTC_Phone_text" dataDxfId="434"/>
    <tableColumn id="27" xr3:uid="{FD8B9620-239C-46D6-A9C1-E4E3689DE1BC}" name="FTC_Cell_text" dataDxfId="433"/>
    <tableColumn id="24" xr3:uid="{364F6D3B-A3BE-4B96-A9F8-670A511BA3C8}" name="FTC_Cell_number" dataDxfId="432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26A7AA9-6411-4049-BB7B-B9737B53BC82}" name="Lasalle130" displayName="Lasalle130" ref="A1:AB17" totalsRowShown="0" headerRowDxfId="431" dataDxfId="430">
  <autoFilter ref="A1:AB17" xr:uid="{81D2A44D-B5EE-4382-90B6-65DFDD20F788}"/>
  <tableColumns count="28">
    <tableColumn id="1" xr3:uid="{F4E99683-0B5A-493C-8CA2-36262EBD4AD2}" name="TimeSlot_text" dataDxfId="429"/>
    <tableColumn id="2" xr3:uid="{1F8850D8-C321-402D-9B67-03FD18FECF69}" name="Day_Monday_text" dataDxfId="428"/>
    <tableColumn id="3" xr3:uid="{9179BC2E-A865-480F-8C42-032AC15E0978}" name="Day_Tuesday_text" dataDxfId="427"/>
    <tableColumn id="4" xr3:uid="{4F847BC6-14D4-4A0A-844B-E2206FF6AA51}" name="Day_Wednesday_text" dataDxfId="426"/>
    <tableColumn id="5" xr3:uid="{F406BD1D-721A-4F49-AA7D-0F9B7D22B9DA}" name="Day_Thursday_text" dataDxfId="425"/>
    <tableColumn id="6" xr3:uid="{ECCB9FA6-584C-49B9-82E2-D4C4539EB99C}" name="Day_Friday_text" dataDxfId="424"/>
    <tableColumn id="25" xr3:uid="{5C03838B-4087-418B-86AF-DDCD4649C982}" name="TimeSlot_Start_text" dataDxfId="423"/>
    <tableColumn id="7" xr3:uid="{FE6B85CB-0FD6-4DB9-BC99-285359E8D9ED}" name="CBOC_Name_text" dataDxfId="422"/>
    <tableColumn id="8" xr3:uid="{61A1BD7B-F259-4629-BDAD-B53CA2890150}" name="Room_Name_text" dataDxfId="421"/>
    <tableColumn id="30" xr3:uid="{793F753A-ED3A-4C26-9387-84A3689F26D1}" name="Room_number" dataDxfId="420"/>
    <tableColumn id="9" xr3:uid="{03470BEE-E080-41C0-81D4-F20E6AD766FD}" name="Room_Alias_text" dataDxfId="419"/>
    <tableColumn id="10" xr3:uid="{00C356AF-0116-4AFC-806A-ED506CC43738}" name="Room_Extension_text" dataDxfId="418"/>
    <tableColumn id="11" xr3:uid="{694EA2D5-F965-41BA-8D40-7D40AB196129}" name="Room_IPaddress_text" dataDxfId="417"/>
    <tableColumn id="12" xr3:uid="{6BA4AD80-0F67-437A-A230-1D266D426542}" name="TCT_Name_text" dataDxfId="416"/>
    <tableColumn id="13" xr3:uid="{3300825A-3AFA-46FC-89C1-F8E66DD66EDF}" name="TCT_Email_text" dataDxfId="415"/>
    <tableColumn id="14" xr3:uid="{103339C8-D346-4228-AB42-1D2398EB77D9}" name="TCT_Phone_text" dataDxfId="414"/>
    <tableColumn id="15" xr3:uid="{0B84734A-587A-43FE-8E55-4FF035E87920}" name="TCT_Cell_text" dataDxfId="413"/>
    <tableColumn id="29" xr3:uid="{9E83B8B2-E159-4243-99E4-13D3C33DAD75}" name="TCT_Cell_number" dataDxfId="412"/>
    <tableColumn id="16" xr3:uid="{C8D8AAF9-1CE8-4A9B-BE67-B5862E9DB32C}" name="CNM_Name_text" dataDxfId="411"/>
    <tableColumn id="17" xr3:uid="{3A751C15-0449-4C28-9069-D9C2C1C14B3C}" name="CNM_Email_text" dataDxfId="410"/>
    <tableColumn id="18" xr3:uid="{C7631A95-24EA-4EDD-9710-577983D97DE5}" name="CNM_Phone_text" dataDxfId="409"/>
    <tableColumn id="19" xr3:uid="{F27D0336-9232-4EA2-8893-91B9ECF88361}" name="CNM_Cell_text" dataDxfId="408"/>
    <tableColumn id="28" xr3:uid="{6101A43A-F92E-4908-82C4-50B5A50F1F34}" name="CNM_Cell_number" dataDxfId="407"/>
    <tableColumn id="20" xr3:uid="{CE9DC769-28FA-4A6A-8D57-93A2ECD9E06F}" name="FTC_Name_text" dataDxfId="406"/>
    <tableColumn id="21" xr3:uid="{1C9D35E5-86F8-4D1A-8A4B-4CD1B70F1883}" name="FTC_Email_text" dataDxfId="405"/>
    <tableColumn id="23" xr3:uid="{6053F54C-1EBF-4A10-BF3E-0F9AC30ECBD6}" name="FTC_Phone_text" dataDxfId="404"/>
    <tableColumn id="27" xr3:uid="{0C98ACE2-9161-4C08-9A37-AC43D9197456}" name="FTC_Cell_text" dataDxfId="403"/>
    <tableColumn id="24" xr3:uid="{361B8D70-9026-4C49-9623-A12941CFC802}" name="FTC_Cell_number" dataDxfId="402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FFB107B-716A-4736-A784-D852445D74BF}" name="Lasalle129" displayName="Lasalle129" ref="A1:AB17" totalsRowShown="0" headerRowDxfId="401" dataDxfId="400">
  <autoFilter ref="A1:AB17" xr:uid="{81D2A44D-B5EE-4382-90B6-65DFDD20F788}"/>
  <tableColumns count="28">
    <tableColumn id="1" xr3:uid="{A73DB8F2-BFC9-4AE1-9471-C9A5D25FE3AA}" name="TimeSlot_text" dataDxfId="399"/>
    <tableColumn id="2" xr3:uid="{53F0227A-5A06-4AA9-9FA7-3B9C32D8FC97}" name="Day_Monday_text" dataDxfId="398"/>
    <tableColumn id="3" xr3:uid="{62CEF1CE-40C5-4D18-B14C-2150589BD936}" name="Day_Tuesday_text" dataDxfId="397"/>
    <tableColumn id="4" xr3:uid="{EA263B1F-826D-4751-BC93-E18DD16A4B47}" name="Day_Wednesday_text" dataDxfId="396"/>
    <tableColumn id="5" xr3:uid="{8C8787D3-84FC-497C-9135-B70872630611}" name="Day_Thursday_text" dataDxfId="395"/>
    <tableColumn id="6" xr3:uid="{2CEABBC0-F23F-4388-A5E0-FB0AA540A23F}" name="Day_Friday_text" dataDxfId="394"/>
    <tableColumn id="25" xr3:uid="{0CEDACF7-97C8-4F86-9612-C0341F41F304}" name="TimeSlot_Start_text" dataDxfId="393"/>
    <tableColumn id="7" xr3:uid="{AA36BFA5-C6EA-4AB5-A45B-7D1152C7071F}" name="CBOC_Name_text" dataDxfId="392"/>
    <tableColumn id="8" xr3:uid="{EF0B10D9-24D4-4FB1-BD81-FD6EAA5E7887}" name="Room_Name_text" dataDxfId="391"/>
    <tableColumn id="30" xr3:uid="{81A2F902-4D6C-45CF-B1A2-8C7BA4565042}" name="Room_number" dataDxfId="390"/>
    <tableColumn id="9" xr3:uid="{52F25278-5D48-4DBD-B4B7-09965F0D8878}" name="Room_Alias_text" dataDxfId="389"/>
    <tableColumn id="10" xr3:uid="{B137BB14-6DB9-4B2D-B877-D78320DF64F2}" name="Room_Extension_text" dataDxfId="388"/>
    <tableColumn id="11" xr3:uid="{ACDF0127-933F-4D15-8077-D65A5694CE84}" name="Room_IPaddress_text" dataDxfId="387"/>
    <tableColumn id="12" xr3:uid="{9F408B89-BAA1-4F22-B99B-DF07720FEDFD}" name="TCT_Name_text" dataDxfId="386"/>
    <tableColumn id="13" xr3:uid="{808760E2-4857-495C-B777-539AF5A04A79}" name="TCT_Email_text" dataDxfId="385"/>
    <tableColumn id="14" xr3:uid="{7659F6F9-A6BA-4AE2-880A-F2CC4EAAF8A7}" name="TCT_Phone_text" dataDxfId="384"/>
    <tableColumn id="15" xr3:uid="{79C9A0B3-49FA-4E91-9432-C7652F403DA3}" name="TCT_Cell_text" dataDxfId="383"/>
    <tableColumn id="29" xr3:uid="{98D45B89-8D3A-4689-BE22-818299BD398C}" name="TCT_Cell_number" dataDxfId="382"/>
    <tableColumn id="16" xr3:uid="{3F9B4687-2E9B-467F-BF60-269793C6AAFD}" name="CNM_Name_text" dataDxfId="381"/>
    <tableColumn id="17" xr3:uid="{7D7C5D0D-F369-4EED-AAE7-13CFDA497F8D}" name="CNM_Email_text" dataDxfId="380"/>
    <tableColumn id="18" xr3:uid="{12E64FE3-5C49-4A1D-A955-59BE86DC52D0}" name="CNM_Phone_text" dataDxfId="379"/>
    <tableColumn id="19" xr3:uid="{F92EC9E8-612A-4811-9AE1-522F38EB560F}" name="CNM_Cell_text" dataDxfId="378"/>
    <tableColumn id="28" xr3:uid="{79142378-933C-4505-B6E7-EF148E5C3815}" name="CNM_Cell_number" dataDxfId="377"/>
    <tableColumn id="20" xr3:uid="{6FA1F848-DADF-47D8-8775-E68ABE6BC5BE}" name="FTC_Name_text" dataDxfId="376"/>
    <tableColumn id="21" xr3:uid="{E44FFDDE-88C7-42E6-938F-472994344E5C}" name="FTC_Email_text" dataDxfId="375"/>
    <tableColumn id="23" xr3:uid="{1D52A99D-4AF9-4C49-A21F-D35E3FD27656}" name="FTC_Phone_text" dataDxfId="374"/>
    <tableColumn id="27" xr3:uid="{45237042-0E7C-46A9-B7BF-31116CE8DDFA}" name="FTC_Cell_text" dataDxfId="373"/>
    <tableColumn id="24" xr3:uid="{A67B57C1-A113-47EC-873E-D197DD40FBFA}" name="FTC_Cell_number" dataDxfId="372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C6727D2-88A6-4550-AEF6-789B417D2A3E}" name="Lasalle128" displayName="Lasalle128" ref="A1:AB17" totalsRowShown="0" headerRowDxfId="371" dataDxfId="370">
  <autoFilter ref="A1:AB17" xr:uid="{81D2A44D-B5EE-4382-90B6-65DFDD20F788}"/>
  <tableColumns count="28">
    <tableColumn id="1" xr3:uid="{06EA4AB4-8268-4EE2-8B95-8B9BC032D432}" name="TimeSlot_text" dataDxfId="369"/>
    <tableColumn id="2" xr3:uid="{29673717-30CA-4B33-81DF-AE3F0CC42410}" name="Day_Monday_text" dataDxfId="368"/>
    <tableColumn id="3" xr3:uid="{15DB211C-DF3D-4B1A-B28F-8A3FBF25E620}" name="Day_Tuesday_text" dataDxfId="367"/>
    <tableColumn id="4" xr3:uid="{6DD700BF-749A-439A-87C3-30ABB6E8BE63}" name="Day_Wednesday_text" dataDxfId="366"/>
    <tableColumn id="5" xr3:uid="{EF05F262-BC78-49D6-ACAE-1B2AC10D039D}" name="Day_Thursday_text" dataDxfId="365"/>
    <tableColumn id="6" xr3:uid="{B61EF67B-385F-43C2-A7E0-714D35F7C14B}" name="Day_Friday_text" dataDxfId="364"/>
    <tableColumn id="25" xr3:uid="{FC6AF8DA-E6C3-44E3-8A7B-C2DC2F78023F}" name="TimeSlot_Start_text" dataDxfId="363"/>
    <tableColumn id="7" xr3:uid="{CC8D57E9-D727-4F63-8F66-21F379E31EFA}" name="CBOC_Name_text" dataDxfId="362"/>
    <tableColumn id="8" xr3:uid="{1846FC70-D434-4B6A-8E71-E0E26483E243}" name="Room_Name_text" dataDxfId="361"/>
    <tableColumn id="30" xr3:uid="{C398B863-3019-4A94-9643-E573FC8B6950}" name="Room_number" dataDxfId="360"/>
    <tableColumn id="9" xr3:uid="{2A3E2961-8A8E-40FE-983C-315C9C79F725}" name="Room_Alias_text" dataDxfId="359"/>
    <tableColumn id="10" xr3:uid="{86DC2A0A-2A49-4A63-A28F-F261BD2018D4}" name="Room_Extension_text" dataDxfId="358"/>
    <tableColumn id="11" xr3:uid="{15BE348F-F4B0-444F-9DB8-574D4B18CDCD}" name="Room_IPaddress_text" dataDxfId="357"/>
    <tableColumn id="12" xr3:uid="{C132957C-EFEF-4D57-8691-3FFFEA58C82A}" name="TCT_Name_text" dataDxfId="356"/>
    <tableColumn id="13" xr3:uid="{4FF60CA0-ADF8-471C-8186-B4A6A4D8DDAD}" name="TCT_Email_text" dataDxfId="355"/>
    <tableColumn id="14" xr3:uid="{D769EBEE-BA6B-4A2B-BB87-C50E1DF806EF}" name="TCT_Phone_text" dataDxfId="354"/>
    <tableColumn id="15" xr3:uid="{4157652D-DD48-4AB6-A934-17EFAF4832CB}" name="TCT_Cell_text" dataDxfId="353"/>
    <tableColumn id="29" xr3:uid="{41567EE1-4036-414E-82DA-E4352DE2D71B}" name="TCT_Cell_number" dataDxfId="352"/>
    <tableColumn id="16" xr3:uid="{94D1F58E-14C3-459E-823C-B7E7EE31FD30}" name="CNM_Name_text" dataDxfId="351"/>
    <tableColumn id="17" xr3:uid="{7BA2B51C-C0A1-452F-B4D5-C0A9EB9594D1}" name="CNM_Email_text" dataDxfId="350"/>
    <tableColumn id="18" xr3:uid="{5065A88F-8250-4EA0-8919-9835265321C2}" name="CNM_Phone_text" dataDxfId="349"/>
    <tableColumn id="19" xr3:uid="{C629EBFF-3044-4769-AEE5-BF718475DF45}" name="CNM_Cell_text" dataDxfId="348"/>
    <tableColumn id="28" xr3:uid="{C3D1303A-39D7-4349-A5E8-67469F3986DB}" name="CNM_Cell_number" dataDxfId="347"/>
    <tableColumn id="20" xr3:uid="{2EDF9442-5E7B-41B0-8973-D5F9749FF07B}" name="FTC_Name_text" dataDxfId="346"/>
    <tableColumn id="21" xr3:uid="{9AA7203E-75F1-47E7-B7B9-E2BFD3DF9BA3}" name="FTC_Email_text" dataDxfId="345"/>
    <tableColumn id="23" xr3:uid="{77FC5E20-908C-4EE5-9196-98932F431E3E}" name="FTC_Phone_text" dataDxfId="344"/>
    <tableColumn id="27" xr3:uid="{A01A0FBD-AFA5-418F-9DE9-AC069A11ABAF}" name="FTC_Cell_text" dataDxfId="343"/>
    <tableColumn id="24" xr3:uid="{68AAB83E-D543-414A-9E12-DA8E3286F4A5}" name="FTC_Cell_number" dataDxfId="342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2D65B53-E6CD-4E33-876A-D833ADA0666A}" name="Lasalle127" displayName="Lasalle127" ref="A1:AB17" totalsRowShown="0" headerRowDxfId="341" dataDxfId="340">
  <autoFilter ref="A1:AB17" xr:uid="{81D2A44D-B5EE-4382-90B6-65DFDD20F788}"/>
  <tableColumns count="28">
    <tableColumn id="1" xr3:uid="{E943DC57-D424-4AD4-8217-C20736D3BB11}" name="TimeSlot_text" dataDxfId="339"/>
    <tableColumn id="2" xr3:uid="{2D515F98-FC2A-4AAA-8283-DD20735106D5}" name="Day_Monday_text" dataDxfId="338"/>
    <tableColumn id="3" xr3:uid="{EB1840CF-34D4-4F1C-BE65-6C71F809ABA1}" name="Day_Tuesday_text" dataDxfId="337"/>
    <tableColumn id="4" xr3:uid="{4AC156AE-62C4-4394-A9DC-D1EB4ABE28C3}" name="Day_Wednesday_text" dataDxfId="336"/>
    <tableColumn id="5" xr3:uid="{E283270B-AE43-4CE0-BB33-B34EE5BD293A}" name="Day_Thursday_text" dataDxfId="335"/>
    <tableColumn id="6" xr3:uid="{0A35EBC0-FE85-4369-A196-43FE5F34C6A0}" name="Day_Friday_text" dataDxfId="334"/>
    <tableColumn id="25" xr3:uid="{174366F3-CAB8-4125-B67F-1F8A86CC2618}" name="TimeSlot_Start_text" dataDxfId="333"/>
    <tableColumn id="7" xr3:uid="{258A2F13-A1F7-4196-A43F-BB8998E8D81A}" name="CBOC_Name_text" dataDxfId="332"/>
    <tableColumn id="8" xr3:uid="{7AB7E30D-2F8D-4955-87D4-5EE863052841}" name="Room_Name_text" dataDxfId="331"/>
    <tableColumn id="30" xr3:uid="{03B9C502-BE82-4542-BB91-DEB2B3579065}" name="Room_number" dataDxfId="330"/>
    <tableColumn id="9" xr3:uid="{AB176733-D7EE-48AC-B66B-26D24CEA5ADB}" name="Room_Alias_text" dataDxfId="329"/>
    <tableColumn id="10" xr3:uid="{56D7206D-F659-473A-BE61-C5010771DCF0}" name="Room_Extension_text" dataDxfId="328"/>
    <tableColumn id="11" xr3:uid="{57C91140-157C-4E1E-875C-D1B4D28EE62D}" name="Room_IPaddress_text" dataDxfId="327"/>
    <tableColumn id="12" xr3:uid="{ED4BAE37-D16B-4569-9FA6-BF409BF6F52D}" name="TCT_Name_text" dataDxfId="326"/>
    <tableColumn id="13" xr3:uid="{BBA1A36A-7E72-4D83-9199-70401ED53F01}" name="TCT_Email_text" dataDxfId="325"/>
    <tableColumn id="14" xr3:uid="{413EF2DA-AED3-4BA4-9E63-D5B770F74A53}" name="TCT_Phone_text" dataDxfId="324"/>
    <tableColumn id="15" xr3:uid="{75008F39-D725-44AC-B139-E79388374D58}" name="TCT_Cell_text" dataDxfId="323"/>
    <tableColumn id="29" xr3:uid="{B33B3D3C-98B9-4898-A6FD-8D5B7FA97F65}" name="TCT_Cell_number" dataDxfId="322"/>
    <tableColumn id="16" xr3:uid="{3E8ACF5D-375B-4C10-8BA1-295C1639B6D4}" name="CNM_Name_text" dataDxfId="321"/>
    <tableColumn id="17" xr3:uid="{F6D92D86-DD58-4365-8487-7140F0A3118C}" name="CNM_Email_text" dataDxfId="320"/>
    <tableColumn id="18" xr3:uid="{5C82A7FD-AFA0-4842-8601-6967ABD89A77}" name="CNM_Phone_text" dataDxfId="319"/>
    <tableColumn id="19" xr3:uid="{6BCB342A-9419-4C15-9078-0E71F52207AA}" name="CNM_Cell_text" dataDxfId="318"/>
    <tableColumn id="28" xr3:uid="{80B92BA4-97F5-4529-AB89-75F2130D3CAB}" name="CNM_Cell_number" dataDxfId="317"/>
    <tableColumn id="20" xr3:uid="{28D07897-44BA-4DDC-A3B0-8F1C7A2611C6}" name="FTC_Name_text" dataDxfId="316"/>
    <tableColumn id="21" xr3:uid="{3CE03FC5-2280-4F9D-A471-E38DCA2FEFA1}" name="FTC_Email_text" dataDxfId="315"/>
    <tableColumn id="23" xr3:uid="{B6AD8E5A-3097-4EAE-9554-A02C1E312F3A}" name="FTC_Phone_text" dataDxfId="314"/>
    <tableColumn id="27" xr3:uid="{921EC2D8-95E5-4444-8080-F83DF3318239}" name="FTC_Cell_text" dataDxfId="313"/>
    <tableColumn id="24" xr3:uid="{6A563CFB-ED3C-49D9-BB15-701B960BEBA8}" name="FTC_Cell_number" dataDxfId="31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Barbara.wishart@evn.va.gov" TargetMode="External"/><Relationship Id="rId7" Type="http://schemas.openxmlformats.org/officeDocument/2006/relationships/hyperlink" Target="mailto:Zachary.jones@evn.va.gov" TargetMode="External"/><Relationship Id="rId2" Type="http://schemas.openxmlformats.org/officeDocument/2006/relationships/hyperlink" Target="mailto:megan.mitcheff@evn.va.gov" TargetMode="External"/><Relationship Id="rId1" Type="http://schemas.openxmlformats.org/officeDocument/2006/relationships/hyperlink" Target="mailto:lisa.korpolinski@evn.va.gov" TargetMode="External"/><Relationship Id="rId6" Type="http://schemas.openxmlformats.org/officeDocument/2006/relationships/hyperlink" Target="mailto:Rommel.Pardo@evn.va.gov" TargetMode="External"/><Relationship Id="rId5" Type="http://schemas.openxmlformats.org/officeDocument/2006/relationships/hyperlink" Target="mailto:Ruben.Holandes@evn.va.gov" TargetMode="External"/><Relationship Id="rId4" Type="http://schemas.openxmlformats.org/officeDocument/2006/relationships/hyperlink" Target="mailto:robert.jusino@evn.va.gov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iffany.richmond@va.gov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M24"/>
  <sheetViews>
    <sheetView workbookViewId="0">
      <pane ySplit="1" topLeftCell="A5" activePane="bottomLeft" state="frozen"/>
      <selection pane="bottomLeft" activeCell="B6" sqref="B6"/>
    </sheetView>
  </sheetViews>
  <sheetFormatPr defaultRowHeight="15.75" thickBottom="1" x14ac:dyDescent="0.3"/>
  <cols>
    <col min="1" max="2" width="9.140625" style="97"/>
    <col min="3" max="3" width="28.7109375" style="97" customWidth="1"/>
    <col min="4" max="4" width="24.28515625" style="97" customWidth="1"/>
    <col min="5" max="5" width="23.140625" style="97" customWidth="1"/>
    <col min="6" max="6" width="18.5703125" style="97" customWidth="1"/>
    <col min="7" max="7" width="25.42578125" style="97" customWidth="1"/>
    <col min="8" max="8" width="27.42578125" style="97" customWidth="1"/>
    <col min="9" max="9" width="30" style="97" customWidth="1"/>
    <col min="10" max="10" width="31.85546875" style="97" customWidth="1"/>
    <col min="11" max="11" width="10.85546875" customWidth="1"/>
  </cols>
  <sheetData>
    <row r="1" spans="1:39" thickBot="1" x14ac:dyDescent="0.3">
      <c r="A1" s="49" t="s">
        <v>0</v>
      </c>
      <c r="B1" s="49" t="s">
        <v>1</v>
      </c>
      <c r="C1" s="49" t="s">
        <v>2</v>
      </c>
      <c r="D1" s="50" t="s">
        <v>3</v>
      </c>
      <c r="E1" s="50" t="s">
        <v>4</v>
      </c>
      <c r="F1" s="51" t="s">
        <v>5</v>
      </c>
      <c r="G1" s="52" t="s">
        <v>6</v>
      </c>
      <c r="H1" s="53" t="s">
        <v>7</v>
      </c>
      <c r="I1" s="51" t="s">
        <v>8</v>
      </c>
      <c r="J1" s="51" t="s">
        <v>9</v>
      </c>
    </row>
    <row r="2" spans="1:39" ht="45.75" thickBot="1" x14ac:dyDescent="0.3">
      <c r="A2" s="54">
        <v>1</v>
      </c>
      <c r="B2" s="54" t="s">
        <v>10</v>
      </c>
      <c r="C2" s="54" t="s">
        <v>11</v>
      </c>
      <c r="D2" s="55" t="s">
        <v>12</v>
      </c>
      <c r="E2" s="56" t="s">
        <v>13</v>
      </c>
      <c r="F2" s="55" t="s">
        <v>14</v>
      </c>
      <c r="G2" s="57" t="s">
        <v>15</v>
      </c>
      <c r="H2" s="58" t="s">
        <v>16</v>
      </c>
      <c r="I2" s="55" t="s">
        <v>17</v>
      </c>
      <c r="J2" s="59" t="s">
        <v>18</v>
      </c>
      <c r="K2" s="103" t="s">
        <v>19</v>
      </c>
    </row>
    <row r="3" spans="1:39" thickBot="1" x14ac:dyDescent="0.3">
      <c r="A3" s="60">
        <v>1</v>
      </c>
      <c r="B3" s="60" t="s">
        <v>10</v>
      </c>
      <c r="C3" s="60" t="s">
        <v>20</v>
      </c>
      <c r="D3" s="61" t="s">
        <v>21</v>
      </c>
      <c r="E3" s="62" t="s">
        <v>22</v>
      </c>
      <c r="F3" s="61" t="s">
        <v>23</v>
      </c>
      <c r="G3" s="63" t="s">
        <v>24</v>
      </c>
      <c r="H3" s="64" t="s">
        <v>16</v>
      </c>
      <c r="I3" s="61" t="s">
        <v>25</v>
      </c>
      <c r="J3" s="65" t="s">
        <v>18</v>
      </c>
    </row>
    <row r="4" spans="1:39" thickBot="1" x14ac:dyDescent="0.3">
      <c r="A4" s="54">
        <v>1</v>
      </c>
      <c r="B4" s="54" t="s">
        <v>10</v>
      </c>
      <c r="C4" s="54" t="s">
        <v>20</v>
      </c>
      <c r="D4" s="55" t="s">
        <v>26</v>
      </c>
      <c r="E4" s="56" t="s">
        <v>22</v>
      </c>
      <c r="F4" s="55" t="s">
        <v>27</v>
      </c>
      <c r="G4" s="57" t="s">
        <v>28</v>
      </c>
      <c r="H4" s="58" t="s">
        <v>16</v>
      </c>
      <c r="I4" s="55" t="s">
        <v>29</v>
      </c>
      <c r="J4" s="59" t="s">
        <v>30</v>
      </c>
    </row>
    <row r="5" spans="1:39" ht="26.25" thickBot="1" x14ac:dyDescent="0.3">
      <c r="A5" s="60">
        <v>1</v>
      </c>
      <c r="B5" s="60" t="s">
        <v>10</v>
      </c>
      <c r="C5" s="60" t="s">
        <v>20</v>
      </c>
      <c r="D5" s="61" t="s">
        <v>31</v>
      </c>
      <c r="E5" s="62" t="s">
        <v>22</v>
      </c>
      <c r="F5" s="61" t="s">
        <v>32</v>
      </c>
      <c r="G5" s="63" t="s">
        <v>33</v>
      </c>
      <c r="H5" s="64" t="s">
        <v>16</v>
      </c>
      <c r="I5" s="61" t="s">
        <v>34</v>
      </c>
      <c r="J5" s="65" t="s">
        <v>18</v>
      </c>
    </row>
    <row r="6" spans="1:39" thickBot="1" x14ac:dyDescent="0.3">
      <c r="A6" s="54">
        <v>1</v>
      </c>
      <c r="B6" s="54" t="s">
        <v>10</v>
      </c>
      <c r="C6" s="54" t="s">
        <v>20</v>
      </c>
      <c r="D6" s="55" t="s">
        <v>35</v>
      </c>
      <c r="E6" s="56" t="s">
        <v>22</v>
      </c>
      <c r="F6" s="55" t="s">
        <v>36</v>
      </c>
      <c r="G6" s="57" t="s">
        <v>37</v>
      </c>
      <c r="H6" s="58" t="s">
        <v>38</v>
      </c>
      <c r="I6" s="55" t="s">
        <v>39</v>
      </c>
      <c r="J6" s="59" t="s">
        <v>18</v>
      </c>
    </row>
    <row r="7" spans="1:39" ht="26.25" thickBot="1" x14ac:dyDescent="0.3">
      <c r="A7" s="66">
        <v>1</v>
      </c>
      <c r="B7" s="60" t="s">
        <v>40</v>
      </c>
      <c r="C7" s="66" t="s">
        <v>41</v>
      </c>
      <c r="D7" s="61" t="s">
        <v>42</v>
      </c>
      <c r="E7" s="62" t="s">
        <v>13</v>
      </c>
      <c r="F7" s="61" t="s">
        <v>43</v>
      </c>
      <c r="G7" s="67" t="s">
        <v>44</v>
      </c>
      <c r="H7" s="64" t="s">
        <v>45</v>
      </c>
      <c r="I7" s="61" t="s">
        <v>17</v>
      </c>
      <c r="J7" s="65" t="s">
        <v>18</v>
      </c>
    </row>
    <row r="8" spans="1:39" ht="26.25" thickBot="1" x14ac:dyDescent="0.3">
      <c r="A8" s="66">
        <v>1</v>
      </c>
      <c r="B8" s="54" t="s">
        <v>40</v>
      </c>
      <c r="C8" s="66" t="s">
        <v>41</v>
      </c>
      <c r="D8" s="55" t="s">
        <v>31</v>
      </c>
      <c r="E8" s="56" t="s">
        <v>46</v>
      </c>
      <c r="F8" s="55" t="s">
        <v>47</v>
      </c>
      <c r="G8" s="57" t="s">
        <v>48</v>
      </c>
      <c r="H8" s="58" t="s">
        <v>49</v>
      </c>
      <c r="I8" s="56" t="s">
        <v>50</v>
      </c>
      <c r="J8" s="59" t="s">
        <v>18</v>
      </c>
    </row>
    <row r="9" spans="1:39" ht="26.25" thickBot="1" x14ac:dyDescent="0.3">
      <c r="A9" s="66">
        <v>1</v>
      </c>
      <c r="B9" s="60" t="s">
        <v>51</v>
      </c>
      <c r="C9" s="66" t="s">
        <v>52</v>
      </c>
      <c r="D9" s="61" t="s">
        <v>53</v>
      </c>
      <c r="E9" s="62" t="s">
        <v>13</v>
      </c>
      <c r="F9" s="61" t="s">
        <v>54</v>
      </c>
      <c r="G9" s="63" t="s">
        <v>55</v>
      </c>
      <c r="H9" s="64" t="s">
        <v>56</v>
      </c>
      <c r="I9" s="61" t="s">
        <v>17</v>
      </c>
      <c r="J9" s="65" t="s">
        <v>18</v>
      </c>
    </row>
    <row r="10" spans="1:39" s="48" customFormat="1" ht="30.75" thickBot="1" x14ac:dyDescent="0.3">
      <c r="A10" s="68">
        <v>1</v>
      </c>
      <c r="B10" s="69" t="s">
        <v>57</v>
      </c>
      <c r="C10" s="69" t="s">
        <v>58</v>
      </c>
      <c r="D10" s="69" t="s">
        <v>42</v>
      </c>
      <c r="E10" s="70" t="s">
        <v>59</v>
      </c>
      <c r="F10" s="69" t="s">
        <v>60</v>
      </c>
      <c r="G10" s="71" t="s">
        <v>61</v>
      </c>
      <c r="H10" s="72" t="s">
        <v>62</v>
      </c>
      <c r="I10" s="73" t="s">
        <v>17</v>
      </c>
      <c r="J10" s="73" t="s">
        <v>63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</row>
    <row r="11" spans="1:39" ht="30.75" thickBot="1" x14ac:dyDescent="0.3">
      <c r="A11" s="73">
        <v>1</v>
      </c>
      <c r="B11" s="69" t="s">
        <v>57</v>
      </c>
      <c r="C11" s="102" t="s">
        <v>64</v>
      </c>
      <c r="D11" s="69" t="s">
        <v>65</v>
      </c>
      <c r="E11" s="70" t="s">
        <v>59</v>
      </c>
      <c r="F11" s="69" t="s">
        <v>66</v>
      </c>
      <c r="G11" s="74" t="s">
        <v>67</v>
      </c>
      <c r="H11" s="72" t="s">
        <v>68</v>
      </c>
      <c r="I11" s="73" t="s">
        <v>17</v>
      </c>
      <c r="J11" s="73" t="s">
        <v>63</v>
      </c>
    </row>
    <row r="12" spans="1:39" thickBot="1" x14ac:dyDescent="0.3">
      <c r="A12" s="75">
        <v>1</v>
      </c>
      <c r="B12" s="76" t="s">
        <v>69</v>
      </c>
      <c r="C12" s="104" t="s">
        <v>70</v>
      </c>
      <c r="D12" s="76" t="s">
        <v>71</v>
      </c>
      <c r="E12" s="77" t="s">
        <v>59</v>
      </c>
      <c r="F12" s="76" t="s">
        <v>72</v>
      </c>
      <c r="G12" s="78" t="s">
        <v>73</v>
      </c>
      <c r="H12" s="79" t="s">
        <v>74</v>
      </c>
      <c r="I12" s="80" t="s">
        <v>75</v>
      </c>
      <c r="J12" s="80" t="s">
        <v>76</v>
      </c>
    </row>
    <row r="13" spans="1:39" ht="66.75" customHeight="1" thickBot="1" x14ac:dyDescent="0.3">
      <c r="A13" s="73">
        <v>1</v>
      </c>
      <c r="B13" s="69" t="s">
        <v>77</v>
      </c>
      <c r="C13" s="99" t="s">
        <v>78</v>
      </c>
      <c r="D13" s="69" t="s">
        <v>26</v>
      </c>
      <c r="E13" s="70" t="s">
        <v>22</v>
      </c>
      <c r="F13" s="70" t="s">
        <v>79</v>
      </c>
      <c r="G13" s="72">
        <v>9504588</v>
      </c>
      <c r="H13" s="69" t="s">
        <v>80</v>
      </c>
      <c r="I13" s="73"/>
      <c r="J13" s="73" t="s">
        <v>63</v>
      </c>
    </row>
    <row r="14" spans="1:39" ht="48.75" customHeight="1" thickBot="1" x14ac:dyDescent="0.3">
      <c r="A14" s="81">
        <v>1</v>
      </c>
      <c r="B14" s="82" t="s">
        <v>81</v>
      </c>
      <c r="C14" s="82" t="s">
        <v>82</v>
      </c>
      <c r="D14" s="82" t="s">
        <v>83</v>
      </c>
      <c r="E14" s="100" t="s">
        <v>59</v>
      </c>
      <c r="F14" s="82" t="s">
        <v>84</v>
      </c>
      <c r="G14" s="84" t="s">
        <v>85</v>
      </c>
      <c r="H14" s="85" t="s">
        <v>86</v>
      </c>
      <c r="I14" s="86" t="s">
        <v>87</v>
      </c>
      <c r="J14" s="86" t="s">
        <v>88</v>
      </c>
    </row>
    <row r="15" spans="1:39" ht="34.5" customHeight="1" thickBot="1" x14ac:dyDescent="0.3">
      <c r="A15" s="86"/>
      <c r="B15" s="82" t="s">
        <v>81</v>
      </c>
      <c r="C15" s="82" t="s">
        <v>82</v>
      </c>
      <c r="D15" s="86" t="s">
        <v>89</v>
      </c>
      <c r="E15" s="101" t="s">
        <v>13</v>
      </c>
      <c r="F15" s="82" t="s">
        <v>90</v>
      </c>
      <c r="G15" s="84" t="s">
        <v>91</v>
      </c>
      <c r="H15" s="85">
        <v>22707</v>
      </c>
      <c r="I15" s="86" t="s">
        <v>17</v>
      </c>
      <c r="J15" s="86" t="s">
        <v>88</v>
      </c>
    </row>
    <row r="16" spans="1:39" ht="39" customHeight="1" thickBot="1" x14ac:dyDescent="0.3">
      <c r="A16" s="81"/>
      <c r="B16" s="82" t="s">
        <v>81</v>
      </c>
      <c r="C16" s="82" t="s">
        <v>82</v>
      </c>
      <c r="D16" s="86" t="s">
        <v>92</v>
      </c>
      <c r="E16" s="100" t="s">
        <v>93</v>
      </c>
      <c r="F16" s="82" t="s">
        <v>94</v>
      </c>
      <c r="G16" s="84"/>
      <c r="H16" s="85">
        <v>22707</v>
      </c>
      <c r="I16" s="86"/>
      <c r="J16" s="86" t="s">
        <v>88</v>
      </c>
    </row>
    <row r="17" spans="1:10" ht="75.75" customHeight="1" thickBot="1" x14ac:dyDescent="0.3">
      <c r="A17" s="81">
        <v>1</v>
      </c>
      <c r="B17" s="82" t="s">
        <v>95</v>
      </c>
      <c r="C17" s="82" t="s">
        <v>96</v>
      </c>
      <c r="D17" s="101" t="s">
        <v>97</v>
      </c>
      <c r="E17" s="100" t="s">
        <v>59</v>
      </c>
      <c r="F17" s="82" t="s">
        <v>98</v>
      </c>
      <c r="G17" s="84" t="s">
        <v>99</v>
      </c>
      <c r="H17" s="85" t="s">
        <v>100</v>
      </c>
      <c r="I17" s="86" t="s">
        <v>101</v>
      </c>
      <c r="J17" s="86"/>
    </row>
    <row r="18" spans="1:10" ht="75" customHeight="1" thickBot="1" x14ac:dyDescent="0.3">
      <c r="A18" s="73">
        <v>1</v>
      </c>
      <c r="B18" s="69" t="s">
        <v>102</v>
      </c>
      <c r="C18" s="98" t="s">
        <v>103</v>
      </c>
      <c r="D18" s="69"/>
      <c r="E18" s="70" t="s">
        <v>104</v>
      </c>
      <c r="F18" s="70" t="s">
        <v>105</v>
      </c>
      <c r="G18" s="72">
        <v>9206165</v>
      </c>
      <c r="H18" s="72"/>
      <c r="I18" s="72" t="s">
        <v>106</v>
      </c>
      <c r="J18" s="89" t="s">
        <v>107</v>
      </c>
    </row>
    <row r="19" spans="1:10" ht="60" customHeight="1" thickBot="1" x14ac:dyDescent="0.3">
      <c r="A19" s="68">
        <v>1</v>
      </c>
      <c r="B19" s="69" t="s">
        <v>108</v>
      </c>
      <c r="C19" s="69" t="s">
        <v>109</v>
      </c>
      <c r="D19" s="69" t="s">
        <v>83</v>
      </c>
      <c r="E19" s="90" t="s">
        <v>13</v>
      </c>
      <c r="F19" s="69" t="s">
        <v>110</v>
      </c>
      <c r="G19" s="72">
        <v>9504631</v>
      </c>
      <c r="H19" s="72" t="s">
        <v>111</v>
      </c>
      <c r="I19" s="72" t="s">
        <v>112</v>
      </c>
      <c r="J19" s="69" t="s">
        <v>113</v>
      </c>
    </row>
    <row r="20" spans="1:10" ht="77.25" customHeight="1" thickBot="1" x14ac:dyDescent="0.3">
      <c r="A20" s="88">
        <v>1</v>
      </c>
      <c r="B20" s="91" t="s">
        <v>114</v>
      </c>
      <c r="C20" s="92" t="s">
        <v>115</v>
      </c>
      <c r="D20" s="91" t="s">
        <v>116</v>
      </c>
      <c r="E20" s="87"/>
      <c r="F20" s="87" t="s">
        <v>117</v>
      </c>
      <c r="G20" s="92"/>
      <c r="H20" s="92"/>
      <c r="I20" s="92"/>
      <c r="J20" s="93" t="s">
        <v>18</v>
      </c>
    </row>
    <row r="21" spans="1:10" ht="69.75" customHeight="1" thickBot="1" x14ac:dyDescent="0.3">
      <c r="A21" s="94">
        <v>1</v>
      </c>
      <c r="B21" s="91" t="s">
        <v>118</v>
      </c>
      <c r="C21" s="91" t="s">
        <v>119</v>
      </c>
      <c r="D21" s="91" t="s">
        <v>120</v>
      </c>
      <c r="E21" s="83" t="s">
        <v>59</v>
      </c>
      <c r="F21" s="83" t="s">
        <v>121</v>
      </c>
      <c r="G21" s="92">
        <v>9520305</v>
      </c>
      <c r="H21" s="92" t="s">
        <v>122</v>
      </c>
      <c r="I21" s="92" t="s">
        <v>123</v>
      </c>
      <c r="J21" s="93" t="s">
        <v>18</v>
      </c>
    </row>
    <row r="22" spans="1:10" ht="30.75" thickBot="1" x14ac:dyDescent="0.3">
      <c r="A22" s="88">
        <v>1</v>
      </c>
      <c r="B22" s="91" t="s">
        <v>118</v>
      </c>
      <c r="C22" s="92" t="s">
        <v>124</v>
      </c>
      <c r="D22" s="91" t="s">
        <v>125</v>
      </c>
      <c r="E22" s="87" t="s">
        <v>13</v>
      </c>
      <c r="F22" s="87" t="s">
        <v>126</v>
      </c>
      <c r="G22" s="95" t="s">
        <v>127</v>
      </c>
      <c r="H22" s="92" t="s">
        <v>128</v>
      </c>
      <c r="I22" s="92" t="s">
        <v>17</v>
      </c>
      <c r="J22" s="93" t="s">
        <v>18</v>
      </c>
    </row>
    <row r="23" spans="1:10" ht="30.75" thickBot="1" x14ac:dyDescent="0.3">
      <c r="A23" s="94">
        <v>1</v>
      </c>
      <c r="B23" s="91" t="s">
        <v>118</v>
      </c>
      <c r="C23" s="92" t="s">
        <v>129</v>
      </c>
      <c r="D23" s="91" t="s">
        <v>130</v>
      </c>
      <c r="E23" s="83" t="s">
        <v>13</v>
      </c>
      <c r="F23" s="83" t="s">
        <v>131</v>
      </c>
      <c r="G23" s="95" t="s">
        <v>132</v>
      </c>
      <c r="H23" s="92" t="s">
        <v>133</v>
      </c>
      <c r="I23" s="92" t="s">
        <v>17</v>
      </c>
      <c r="J23" s="93" t="s">
        <v>18</v>
      </c>
    </row>
    <row r="24" spans="1:10" ht="109.5" customHeight="1" thickBot="1" x14ac:dyDescent="0.3">
      <c r="A24" s="73">
        <v>1</v>
      </c>
      <c r="B24" s="69" t="s">
        <v>134</v>
      </c>
      <c r="C24" s="69" t="s">
        <v>135</v>
      </c>
      <c r="D24" s="70"/>
      <c r="E24" s="69" t="s">
        <v>136</v>
      </c>
      <c r="F24" s="70" t="s">
        <v>105</v>
      </c>
      <c r="G24" s="96" t="s">
        <v>137</v>
      </c>
      <c r="H24" s="96"/>
      <c r="I24" s="73"/>
      <c r="J24" s="70" t="s">
        <v>138</v>
      </c>
    </row>
  </sheetData>
  <sheetProtection password="CF24" sheet="1" objects="1" scenarios="1"/>
  <hyperlinks>
    <hyperlink ref="G10" r:id="rId1" xr:uid="{00000000-0004-0000-0800-000000000000}"/>
    <hyperlink ref="G11" r:id="rId2" xr:uid="{00000000-0004-0000-0800-000001000000}"/>
    <hyperlink ref="G9" r:id="rId3" xr:uid="{00000000-0004-0000-0800-000002000000}"/>
    <hyperlink ref="G2" r:id="rId4" xr:uid="{00000000-0004-0000-0800-000003000000}"/>
    <hyperlink ref="G22" r:id="rId5" xr:uid="{00000000-0004-0000-0800-000004000000}"/>
    <hyperlink ref="G23" r:id="rId6" xr:uid="{00000000-0004-0000-0800-000005000000}"/>
    <hyperlink ref="G7" r:id="rId7" xr:uid="{00000000-0004-0000-0800-000006000000}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802"/>
  <sheetViews>
    <sheetView zoomScale="75" zoomScaleNormal="75" workbookViewId="0">
      <selection activeCell="B60" sqref="B60"/>
    </sheetView>
  </sheetViews>
  <sheetFormatPr defaultColWidth="24.42578125" defaultRowHeight="15" x14ac:dyDescent="0.25"/>
  <cols>
    <col min="1" max="1" width="24.42578125" style="14" customWidth="1"/>
    <col min="2" max="6" width="29.85546875" style="32" customWidth="1"/>
    <col min="7" max="16384" width="24.42578125" style="32"/>
  </cols>
  <sheetData>
    <row r="1" spans="1:6" ht="15.75" x14ac:dyDescent="0.25">
      <c r="A1" s="7" t="s">
        <v>139</v>
      </c>
      <c r="B1" s="11" t="s">
        <v>140</v>
      </c>
      <c r="C1" s="45" t="s">
        <v>141</v>
      </c>
      <c r="D1" s="41" t="s">
        <v>142</v>
      </c>
      <c r="E1" s="42"/>
      <c r="F1" s="41" t="s">
        <v>143</v>
      </c>
    </row>
    <row r="2" spans="1:6" ht="15.75" x14ac:dyDescent="0.25">
      <c r="A2" s="8" t="s">
        <v>144</v>
      </c>
      <c r="B2" s="34" t="s">
        <v>145</v>
      </c>
      <c r="D2" s="47" t="s">
        <v>146</v>
      </c>
      <c r="E2" s="42"/>
      <c r="F2" s="41" t="s">
        <v>147</v>
      </c>
    </row>
    <row r="3" spans="1:6" x14ac:dyDescent="0.25">
      <c r="A3" s="9" t="s">
        <v>148</v>
      </c>
      <c r="B3" s="43" t="s">
        <v>149</v>
      </c>
      <c r="C3" s="33"/>
    </row>
    <row r="4" spans="1:6" x14ac:dyDescent="0.25">
      <c r="A4" s="10" t="s">
        <v>150</v>
      </c>
      <c r="B4" s="44" t="s">
        <v>151</v>
      </c>
    </row>
    <row r="5" spans="1:6" x14ac:dyDescent="0.25">
      <c r="A5" s="108"/>
      <c r="B5" s="109"/>
    </row>
    <row r="8" spans="1:6" ht="27" thickBot="1" x14ac:dyDescent="0.45">
      <c r="A8" s="20" t="s">
        <v>152</v>
      </c>
    </row>
    <row r="9" spans="1:6" ht="15.75" thickBot="1" x14ac:dyDescent="0.3">
      <c r="A9" s="113"/>
      <c r="B9" s="114" t="s">
        <v>153</v>
      </c>
      <c r="C9" s="114" t="s">
        <v>154</v>
      </c>
      <c r="D9" s="13" t="s">
        <v>155</v>
      </c>
      <c r="E9" s="114" t="s">
        <v>156</v>
      </c>
      <c r="F9" s="114" t="s">
        <v>157</v>
      </c>
    </row>
    <row r="10" spans="1:6" x14ac:dyDescent="0.25">
      <c r="A10" s="15">
        <v>0.33333333333333331</v>
      </c>
      <c r="B10" s="25"/>
      <c r="C10" s="26"/>
      <c r="D10" s="27"/>
      <c r="E10" s="23"/>
      <c r="F10" s="28"/>
    </row>
    <row r="11" spans="1:6" x14ac:dyDescent="0.25">
      <c r="A11" s="16">
        <v>0.35416666666666669</v>
      </c>
      <c r="B11" s="25"/>
      <c r="C11" s="26"/>
      <c r="D11" s="27"/>
      <c r="E11" s="23"/>
      <c r="F11" s="28"/>
    </row>
    <row r="12" spans="1:6" x14ac:dyDescent="0.25">
      <c r="A12" s="16">
        <v>0.375</v>
      </c>
      <c r="B12" s="25"/>
      <c r="C12" s="26"/>
      <c r="D12" s="27"/>
      <c r="E12" s="23"/>
      <c r="F12" s="28"/>
    </row>
    <row r="13" spans="1:6" x14ac:dyDescent="0.25">
      <c r="A13" s="16">
        <v>0.39583333333333331</v>
      </c>
      <c r="B13" s="25"/>
      <c r="C13" s="26"/>
      <c r="D13" s="27"/>
      <c r="E13" s="23"/>
      <c r="F13" s="28"/>
    </row>
    <row r="14" spans="1:6" x14ac:dyDescent="0.25">
      <c r="A14" s="16">
        <v>0.41666666666666669</v>
      </c>
      <c r="B14" s="25"/>
      <c r="C14" s="26"/>
      <c r="D14" s="27"/>
      <c r="E14" s="23"/>
      <c r="F14" s="28"/>
    </row>
    <row r="15" spans="1:6" x14ac:dyDescent="0.25">
      <c r="A15" s="16">
        <v>0.4375</v>
      </c>
      <c r="B15" s="25"/>
      <c r="C15" s="26"/>
      <c r="D15" s="27"/>
      <c r="E15" s="23"/>
      <c r="F15" s="28"/>
    </row>
    <row r="16" spans="1:6" x14ac:dyDescent="0.25">
      <c r="A16" s="16">
        <v>0.45833333333333331</v>
      </c>
      <c r="B16" s="25"/>
      <c r="C16" s="26"/>
      <c r="D16" s="27"/>
      <c r="E16" s="23"/>
      <c r="F16" s="28"/>
    </row>
    <row r="17" spans="1:6" x14ac:dyDescent="0.25">
      <c r="A17" s="16">
        <v>0.47916666666666669</v>
      </c>
      <c r="B17" s="25"/>
      <c r="C17" s="26"/>
      <c r="D17" s="27"/>
      <c r="E17" s="23"/>
      <c r="F17" s="25"/>
    </row>
    <row r="18" spans="1:6" x14ac:dyDescent="0.25">
      <c r="A18" s="16">
        <v>0.5</v>
      </c>
      <c r="B18" s="25"/>
      <c r="C18" s="25"/>
      <c r="D18" s="24"/>
      <c r="E18" s="25"/>
      <c r="F18" s="25"/>
    </row>
    <row r="19" spans="1:6" x14ac:dyDescent="0.25">
      <c r="A19" s="16">
        <v>0.52083333333333337</v>
      </c>
      <c r="B19" s="25"/>
      <c r="C19" s="25"/>
      <c r="D19" s="24"/>
      <c r="E19" s="25"/>
      <c r="F19" s="25"/>
    </row>
    <row r="20" spans="1:6" x14ac:dyDescent="0.25">
      <c r="A20" s="16">
        <v>4.1666666666666664E-2</v>
      </c>
      <c r="B20" s="25"/>
      <c r="C20" s="25"/>
      <c r="D20" s="24"/>
      <c r="E20" s="25"/>
      <c r="F20" s="28"/>
    </row>
    <row r="21" spans="1:6" x14ac:dyDescent="0.25">
      <c r="A21" s="16">
        <v>6.25E-2</v>
      </c>
      <c r="B21" s="25"/>
      <c r="C21" s="25"/>
      <c r="D21" s="24"/>
      <c r="E21" s="25"/>
      <c r="F21" s="28"/>
    </row>
    <row r="22" spans="1:6" x14ac:dyDescent="0.25">
      <c r="A22" s="16">
        <v>8.3333333333333329E-2</v>
      </c>
      <c r="B22" s="25"/>
      <c r="C22" s="25"/>
      <c r="D22" s="28"/>
      <c r="E22" s="25"/>
      <c r="F22" s="28"/>
    </row>
    <row r="23" spans="1:6" x14ac:dyDescent="0.25">
      <c r="A23" s="16">
        <v>0.10416666666666667</v>
      </c>
      <c r="B23" s="25"/>
      <c r="C23" s="25"/>
      <c r="D23" s="28"/>
      <c r="E23" s="25"/>
      <c r="F23" s="28"/>
    </row>
    <row r="24" spans="1:6" x14ac:dyDescent="0.25">
      <c r="A24" s="16">
        <v>0.125</v>
      </c>
      <c r="B24" s="25"/>
      <c r="C24" s="25"/>
      <c r="D24" s="28"/>
      <c r="E24" s="25"/>
      <c r="F24" s="28"/>
    </row>
    <row r="25" spans="1:6" x14ac:dyDescent="0.25">
      <c r="A25" s="16">
        <v>0.14583333333333334</v>
      </c>
      <c r="B25" s="25"/>
      <c r="C25" s="25"/>
      <c r="D25" s="28"/>
      <c r="E25" s="25"/>
      <c r="F25" s="28"/>
    </row>
    <row r="26" spans="1:6" ht="15.75" thickBot="1" x14ac:dyDescent="0.3">
      <c r="A26" s="22">
        <v>0.16666666666666666</v>
      </c>
      <c r="B26" s="25"/>
      <c r="C26" s="25"/>
      <c r="D26" s="28"/>
      <c r="E26" s="25"/>
      <c r="F26" s="28"/>
    </row>
    <row r="27" spans="1:6" s="107" customFormat="1" x14ac:dyDescent="0.25">
      <c r="A27" s="106"/>
      <c r="B27" s="105"/>
      <c r="C27" s="105"/>
      <c r="D27" s="105"/>
      <c r="E27" s="105"/>
      <c r="F27" s="105"/>
    </row>
    <row r="28" spans="1:6" ht="27" thickBot="1" x14ac:dyDescent="0.45">
      <c r="A28" s="20" t="s">
        <v>158</v>
      </c>
    </row>
    <row r="29" spans="1:6" ht="15.75" thickBot="1" x14ac:dyDescent="0.3">
      <c r="A29" s="113"/>
      <c r="B29" s="114" t="s">
        <v>153</v>
      </c>
      <c r="C29" s="114" t="s">
        <v>154</v>
      </c>
      <c r="D29" s="13" t="s">
        <v>155</v>
      </c>
      <c r="E29" s="114" t="s">
        <v>156</v>
      </c>
      <c r="F29" s="114" t="s">
        <v>157</v>
      </c>
    </row>
    <row r="30" spans="1:6" x14ac:dyDescent="0.25">
      <c r="A30" s="15">
        <v>0.33333333333333331</v>
      </c>
      <c r="B30" s="9" t="s">
        <v>148</v>
      </c>
      <c r="C30" s="9" t="s">
        <v>148</v>
      </c>
      <c r="D30" s="9" t="s">
        <v>148</v>
      </c>
      <c r="E30" s="9" t="s">
        <v>148</v>
      </c>
      <c r="F30" s="9" t="s">
        <v>148</v>
      </c>
    </row>
    <row r="31" spans="1:6" x14ac:dyDescent="0.25">
      <c r="A31" s="16">
        <v>0.35416666666666669</v>
      </c>
      <c r="B31" s="9" t="s">
        <v>148</v>
      </c>
      <c r="C31" s="9" t="s">
        <v>148</v>
      </c>
      <c r="D31" s="9" t="s">
        <v>148</v>
      </c>
      <c r="E31" s="9" t="s">
        <v>148</v>
      </c>
      <c r="F31" s="9" t="s">
        <v>148</v>
      </c>
    </row>
    <row r="32" spans="1:6" x14ac:dyDescent="0.25">
      <c r="A32" s="16">
        <v>0.375</v>
      </c>
      <c r="B32" s="9" t="s">
        <v>148</v>
      </c>
      <c r="C32" s="9" t="s">
        <v>148</v>
      </c>
      <c r="D32" s="9" t="s">
        <v>148</v>
      </c>
      <c r="E32" s="9" t="s">
        <v>148</v>
      </c>
      <c r="F32" s="9" t="s">
        <v>148</v>
      </c>
    </row>
    <row r="33" spans="1:6" x14ac:dyDescent="0.25">
      <c r="A33" s="16">
        <v>0.39583333333333331</v>
      </c>
      <c r="B33" s="9" t="s">
        <v>148</v>
      </c>
      <c r="C33" s="9" t="s">
        <v>148</v>
      </c>
      <c r="D33" s="9" t="s">
        <v>148</v>
      </c>
      <c r="E33" s="9" t="s">
        <v>148</v>
      </c>
      <c r="F33" s="9" t="s">
        <v>148</v>
      </c>
    </row>
    <row r="34" spans="1:6" x14ac:dyDescent="0.25">
      <c r="A34" s="16">
        <v>0.41666666666666669</v>
      </c>
      <c r="B34" s="9" t="s">
        <v>148</v>
      </c>
      <c r="C34" s="9" t="s">
        <v>148</v>
      </c>
      <c r="D34" s="9" t="s">
        <v>148</v>
      </c>
      <c r="E34" s="9" t="s">
        <v>148</v>
      </c>
      <c r="F34" s="9" t="s">
        <v>148</v>
      </c>
    </row>
    <row r="35" spans="1:6" x14ac:dyDescent="0.25">
      <c r="A35" s="16">
        <v>0.4375</v>
      </c>
      <c r="B35" s="9" t="s">
        <v>148</v>
      </c>
      <c r="C35" s="9" t="s">
        <v>148</v>
      </c>
      <c r="D35" s="9" t="s">
        <v>148</v>
      </c>
      <c r="E35" s="9" t="s">
        <v>148</v>
      </c>
      <c r="F35" s="9" t="s">
        <v>148</v>
      </c>
    </row>
    <row r="36" spans="1:6" x14ac:dyDescent="0.25">
      <c r="A36" s="16">
        <v>0.45833333333333331</v>
      </c>
      <c r="B36" s="9" t="s">
        <v>148</v>
      </c>
      <c r="C36" s="9" t="s">
        <v>148</v>
      </c>
      <c r="D36" s="9" t="s">
        <v>148</v>
      </c>
      <c r="E36" s="9" t="s">
        <v>148</v>
      </c>
      <c r="F36" s="9" t="s">
        <v>148</v>
      </c>
    </row>
    <row r="37" spans="1:6" x14ac:dyDescent="0.25">
      <c r="A37" s="16">
        <v>0.47916666666666669</v>
      </c>
      <c r="B37" s="9" t="s">
        <v>148</v>
      </c>
      <c r="C37" s="9" t="s">
        <v>148</v>
      </c>
      <c r="D37" s="9" t="s">
        <v>148</v>
      </c>
      <c r="E37" s="9" t="s">
        <v>148</v>
      </c>
      <c r="F37" s="9" t="s">
        <v>148</v>
      </c>
    </row>
    <row r="38" spans="1:6" x14ac:dyDescent="0.25">
      <c r="A38" s="16">
        <v>0.5</v>
      </c>
      <c r="B38" s="9" t="s">
        <v>148</v>
      </c>
      <c r="C38" s="9" t="s">
        <v>148</v>
      </c>
      <c r="D38" s="9" t="s">
        <v>148</v>
      </c>
      <c r="E38" s="9" t="s">
        <v>148</v>
      </c>
      <c r="F38" s="9" t="s">
        <v>148</v>
      </c>
    </row>
    <row r="39" spans="1:6" x14ac:dyDescent="0.25">
      <c r="A39" s="16">
        <v>0.52083333333333337</v>
      </c>
      <c r="B39" s="9" t="s">
        <v>148</v>
      </c>
      <c r="C39" s="9" t="s">
        <v>148</v>
      </c>
      <c r="D39" s="9" t="s">
        <v>148</v>
      </c>
      <c r="E39" s="9" t="s">
        <v>148</v>
      </c>
      <c r="F39" s="9" t="s">
        <v>148</v>
      </c>
    </row>
    <row r="40" spans="1:6" x14ac:dyDescent="0.25">
      <c r="A40" s="16">
        <v>4.1666666666666664E-2</v>
      </c>
      <c r="B40" s="9" t="s">
        <v>148</v>
      </c>
      <c r="C40" s="9" t="s">
        <v>148</v>
      </c>
      <c r="D40" s="9" t="s">
        <v>148</v>
      </c>
      <c r="E40" s="9" t="s">
        <v>148</v>
      </c>
      <c r="F40" s="9" t="s">
        <v>148</v>
      </c>
    </row>
    <row r="41" spans="1:6" x14ac:dyDescent="0.25">
      <c r="A41" s="16">
        <v>6.25E-2</v>
      </c>
      <c r="B41" s="9" t="s">
        <v>148</v>
      </c>
      <c r="C41" s="9" t="s">
        <v>148</v>
      </c>
      <c r="D41" s="9" t="s">
        <v>148</v>
      </c>
      <c r="E41" s="9" t="s">
        <v>148</v>
      </c>
      <c r="F41" s="9" t="s">
        <v>148</v>
      </c>
    </row>
    <row r="42" spans="1:6" x14ac:dyDescent="0.25">
      <c r="A42" s="16">
        <v>8.3333333333333329E-2</v>
      </c>
      <c r="B42" s="9" t="s">
        <v>148</v>
      </c>
      <c r="C42" s="9" t="s">
        <v>148</v>
      </c>
      <c r="D42" s="9" t="s">
        <v>148</v>
      </c>
      <c r="E42" s="9" t="s">
        <v>148</v>
      </c>
      <c r="F42" s="9" t="s">
        <v>148</v>
      </c>
    </row>
    <row r="43" spans="1:6" x14ac:dyDescent="0.25">
      <c r="A43" s="16">
        <v>0.10416666666666667</v>
      </c>
      <c r="B43" s="9" t="s">
        <v>148</v>
      </c>
      <c r="C43" s="9" t="s">
        <v>148</v>
      </c>
      <c r="D43" s="9" t="s">
        <v>148</v>
      </c>
      <c r="E43" s="9" t="s">
        <v>148</v>
      </c>
      <c r="F43" s="9" t="s">
        <v>148</v>
      </c>
    </row>
    <row r="44" spans="1:6" x14ac:dyDescent="0.25">
      <c r="A44" s="16">
        <v>0.125</v>
      </c>
      <c r="B44" s="9" t="s">
        <v>148</v>
      </c>
      <c r="C44" s="9" t="s">
        <v>148</v>
      </c>
      <c r="D44" s="9" t="s">
        <v>148</v>
      </c>
      <c r="E44" s="9" t="s">
        <v>148</v>
      </c>
      <c r="F44" s="9" t="s">
        <v>148</v>
      </c>
    </row>
    <row r="45" spans="1:6" x14ac:dyDescent="0.25">
      <c r="A45" s="16">
        <v>0.14583333333333334</v>
      </c>
      <c r="B45" s="9" t="s">
        <v>148</v>
      </c>
      <c r="C45" s="9" t="s">
        <v>148</v>
      </c>
      <c r="D45" s="9" t="s">
        <v>148</v>
      </c>
      <c r="E45" s="9" t="s">
        <v>148</v>
      </c>
      <c r="F45" s="9" t="s">
        <v>148</v>
      </c>
    </row>
    <row r="46" spans="1:6" ht="15.75" thickBot="1" x14ac:dyDescent="0.3">
      <c r="A46" s="22">
        <v>0.16666666666666666</v>
      </c>
      <c r="B46" s="9" t="s">
        <v>148</v>
      </c>
      <c r="C46" s="9" t="s">
        <v>148</v>
      </c>
      <c r="D46" s="9" t="s">
        <v>148</v>
      </c>
      <c r="E46" s="9" t="s">
        <v>148</v>
      </c>
      <c r="F46" s="9" t="s">
        <v>148</v>
      </c>
    </row>
    <row r="47" spans="1:6" x14ac:dyDescent="0.25">
      <c r="A47" s="110"/>
      <c r="B47" s="111"/>
      <c r="C47" s="111"/>
      <c r="D47" s="111"/>
      <c r="E47" s="111"/>
      <c r="F47" s="111"/>
    </row>
    <row r="48" spans="1:6" ht="27" thickBot="1" x14ac:dyDescent="0.45">
      <c r="A48" s="20" t="s">
        <v>159</v>
      </c>
    </row>
    <row r="49" spans="1:6" ht="15.75" thickBot="1" x14ac:dyDescent="0.3">
      <c r="A49" s="113"/>
      <c r="B49" s="114" t="s">
        <v>153</v>
      </c>
      <c r="C49" s="114" t="s">
        <v>154</v>
      </c>
      <c r="D49" s="13" t="s">
        <v>155</v>
      </c>
      <c r="E49" s="114" t="s">
        <v>156</v>
      </c>
      <c r="F49" s="114" t="s">
        <v>157</v>
      </c>
    </row>
    <row r="50" spans="1:6" x14ac:dyDescent="0.25">
      <c r="A50" s="15">
        <v>0.33333333333333331</v>
      </c>
      <c r="B50" s="25"/>
      <c r="C50" s="26"/>
      <c r="D50" s="27"/>
      <c r="E50" s="23"/>
      <c r="F50" s="28"/>
    </row>
    <row r="51" spans="1:6" x14ac:dyDescent="0.25">
      <c r="A51" s="16">
        <v>0.35416666666666669</v>
      </c>
      <c r="B51" s="25"/>
      <c r="C51" s="26"/>
      <c r="D51" s="27"/>
      <c r="E51" s="23"/>
      <c r="F51" s="28"/>
    </row>
    <row r="52" spans="1:6" x14ac:dyDescent="0.25">
      <c r="A52" s="16">
        <v>0.375</v>
      </c>
      <c r="B52" s="25"/>
      <c r="C52" s="26"/>
      <c r="D52" s="27"/>
      <c r="E52" s="23"/>
      <c r="F52" s="28"/>
    </row>
    <row r="53" spans="1:6" x14ac:dyDescent="0.25">
      <c r="A53" s="16">
        <v>0.39583333333333331</v>
      </c>
      <c r="B53" s="25"/>
      <c r="C53" s="26"/>
      <c r="D53" s="27"/>
      <c r="E53" s="23"/>
      <c r="F53" s="28"/>
    </row>
    <row r="54" spans="1:6" x14ac:dyDescent="0.25">
      <c r="A54" s="16">
        <v>0.41666666666666669</v>
      </c>
      <c r="B54" s="25"/>
      <c r="C54" s="26"/>
      <c r="D54" s="27"/>
      <c r="E54" s="23"/>
      <c r="F54" s="28"/>
    </row>
    <row r="55" spans="1:6" x14ac:dyDescent="0.25">
      <c r="A55" s="16">
        <v>0.4375</v>
      </c>
      <c r="B55" s="25"/>
      <c r="C55" s="26"/>
      <c r="D55" s="27"/>
      <c r="E55" s="23"/>
      <c r="F55" s="28"/>
    </row>
    <row r="56" spans="1:6" x14ac:dyDescent="0.25">
      <c r="A56" s="16">
        <v>0.45833333333333331</v>
      </c>
      <c r="B56" s="25"/>
      <c r="C56" s="26"/>
      <c r="D56" s="27"/>
      <c r="E56" s="23"/>
      <c r="F56" s="28"/>
    </row>
    <row r="57" spans="1:6" x14ac:dyDescent="0.25">
      <c r="A57" s="16">
        <v>0.47916666666666669</v>
      </c>
      <c r="B57" s="25"/>
      <c r="C57" s="26"/>
      <c r="D57" s="27"/>
      <c r="E57" s="23"/>
      <c r="F57" s="25"/>
    </row>
    <row r="58" spans="1:6" x14ac:dyDescent="0.25">
      <c r="A58" s="16">
        <v>0.5</v>
      </c>
      <c r="B58" s="25"/>
      <c r="C58" s="25"/>
      <c r="D58" s="24"/>
      <c r="E58" s="25"/>
      <c r="F58" s="25"/>
    </row>
    <row r="59" spans="1:6" x14ac:dyDescent="0.25">
      <c r="A59" s="16">
        <v>0.52083333333333337</v>
      </c>
      <c r="B59" s="25"/>
      <c r="C59" s="25"/>
      <c r="D59" s="24"/>
      <c r="E59" s="25"/>
      <c r="F59" s="25"/>
    </row>
    <row r="60" spans="1:6" x14ac:dyDescent="0.25">
      <c r="A60" s="16">
        <v>4.1666666666666664E-2</v>
      </c>
      <c r="B60" s="25"/>
      <c r="C60" s="25"/>
      <c r="D60" s="24"/>
      <c r="E60" s="25"/>
      <c r="F60" s="28"/>
    </row>
    <row r="61" spans="1:6" x14ac:dyDescent="0.25">
      <c r="A61" s="16">
        <v>6.25E-2</v>
      </c>
      <c r="B61" s="25"/>
      <c r="C61" s="25"/>
      <c r="D61" s="24"/>
      <c r="E61" s="25"/>
      <c r="F61" s="28"/>
    </row>
    <row r="62" spans="1:6" x14ac:dyDescent="0.25">
      <c r="A62" s="16">
        <v>8.3333333333333329E-2</v>
      </c>
      <c r="B62" s="25"/>
      <c r="C62" s="25"/>
      <c r="D62" s="28"/>
      <c r="E62" s="25"/>
      <c r="F62" s="28"/>
    </row>
    <row r="63" spans="1:6" x14ac:dyDescent="0.25">
      <c r="A63" s="16">
        <v>0.10416666666666667</v>
      </c>
      <c r="B63" s="25"/>
      <c r="C63" s="25"/>
      <c r="D63" s="28"/>
      <c r="E63" s="25"/>
      <c r="F63" s="28"/>
    </row>
    <row r="64" spans="1:6" x14ac:dyDescent="0.25">
      <c r="A64" s="16">
        <v>0.125</v>
      </c>
      <c r="B64" s="25"/>
      <c r="C64" s="25"/>
      <c r="D64" s="28"/>
      <c r="E64" s="25"/>
      <c r="F64" s="28"/>
    </row>
    <row r="65" spans="1:6" x14ac:dyDescent="0.25">
      <c r="A65" s="16">
        <v>0.14583333333333334</v>
      </c>
      <c r="B65" s="25"/>
      <c r="C65" s="25"/>
      <c r="D65" s="28"/>
      <c r="E65" s="25"/>
      <c r="F65" s="28"/>
    </row>
    <row r="66" spans="1:6" ht="15.75" thickBot="1" x14ac:dyDescent="0.3">
      <c r="A66" s="22">
        <v>0.16666666666666666</v>
      </c>
      <c r="B66" s="25"/>
      <c r="C66" s="25"/>
      <c r="D66" s="28"/>
      <c r="E66" s="25"/>
      <c r="F66" s="28"/>
    </row>
    <row r="67" spans="1:6" x14ac:dyDescent="0.25">
      <c r="A67" s="19"/>
      <c r="B67" s="105"/>
      <c r="C67" s="105"/>
      <c r="D67" s="105"/>
      <c r="E67" s="105"/>
      <c r="F67" s="105"/>
    </row>
    <row r="68" spans="1:6" ht="27" thickBot="1" x14ac:dyDescent="0.45">
      <c r="A68" s="20" t="s">
        <v>160</v>
      </c>
    </row>
    <row r="69" spans="1:6" ht="15.75" thickBot="1" x14ac:dyDescent="0.3">
      <c r="A69" s="113"/>
      <c r="B69" s="114" t="s">
        <v>153</v>
      </c>
      <c r="C69" s="114" t="s">
        <v>154</v>
      </c>
      <c r="D69" s="13" t="s">
        <v>155</v>
      </c>
      <c r="E69" s="114" t="s">
        <v>156</v>
      </c>
      <c r="F69" s="114" t="s">
        <v>157</v>
      </c>
    </row>
    <row r="70" spans="1:6" x14ac:dyDescent="0.25">
      <c r="A70" s="15">
        <v>0.33333333333333331</v>
      </c>
      <c r="B70" s="203" t="s">
        <v>161</v>
      </c>
      <c r="C70" s="2" t="s">
        <v>162</v>
      </c>
      <c r="D70" s="40"/>
      <c r="E70" s="40"/>
      <c r="F70" s="203" t="s">
        <v>163</v>
      </c>
    </row>
    <row r="71" spans="1:6" x14ac:dyDescent="0.25">
      <c r="A71" s="16">
        <v>0.35416666666666669</v>
      </c>
      <c r="B71" s="203" t="s">
        <v>161</v>
      </c>
      <c r="C71" s="2" t="s">
        <v>162</v>
      </c>
      <c r="D71" s="40"/>
      <c r="E71" s="40"/>
      <c r="F71" s="203" t="s">
        <v>163</v>
      </c>
    </row>
    <row r="72" spans="1:6" x14ac:dyDescent="0.25">
      <c r="A72" s="16">
        <v>0.375</v>
      </c>
      <c r="B72" s="203" t="s">
        <v>161</v>
      </c>
      <c r="C72" s="40"/>
      <c r="D72" s="2" t="s">
        <v>164</v>
      </c>
      <c r="E72" s="40"/>
      <c r="F72" s="203" t="s">
        <v>163</v>
      </c>
    </row>
    <row r="73" spans="1:6" x14ac:dyDescent="0.25">
      <c r="A73" s="16">
        <v>0.39583333333333331</v>
      </c>
      <c r="B73" s="203" t="s">
        <v>161</v>
      </c>
      <c r="C73" s="40"/>
      <c r="D73" s="2" t="s">
        <v>164</v>
      </c>
      <c r="E73" s="40"/>
      <c r="F73" s="203" t="s">
        <v>163</v>
      </c>
    </row>
    <row r="74" spans="1:6" x14ac:dyDescent="0.25">
      <c r="A74" s="16">
        <v>0.41666666666666669</v>
      </c>
      <c r="B74" s="203" t="s">
        <v>161</v>
      </c>
      <c r="C74" s="40"/>
      <c r="D74" s="2" t="s">
        <v>164</v>
      </c>
      <c r="E74" s="40"/>
      <c r="F74" s="203" t="s">
        <v>163</v>
      </c>
    </row>
    <row r="75" spans="1:6" x14ac:dyDescent="0.25">
      <c r="A75" s="16">
        <v>0.4375</v>
      </c>
      <c r="B75" s="203" t="s">
        <v>161</v>
      </c>
      <c r="C75" s="40"/>
      <c r="D75" s="2" t="s">
        <v>164</v>
      </c>
      <c r="E75" s="40"/>
      <c r="F75" s="203" t="s">
        <v>163</v>
      </c>
    </row>
    <row r="76" spans="1:6" x14ac:dyDescent="0.25">
      <c r="A76" s="16">
        <v>0.45833333333333331</v>
      </c>
      <c r="B76" s="40"/>
      <c r="C76" s="40"/>
      <c r="D76" s="40"/>
      <c r="E76" s="40"/>
      <c r="F76" s="40"/>
    </row>
    <row r="77" spans="1:6" x14ac:dyDescent="0.25">
      <c r="A77" s="16">
        <v>0.47916666666666669</v>
      </c>
      <c r="B77" s="40"/>
      <c r="C77" s="40"/>
      <c r="D77" s="40"/>
      <c r="E77" s="40"/>
      <c r="F77" s="40"/>
    </row>
    <row r="78" spans="1:6" x14ac:dyDescent="0.25">
      <c r="A78" s="16">
        <v>0.5</v>
      </c>
      <c r="B78" s="2" t="s">
        <v>165</v>
      </c>
      <c r="C78" s="40"/>
      <c r="D78" s="40"/>
      <c r="E78" s="40"/>
      <c r="F78" s="40"/>
    </row>
    <row r="79" spans="1:6" x14ac:dyDescent="0.25">
      <c r="A79" s="16">
        <v>0.52083333333333337</v>
      </c>
      <c r="B79" s="2" t="s">
        <v>165</v>
      </c>
      <c r="C79" s="40"/>
      <c r="D79" s="40"/>
      <c r="E79" s="40"/>
      <c r="F79" s="40"/>
    </row>
    <row r="80" spans="1:6" x14ac:dyDescent="0.25">
      <c r="A80" s="16">
        <v>4.1666666666666664E-2</v>
      </c>
      <c r="B80" s="2" t="s">
        <v>165</v>
      </c>
      <c r="C80" s="40"/>
      <c r="D80" s="40"/>
      <c r="E80" s="2" t="s">
        <v>166</v>
      </c>
      <c r="F80" s="40"/>
    </row>
    <row r="81" spans="1:6" x14ac:dyDescent="0.25">
      <c r="A81" s="16">
        <v>6.25E-2</v>
      </c>
      <c r="B81" s="2" t="s">
        <v>165</v>
      </c>
      <c r="C81" s="40"/>
      <c r="D81" s="40"/>
      <c r="E81" s="2" t="s">
        <v>166</v>
      </c>
      <c r="F81" s="40"/>
    </row>
    <row r="82" spans="1:6" x14ac:dyDescent="0.25">
      <c r="A82" s="16">
        <v>8.3333333333333329E-2</v>
      </c>
      <c r="B82" s="2" t="s">
        <v>165</v>
      </c>
      <c r="C82" s="40"/>
      <c r="D82" s="40"/>
      <c r="E82" s="2" t="s">
        <v>166</v>
      </c>
      <c r="F82" s="40"/>
    </row>
    <row r="83" spans="1:6" x14ac:dyDescent="0.25">
      <c r="A83" s="16">
        <v>0.10416666666666667</v>
      </c>
      <c r="B83" s="2" t="s">
        <v>165</v>
      </c>
      <c r="C83" s="2" t="s">
        <v>167</v>
      </c>
      <c r="D83" s="40"/>
      <c r="E83" s="40"/>
      <c r="F83" s="40"/>
    </row>
    <row r="84" spans="1:6" x14ac:dyDescent="0.25">
      <c r="A84" s="16">
        <v>0.125</v>
      </c>
      <c r="B84" s="2" t="s">
        <v>165</v>
      </c>
      <c r="C84" s="2" t="s">
        <v>167</v>
      </c>
      <c r="D84" s="40"/>
      <c r="E84" s="40"/>
      <c r="F84" s="40"/>
    </row>
    <row r="85" spans="1:6" x14ac:dyDescent="0.25">
      <c r="A85" s="16">
        <v>0.14583333333333334</v>
      </c>
      <c r="B85" s="2" t="s">
        <v>165</v>
      </c>
      <c r="C85" s="2" t="s">
        <v>167</v>
      </c>
      <c r="D85" s="40"/>
      <c r="E85" s="40"/>
      <c r="F85" s="40"/>
    </row>
    <row r="86" spans="1:6" ht="15.75" thickBot="1" x14ac:dyDescent="0.3">
      <c r="A86" s="22">
        <v>0.16666666666666666</v>
      </c>
      <c r="B86" s="40"/>
      <c r="C86" s="40"/>
      <c r="D86" s="40"/>
      <c r="E86" s="40"/>
      <c r="F86" s="40"/>
    </row>
    <row r="87" spans="1:6" x14ac:dyDescent="0.25">
      <c r="A87" s="19"/>
      <c r="B87" s="1" t="s">
        <v>168</v>
      </c>
      <c r="C87" s="6"/>
      <c r="D87" s="29"/>
      <c r="E87" s="6"/>
      <c r="F87" s="29"/>
    </row>
    <row r="88" spans="1:6" x14ac:dyDescent="0.25">
      <c r="A88" s="19"/>
      <c r="B88" s="1"/>
      <c r="C88" s="6"/>
      <c r="D88" s="29"/>
      <c r="E88" s="6"/>
      <c r="F88" s="29"/>
    </row>
    <row r="89" spans="1:6" ht="27" thickBot="1" x14ac:dyDescent="0.45">
      <c r="A89" s="20" t="s">
        <v>169</v>
      </c>
    </row>
    <row r="90" spans="1:6" ht="15.75" thickBot="1" x14ac:dyDescent="0.3">
      <c r="A90" s="113"/>
      <c r="B90" s="114" t="s">
        <v>153</v>
      </c>
      <c r="C90" s="114" t="s">
        <v>154</v>
      </c>
      <c r="D90" s="114" t="s">
        <v>155</v>
      </c>
      <c r="E90" s="114" t="s">
        <v>156</v>
      </c>
      <c r="F90" s="114" t="s">
        <v>157</v>
      </c>
    </row>
    <row r="91" spans="1:6" x14ac:dyDescent="0.25">
      <c r="A91" s="15">
        <v>0.33333333333333331</v>
      </c>
      <c r="B91" s="2" t="s">
        <v>170</v>
      </c>
      <c r="C91" s="2" t="s">
        <v>171</v>
      </c>
      <c r="D91" s="203" t="s">
        <v>163</v>
      </c>
      <c r="E91" s="40"/>
      <c r="F91" s="40"/>
    </row>
    <row r="92" spans="1:6" x14ac:dyDescent="0.25">
      <c r="A92" s="16">
        <v>0.35416666666666669</v>
      </c>
      <c r="B92" s="2" t="s">
        <v>170</v>
      </c>
      <c r="C92" s="2" t="s">
        <v>171</v>
      </c>
      <c r="D92" s="203" t="s">
        <v>163</v>
      </c>
      <c r="E92" s="40"/>
      <c r="F92" s="40"/>
    </row>
    <row r="93" spans="1:6" x14ac:dyDescent="0.25">
      <c r="A93" s="16">
        <v>0.375</v>
      </c>
      <c r="B93" s="2" t="s">
        <v>170</v>
      </c>
      <c r="C93" s="2" t="s">
        <v>171</v>
      </c>
      <c r="D93" s="40"/>
      <c r="E93" s="40"/>
      <c r="F93" s="40"/>
    </row>
    <row r="94" spans="1:6" x14ac:dyDescent="0.25">
      <c r="A94" s="16">
        <v>0.39583333333333331</v>
      </c>
      <c r="B94" s="40"/>
      <c r="C94" s="40"/>
      <c r="D94" s="40"/>
      <c r="E94" s="40"/>
      <c r="F94" s="40"/>
    </row>
    <row r="95" spans="1:6" x14ac:dyDescent="0.25">
      <c r="A95" s="16">
        <v>0.41666666666666669</v>
      </c>
      <c r="B95" s="40"/>
      <c r="C95" s="40"/>
      <c r="D95" s="40"/>
      <c r="E95" s="40"/>
      <c r="F95" s="2" t="s">
        <v>172</v>
      </c>
    </row>
    <row r="96" spans="1:6" x14ac:dyDescent="0.25">
      <c r="A96" s="16">
        <v>0.4375</v>
      </c>
      <c r="B96" s="40"/>
      <c r="C96" s="40"/>
      <c r="D96" s="40"/>
      <c r="E96" s="40"/>
      <c r="F96" s="2" t="s">
        <v>172</v>
      </c>
    </row>
    <row r="97" spans="1:6" x14ac:dyDescent="0.25">
      <c r="A97" s="16">
        <v>0.45833333333333331</v>
      </c>
      <c r="B97" s="40"/>
      <c r="C97" s="40"/>
      <c r="D97" s="40"/>
      <c r="E97" s="40"/>
      <c r="F97" s="2" t="s">
        <v>173</v>
      </c>
    </row>
    <row r="98" spans="1:6" x14ac:dyDescent="0.25">
      <c r="A98" s="16">
        <v>0.47916666666666669</v>
      </c>
      <c r="B98" s="40"/>
      <c r="C98" s="40"/>
      <c r="D98" s="40"/>
      <c r="E98" s="40"/>
      <c r="F98" s="2" t="s">
        <v>173</v>
      </c>
    </row>
    <row r="99" spans="1:6" x14ac:dyDescent="0.25">
      <c r="A99" s="16">
        <v>0.5</v>
      </c>
      <c r="B99" s="40"/>
      <c r="C99" s="40"/>
      <c r="D99" s="40"/>
      <c r="E99" s="40"/>
      <c r="F99" s="2" t="s">
        <v>173</v>
      </c>
    </row>
    <row r="100" spans="1:6" x14ac:dyDescent="0.25">
      <c r="A100" s="16">
        <v>0.52083333333333337</v>
      </c>
      <c r="B100" s="40"/>
      <c r="C100" s="40"/>
      <c r="D100" s="40"/>
      <c r="E100" s="40"/>
      <c r="F100" s="40"/>
    </row>
    <row r="101" spans="1:6" x14ac:dyDescent="0.25">
      <c r="A101" s="16">
        <v>4.1666666666666664E-2</v>
      </c>
      <c r="B101" s="40"/>
      <c r="C101" s="2" t="s">
        <v>174</v>
      </c>
      <c r="D101" s="2" t="s">
        <v>175</v>
      </c>
      <c r="E101" s="40"/>
      <c r="F101" s="40"/>
    </row>
    <row r="102" spans="1:6" x14ac:dyDescent="0.25">
      <c r="A102" s="16">
        <v>6.25E-2</v>
      </c>
      <c r="B102" s="40"/>
      <c r="C102" s="2" t="s">
        <v>174</v>
      </c>
      <c r="D102" s="2" t="s">
        <v>175</v>
      </c>
      <c r="E102" s="40"/>
      <c r="F102" s="40"/>
    </row>
    <row r="103" spans="1:6" x14ac:dyDescent="0.25">
      <c r="A103" s="16">
        <v>8.3333333333333329E-2</v>
      </c>
      <c r="B103" s="40"/>
      <c r="C103" s="2" t="s">
        <v>174</v>
      </c>
      <c r="D103" s="2" t="s">
        <v>175</v>
      </c>
      <c r="E103" s="40"/>
      <c r="F103" s="40"/>
    </row>
    <row r="104" spans="1:6" x14ac:dyDescent="0.25">
      <c r="A104" s="16">
        <v>0.10416666666666667</v>
      </c>
      <c r="B104" s="40"/>
      <c r="C104" s="2" t="s">
        <v>174</v>
      </c>
      <c r="D104" s="2" t="s">
        <v>175</v>
      </c>
      <c r="E104" s="40"/>
      <c r="F104" s="40"/>
    </row>
    <row r="105" spans="1:6" x14ac:dyDescent="0.25">
      <c r="A105" s="16">
        <v>0.125</v>
      </c>
      <c r="B105" s="40"/>
      <c r="C105" s="2" t="s">
        <v>174</v>
      </c>
      <c r="D105" s="2" t="s">
        <v>175</v>
      </c>
      <c r="E105" s="40"/>
      <c r="F105" s="40"/>
    </row>
    <row r="106" spans="1:6" x14ac:dyDescent="0.25">
      <c r="A106" s="16">
        <v>0.14583333333333334</v>
      </c>
      <c r="B106" s="40"/>
      <c r="C106" s="2" t="s">
        <v>174</v>
      </c>
      <c r="D106" s="2" t="s">
        <v>175</v>
      </c>
      <c r="E106" s="40"/>
      <c r="F106" s="40"/>
    </row>
    <row r="107" spans="1:6" ht="15.75" thickBot="1" x14ac:dyDescent="0.3">
      <c r="A107" s="22">
        <v>0.16666666666666666</v>
      </c>
      <c r="B107" s="40"/>
      <c r="C107" s="40"/>
      <c r="D107" s="40"/>
      <c r="E107" s="40"/>
      <c r="F107" s="40"/>
    </row>
    <row r="108" spans="1:6" x14ac:dyDescent="0.25">
      <c r="A108" s="19"/>
      <c r="B108" s="6"/>
      <c r="C108" s="6"/>
      <c r="D108" s="29"/>
      <c r="E108" s="6"/>
      <c r="F108" s="29"/>
    </row>
    <row r="109" spans="1:6" ht="27" thickBot="1" x14ac:dyDescent="0.45">
      <c r="A109" s="20" t="s">
        <v>176</v>
      </c>
    </row>
    <row r="110" spans="1:6" ht="15.75" thickBot="1" x14ac:dyDescent="0.3">
      <c r="A110" s="113"/>
      <c r="B110" s="114" t="s">
        <v>153</v>
      </c>
      <c r="C110" s="114" t="s">
        <v>154</v>
      </c>
      <c r="D110" s="13" t="s">
        <v>155</v>
      </c>
      <c r="E110" s="114" t="s">
        <v>156</v>
      </c>
      <c r="F110" s="114" t="s">
        <v>157</v>
      </c>
    </row>
    <row r="111" spans="1:6" x14ac:dyDescent="0.25">
      <c r="A111" s="15">
        <v>0.33333333333333331</v>
      </c>
      <c r="B111" s="40"/>
      <c r="C111" s="40"/>
      <c r="D111" s="40"/>
      <c r="E111" s="40"/>
      <c r="F111" s="40"/>
    </row>
    <row r="112" spans="1:6" x14ac:dyDescent="0.25">
      <c r="A112" s="16">
        <v>0.35416666666666669</v>
      </c>
      <c r="B112" s="40"/>
      <c r="C112" s="40"/>
      <c r="D112" s="40"/>
      <c r="E112" s="40"/>
      <c r="F112" s="40"/>
    </row>
    <row r="113" spans="1:6" x14ac:dyDescent="0.25">
      <c r="A113" s="16">
        <v>0.375</v>
      </c>
      <c r="B113" s="40"/>
      <c r="C113" s="40"/>
      <c r="D113" s="40"/>
      <c r="E113" s="40"/>
      <c r="F113" s="40"/>
    </row>
    <row r="114" spans="1:6" x14ac:dyDescent="0.25">
      <c r="A114" s="16">
        <v>0.39583333333333331</v>
      </c>
      <c r="B114" s="40"/>
      <c r="C114" s="40"/>
      <c r="D114" s="40"/>
      <c r="E114" s="40"/>
      <c r="F114" s="40"/>
    </row>
    <row r="115" spans="1:6" x14ac:dyDescent="0.25">
      <c r="A115" s="16">
        <v>0.41666666666666669</v>
      </c>
      <c r="B115" s="40"/>
      <c r="C115" s="40"/>
      <c r="D115" s="40"/>
      <c r="E115" s="40"/>
      <c r="F115" s="40"/>
    </row>
    <row r="116" spans="1:6" x14ac:dyDescent="0.25">
      <c r="A116" s="16">
        <v>0.4375</v>
      </c>
      <c r="B116" s="40"/>
      <c r="C116" s="40"/>
      <c r="D116" s="40"/>
      <c r="E116" s="40"/>
      <c r="F116" s="40"/>
    </row>
    <row r="117" spans="1:6" x14ac:dyDescent="0.25">
      <c r="A117" s="16">
        <v>0.45833333333333331</v>
      </c>
      <c r="B117" s="40"/>
      <c r="C117" s="40"/>
      <c r="D117" s="40"/>
      <c r="E117" s="40"/>
      <c r="F117" s="40"/>
    </row>
    <row r="118" spans="1:6" x14ac:dyDescent="0.25">
      <c r="A118" s="16">
        <v>0.47916666666666669</v>
      </c>
      <c r="B118" s="40"/>
      <c r="C118" s="40"/>
      <c r="D118" s="40"/>
      <c r="E118" s="40"/>
      <c r="F118" s="40"/>
    </row>
    <row r="119" spans="1:6" x14ac:dyDescent="0.25">
      <c r="A119" s="16">
        <v>0.5</v>
      </c>
      <c r="B119" s="40"/>
      <c r="C119" s="40"/>
      <c r="D119" s="40"/>
      <c r="E119" s="40"/>
      <c r="F119" s="40"/>
    </row>
    <row r="120" spans="1:6" x14ac:dyDescent="0.25">
      <c r="A120" s="16">
        <v>0.52083333333333337</v>
      </c>
      <c r="B120" s="40"/>
      <c r="C120" s="40"/>
      <c r="D120" s="40"/>
      <c r="E120" s="40"/>
      <c r="F120" s="40"/>
    </row>
    <row r="121" spans="1:6" x14ac:dyDescent="0.25">
      <c r="A121" s="16">
        <v>4.1666666666666664E-2</v>
      </c>
      <c r="B121" s="40"/>
      <c r="C121" s="40"/>
      <c r="D121" s="40"/>
      <c r="E121" s="40"/>
      <c r="F121" s="40"/>
    </row>
    <row r="122" spans="1:6" x14ac:dyDescent="0.25">
      <c r="A122" s="16">
        <v>6.25E-2</v>
      </c>
      <c r="B122" s="40"/>
      <c r="C122" s="40"/>
      <c r="D122" s="40"/>
      <c r="E122" s="40"/>
      <c r="F122" s="40"/>
    </row>
    <row r="123" spans="1:6" x14ac:dyDescent="0.25">
      <c r="A123" s="16">
        <v>8.3333333333333329E-2</v>
      </c>
      <c r="B123" s="40"/>
      <c r="C123" s="40"/>
      <c r="D123" s="40"/>
      <c r="E123" s="40"/>
      <c r="F123" s="40"/>
    </row>
    <row r="124" spans="1:6" x14ac:dyDescent="0.25">
      <c r="A124" s="16">
        <v>0.10416666666666667</v>
      </c>
      <c r="B124" s="40"/>
      <c r="C124" s="40"/>
      <c r="D124" s="40"/>
      <c r="E124" s="40"/>
      <c r="F124" s="40"/>
    </row>
    <row r="125" spans="1:6" x14ac:dyDescent="0.25">
      <c r="A125" s="16">
        <v>0.125</v>
      </c>
      <c r="B125" s="40"/>
      <c r="C125" s="40"/>
      <c r="D125" s="40"/>
      <c r="E125" s="40"/>
      <c r="F125" s="40"/>
    </row>
    <row r="126" spans="1:6" x14ac:dyDescent="0.25">
      <c r="A126" s="16">
        <v>0.14583333333333334</v>
      </c>
      <c r="B126" s="40"/>
      <c r="C126" s="40"/>
      <c r="D126" s="40"/>
      <c r="E126" s="40"/>
      <c r="F126" s="40"/>
    </row>
    <row r="127" spans="1:6" ht="15.75" thickBot="1" x14ac:dyDescent="0.3">
      <c r="A127" s="22">
        <v>0.16666666666666666</v>
      </c>
      <c r="B127" s="40"/>
      <c r="C127" s="40"/>
      <c r="D127" s="40"/>
      <c r="E127" s="40"/>
      <c r="F127" s="40"/>
    </row>
    <row r="128" spans="1:6" x14ac:dyDescent="0.25">
      <c r="A128" s="19"/>
      <c r="B128" s="6"/>
      <c r="C128" s="6"/>
      <c r="D128" s="29"/>
      <c r="E128" s="6"/>
      <c r="F128" s="29"/>
    </row>
    <row r="129" spans="1:6" ht="27" thickBot="1" x14ac:dyDescent="0.45">
      <c r="A129" s="20" t="s">
        <v>177</v>
      </c>
    </row>
    <row r="130" spans="1:6" ht="15.75" thickBot="1" x14ac:dyDescent="0.3">
      <c r="A130" s="113"/>
      <c r="B130" s="114" t="s">
        <v>153</v>
      </c>
      <c r="C130" s="114" t="s">
        <v>154</v>
      </c>
      <c r="D130" s="13" t="s">
        <v>155</v>
      </c>
      <c r="E130" s="114" t="s">
        <v>156</v>
      </c>
      <c r="F130" s="114" t="s">
        <v>157</v>
      </c>
    </row>
    <row r="131" spans="1:6" x14ac:dyDescent="0.25">
      <c r="A131" s="15">
        <v>0.33333333333333331</v>
      </c>
      <c r="B131" s="203" t="s">
        <v>178</v>
      </c>
      <c r="C131" s="40"/>
      <c r="D131" s="40"/>
      <c r="E131" s="203" t="s">
        <v>178</v>
      </c>
      <c r="F131" s="203" t="s">
        <v>179</v>
      </c>
    </row>
    <row r="132" spans="1:6" x14ac:dyDescent="0.25">
      <c r="A132" s="16">
        <v>0.35416666666666669</v>
      </c>
      <c r="B132" s="203" t="s">
        <v>178</v>
      </c>
      <c r="C132" s="40"/>
      <c r="D132" s="40"/>
      <c r="E132" s="203" t="s">
        <v>178</v>
      </c>
      <c r="F132" s="203" t="s">
        <v>179</v>
      </c>
    </row>
    <row r="133" spans="1:6" x14ac:dyDescent="0.25">
      <c r="A133" s="16">
        <v>0.375</v>
      </c>
      <c r="B133" s="203" t="s">
        <v>178</v>
      </c>
      <c r="C133" s="40"/>
      <c r="D133" s="40"/>
      <c r="E133" s="203" t="s">
        <v>178</v>
      </c>
      <c r="F133" s="203" t="s">
        <v>179</v>
      </c>
    </row>
    <row r="134" spans="1:6" x14ac:dyDescent="0.25">
      <c r="A134" s="16">
        <v>0.39583333333333331</v>
      </c>
      <c r="B134" s="203" t="s">
        <v>178</v>
      </c>
      <c r="C134" s="40"/>
      <c r="D134" s="40"/>
      <c r="E134" s="203" t="s">
        <v>178</v>
      </c>
      <c r="F134" s="203" t="s">
        <v>179</v>
      </c>
    </row>
    <row r="135" spans="1:6" x14ac:dyDescent="0.25">
      <c r="A135" s="16">
        <v>0.41666666666666669</v>
      </c>
      <c r="B135" s="203" t="s">
        <v>178</v>
      </c>
      <c r="C135" s="40"/>
      <c r="D135" s="40"/>
      <c r="E135" s="203" t="s">
        <v>178</v>
      </c>
      <c r="F135" s="203" t="s">
        <v>179</v>
      </c>
    </row>
    <row r="136" spans="1:6" x14ac:dyDescent="0.25">
      <c r="A136" s="16">
        <v>0.4375</v>
      </c>
      <c r="B136" s="203" t="s">
        <v>178</v>
      </c>
      <c r="C136" s="40"/>
      <c r="D136" s="40"/>
      <c r="E136" s="203" t="s">
        <v>178</v>
      </c>
      <c r="F136" s="203" t="s">
        <v>179</v>
      </c>
    </row>
    <row r="137" spans="1:6" x14ac:dyDescent="0.25">
      <c r="A137" s="16">
        <v>0.45833333333333331</v>
      </c>
      <c r="B137" s="40"/>
      <c r="C137" s="40"/>
      <c r="D137" s="2" t="s">
        <v>180</v>
      </c>
      <c r="E137" s="40"/>
      <c r="F137" s="40"/>
    </row>
    <row r="138" spans="1:6" x14ac:dyDescent="0.25">
      <c r="A138" s="16">
        <v>0.47916666666666669</v>
      </c>
      <c r="B138" s="40"/>
      <c r="C138" s="40"/>
      <c r="D138" s="2" t="s">
        <v>180</v>
      </c>
      <c r="E138" s="40"/>
      <c r="F138" s="40"/>
    </row>
    <row r="139" spans="1:6" x14ac:dyDescent="0.25">
      <c r="A139" s="16">
        <v>0.5</v>
      </c>
      <c r="B139" s="40"/>
      <c r="C139" s="40"/>
      <c r="D139" s="2" t="s">
        <v>180</v>
      </c>
      <c r="E139" s="40"/>
      <c r="F139" s="40"/>
    </row>
    <row r="140" spans="1:6" x14ac:dyDescent="0.25">
      <c r="A140" s="16">
        <v>0.52083333333333337</v>
      </c>
      <c r="B140" s="40"/>
      <c r="C140" s="40"/>
      <c r="D140" s="40"/>
      <c r="E140" s="40"/>
      <c r="F140" s="40"/>
    </row>
    <row r="141" spans="1:6" x14ac:dyDescent="0.25">
      <c r="A141" s="16">
        <v>4.1666666666666664E-2</v>
      </c>
      <c r="B141" s="40"/>
      <c r="C141" s="40"/>
      <c r="D141" s="40"/>
      <c r="E141" s="40"/>
      <c r="F141" s="40"/>
    </row>
    <row r="142" spans="1:6" x14ac:dyDescent="0.25">
      <c r="A142" s="16">
        <v>6.25E-2</v>
      </c>
      <c r="B142" s="40"/>
      <c r="C142" s="40"/>
      <c r="D142" s="2" t="s">
        <v>180</v>
      </c>
      <c r="E142" s="40"/>
      <c r="F142" s="40"/>
    </row>
    <row r="143" spans="1:6" x14ac:dyDescent="0.25">
      <c r="A143" s="16">
        <v>8.3333333333333329E-2</v>
      </c>
      <c r="B143" s="40"/>
      <c r="C143" s="40"/>
      <c r="D143" s="2" t="s">
        <v>180</v>
      </c>
      <c r="E143" s="40"/>
      <c r="F143" s="40"/>
    </row>
    <row r="144" spans="1:6" x14ac:dyDescent="0.25">
      <c r="A144" s="16">
        <v>0.10416666666666667</v>
      </c>
      <c r="B144" s="40"/>
      <c r="C144" s="40"/>
      <c r="D144" s="2" t="s">
        <v>180</v>
      </c>
      <c r="E144" s="40"/>
      <c r="F144" s="40"/>
    </row>
    <row r="145" spans="1:6" x14ac:dyDescent="0.25">
      <c r="A145" s="16">
        <v>0.125</v>
      </c>
      <c r="B145" s="40"/>
      <c r="C145" s="40"/>
      <c r="D145" s="40"/>
      <c r="E145" s="40"/>
      <c r="F145" s="40"/>
    </row>
    <row r="146" spans="1:6" x14ac:dyDescent="0.25">
      <c r="A146" s="16">
        <v>0.14583333333333334</v>
      </c>
      <c r="B146" s="40"/>
      <c r="C146" s="40"/>
      <c r="D146" s="40"/>
      <c r="E146" s="40"/>
      <c r="F146" s="40"/>
    </row>
    <row r="147" spans="1:6" ht="15.75" thickBot="1" x14ac:dyDescent="0.3">
      <c r="A147" s="22">
        <v>0.16666666666666666</v>
      </c>
      <c r="B147" s="40"/>
      <c r="C147" s="40"/>
      <c r="D147" s="40"/>
      <c r="E147" s="40"/>
      <c r="F147" s="40"/>
    </row>
    <row r="148" spans="1:6" x14ac:dyDescent="0.25">
      <c r="A148" s="19"/>
      <c r="B148" s="6"/>
      <c r="C148" s="6"/>
      <c r="D148" s="29"/>
      <c r="E148" s="6"/>
      <c r="F148" s="29"/>
    </row>
    <row r="149" spans="1:6" ht="27" thickBot="1" x14ac:dyDescent="0.45">
      <c r="A149" s="20" t="s">
        <v>181</v>
      </c>
    </row>
    <row r="150" spans="1:6" ht="15.75" thickBot="1" x14ac:dyDescent="0.3">
      <c r="A150" s="113"/>
      <c r="B150" s="114" t="s">
        <v>153</v>
      </c>
      <c r="C150" s="114" t="s">
        <v>154</v>
      </c>
      <c r="D150" s="13" t="s">
        <v>155</v>
      </c>
      <c r="E150" s="114" t="s">
        <v>156</v>
      </c>
      <c r="F150" s="114" t="s">
        <v>157</v>
      </c>
    </row>
    <row r="151" spans="1:6" x14ac:dyDescent="0.25">
      <c r="A151" s="15">
        <v>0.33333333333333331</v>
      </c>
      <c r="B151" s="40"/>
      <c r="C151" s="40"/>
      <c r="D151" s="40"/>
      <c r="E151" s="40"/>
      <c r="F151" s="40"/>
    </row>
    <row r="152" spans="1:6" x14ac:dyDescent="0.25">
      <c r="A152" s="16">
        <v>0.35416666666666669</v>
      </c>
      <c r="B152" s="40"/>
      <c r="C152" s="40"/>
      <c r="D152" s="40"/>
      <c r="E152" s="40"/>
      <c r="F152" s="40"/>
    </row>
    <row r="153" spans="1:6" x14ac:dyDescent="0.25">
      <c r="A153" s="16">
        <v>0.375</v>
      </c>
      <c r="B153" s="40"/>
      <c r="C153" s="40"/>
      <c r="D153" s="40"/>
      <c r="E153" s="40"/>
      <c r="F153" s="40"/>
    </row>
    <row r="154" spans="1:6" x14ac:dyDescent="0.25">
      <c r="A154" s="16">
        <v>0.39583333333333331</v>
      </c>
      <c r="B154" s="40"/>
      <c r="C154" s="2" t="s">
        <v>182</v>
      </c>
      <c r="D154" s="40"/>
      <c r="E154" s="40"/>
      <c r="F154" s="40"/>
    </row>
    <row r="155" spans="1:6" x14ac:dyDescent="0.25">
      <c r="A155" s="16">
        <v>0.41666666666666669</v>
      </c>
      <c r="B155" s="40"/>
      <c r="C155" s="2" t="s">
        <v>182</v>
      </c>
      <c r="D155" s="40"/>
      <c r="E155" s="40"/>
      <c r="F155" s="40"/>
    </row>
    <row r="156" spans="1:6" x14ac:dyDescent="0.25">
      <c r="A156" s="16">
        <v>0.4375</v>
      </c>
      <c r="B156" s="2" t="s">
        <v>182</v>
      </c>
      <c r="C156" s="2" t="s">
        <v>182</v>
      </c>
      <c r="D156" s="40"/>
      <c r="E156" s="40"/>
      <c r="F156" s="40"/>
    </row>
    <row r="157" spans="1:6" x14ac:dyDescent="0.25">
      <c r="A157" s="16">
        <v>0.45833333333333331</v>
      </c>
      <c r="B157" s="2" t="s">
        <v>182</v>
      </c>
      <c r="C157" s="2" t="s">
        <v>182</v>
      </c>
      <c r="D157" s="40"/>
      <c r="E157" s="40"/>
      <c r="F157" s="40"/>
    </row>
    <row r="158" spans="1:6" x14ac:dyDescent="0.25">
      <c r="A158" s="16">
        <v>0.47916666666666669</v>
      </c>
      <c r="B158" s="2" t="s">
        <v>182</v>
      </c>
      <c r="C158" s="2" t="s">
        <v>182</v>
      </c>
      <c r="D158" s="40"/>
      <c r="E158" s="40"/>
      <c r="F158" s="40"/>
    </row>
    <row r="159" spans="1:6" x14ac:dyDescent="0.25">
      <c r="A159" s="16">
        <v>0.5</v>
      </c>
      <c r="B159" s="40"/>
      <c r="C159" s="2" t="s">
        <v>182</v>
      </c>
      <c r="D159" s="40"/>
      <c r="E159" s="40"/>
      <c r="F159" s="40"/>
    </row>
    <row r="160" spans="1:6" x14ac:dyDescent="0.25">
      <c r="A160" s="16">
        <v>0.52083333333333337</v>
      </c>
      <c r="B160" s="40"/>
      <c r="C160" s="40"/>
      <c r="D160" s="40"/>
      <c r="E160" s="40"/>
      <c r="F160" s="40"/>
    </row>
    <row r="161" spans="1:7" x14ac:dyDescent="0.25">
      <c r="A161" s="16">
        <v>4.1666666666666664E-2</v>
      </c>
      <c r="B161" s="2" t="s">
        <v>183</v>
      </c>
      <c r="C161" s="40"/>
      <c r="D161" s="40"/>
      <c r="E161" s="2" t="s">
        <v>184</v>
      </c>
      <c r="F161" s="40"/>
    </row>
    <row r="162" spans="1:7" x14ac:dyDescent="0.25">
      <c r="A162" s="16">
        <v>6.25E-2</v>
      </c>
      <c r="B162" s="2" t="s">
        <v>183</v>
      </c>
      <c r="C162" s="40"/>
      <c r="D162" s="40"/>
      <c r="E162" s="2" t="s">
        <v>184</v>
      </c>
      <c r="F162" s="40"/>
    </row>
    <row r="163" spans="1:7" x14ac:dyDescent="0.25">
      <c r="A163" s="16">
        <v>8.3333333333333329E-2</v>
      </c>
      <c r="B163" s="2" t="s">
        <v>183</v>
      </c>
      <c r="C163" s="40"/>
      <c r="D163" s="40"/>
      <c r="E163" s="2" t="s">
        <v>184</v>
      </c>
      <c r="F163" s="40"/>
    </row>
    <row r="164" spans="1:7" x14ac:dyDescent="0.25">
      <c r="A164" s="16">
        <v>0.10416666666666667</v>
      </c>
      <c r="B164" s="40"/>
      <c r="C164" s="40"/>
      <c r="D164" s="2" t="s">
        <v>185</v>
      </c>
      <c r="E164" s="40"/>
      <c r="F164" s="40"/>
    </row>
    <row r="165" spans="1:7" x14ac:dyDescent="0.25">
      <c r="A165" s="16">
        <v>0.125</v>
      </c>
      <c r="B165" s="40"/>
      <c r="C165" s="40"/>
      <c r="D165" s="2" t="s">
        <v>185</v>
      </c>
      <c r="E165" s="40"/>
      <c r="F165" s="40"/>
    </row>
    <row r="166" spans="1:7" x14ac:dyDescent="0.25">
      <c r="A166" s="16">
        <v>0.14583333333333334</v>
      </c>
      <c r="B166" s="40"/>
      <c r="C166" s="40"/>
      <c r="D166" s="2" t="s">
        <v>185</v>
      </c>
      <c r="E166" s="40"/>
      <c r="F166" s="40"/>
    </row>
    <row r="167" spans="1:7" ht="15.75" thickBot="1" x14ac:dyDescent="0.3">
      <c r="A167" s="22">
        <v>0.16666666666666666</v>
      </c>
      <c r="B167" s="40"/>
      <c r="C167" s="40"/>
      <c r="D167" s="40"/>
      <c r="E167" s="40"/>
      <c r="F167" s="40"/>
    </row>
    <row r="168" spans="1:7" x14ac:dyDescent="0.25">
      <c r="A168" s="19"/>
      <c r="B168" s="6"/>
      <c r="C168" s="6"/>
      <c r="D168" s="29"/>
      <c r="E168" s="6"/>
      <c r="F168" s="29"/>
    </row>
    <row r="169" spans="1:7" ht="27" thickBot="1" x14ac:dyDescent="0.45">
      <c r="A169" s="12" t="s">
        <v>186</v>
      </c>
      <c r="B169" s="6"/>
      <c r="C169" s="6"/>
      <c r="D169" s="6"/>
      <c r="E169" s="6"/>
      <c r="F169" s="6"/>
    </row>
    <row r="170" spans="1:7" s="14" customFormat="1" ht="13.5" thickBot="1" x14ac:dyDescent="0.25">
      <c r="A170" s="113"/>
      <c r="B170" s="114" t="s">
        <v>153</v>
      </c>
      <c r="C170" s="13" t="s">
        <v>154</v>
      </c>
      <c r="D170" s="13" t="s">
        <v>155</v>
      </c>
      <c r="E170" s="13" t="s">
        <v>156</v>
      </c>
      <c r="F170" s="13" t="s">
        <v>157</v>
      </c>
    </row>
    <row r="171" spans="1:7" x14ac:dyDescent="0.25">
      <c r="A171" s="15">
        <v>0.33333333333333331</v>
      </c>
      <c r="B171" s="17" t="s">
        <v>187</v>
      </c>
      <c r="C171" s="17" t="s">
        <v>187</v>
      </c>
      <c r="D171" s="17" t="s">
        <v>187</v>
      </c>
      <c r="E171" s="17" t="s">
        <v>188</v>
      </c>
      <c r="F171" s="3"/>
    </row>
    <row r="172" spans="1:7" x14ac:dyDescent="0.25">
      <c r="A172" s="16">
        <v>0.35416666666666669</v>
      </c>
      <c r="B172" s="17" t="s">
        <v>187</v>
      </c>
      <c r="C172" s="17" t="s">
        <v>187</v>
      </c>
      <c r="D172" s="17" t="s">
        <v>187</v>
      </c>
      <c r="E172" s="17" t="s">
        <v>188</v>
      </c>
      <c r="F172" s="3"/>
    </row>
    <row r="173" spans="1:7" x14ac:dyDescent="0.25">
      <c r="A173" s="16">
        <v>0.375</v>
      </c>
      <c r="B173" s="17" t="s">
        <v>187</v>
      </c>
      <c r="C173" s="17" t="s">
        <v>187</v>
      </c>
      <c r="D173" s="17" t="s">
        <v>187</v>
      </c>
      <c r="E173" s="17" t="s">
        <v>188</v>
      </c>
      <c r="F173" s="3"/>
      <c r="G173" s="14"/>
    </row>
    <row r="174" spans="1:7" x14ac:dyDescent="0.25">
      <c r="A174" s="16">
        <v>0.39583333333333331</v>
      </c>
      <c r="B174" s="17" t="s">
        <v>187</v>
      </c>
      <c r="C174" s="17" t="s">
        <v>187</v>
      </c>
      <c r="D174" s="17" t="s">
        <v>187</v>
      </c>
      <c r="E174" s="17" t="s">
        <v>188</v>
      </c>
      <c r="F174" s="3"/>
    </row>
    <row r="175" spans="1:7" x14ac:dyDescent="0.25">
      <c r="A175" s="16">
        <v>0.41666666666666669</v>
      </c>
      <c r="B175" s="17" t="s">
        <v>187</v>
      </c>
      <c r="C175" s="17" t="s">
        <v>187</v>
      </c>
      <c r="D175" s="17" t="s">
        <v>187</v>
      </c>
      <c r="E175" s="17" t="s">
        <v>188</v>
      </c>
      <c r="F175" s="3"/>
    </row>
    <row r="176" spans="1:7" x14ac:dyDescent="0.25">
      <c r="A176" s="16">
        <v>0.4375</v>
      </c>
      <c r="B176" s="17" t="s">
        <v>187</v>
      </c>
      <c r="C176" s="17" t="s">
        <v>187</v>
      </c>
      <c r="D176" s="17" t="s">
        <v>187</v>
      </c>
      <c r="E176" s="17" t="s">
        <v>188</v>
      </c>
      <c r="F176" s="3"/>
      <c r="G176" s="14"/>
    </row>
    <row r="177" spans="1:6" x14ac:dyDescent="0.25">
      <c r="A177" s="16">
        <v>0.45833333333333331</v>
      </c>
      <c r="B177" s="17" t="s">
        <v>187</v>
      </c>
      <c r="C177" s="3"/>
      <c r="D177" s="17" t="s">
        <v>187</v>
      </c>
      <c r="E177" s="17" t="s">
        <v>188</v>
      </c>
      <c r="F177" s="3"/>
    </row>
    <row r="178" spans="1:6" x14ac:dyDescent="0.25">
      <c r="A178" s="16">
        <v>0.47916666666666669</v>
      </c>
      <c r="B178" s="17" t="s">
        <v>187</v>
      </c>
      <c r="C178" s="3"/>
      <c r="D178" s="17" t="s">
        <v>187</v>
      </c>
      <c r="E178" s="17" t="s">
        <v>188</v>
      </c>
      <c r="F178" s="3"/>
    </row>
    <row r="179" spans="1:6" x14ac:dyDescent="0.25">
      <c r="A179" s="16">
        <v>0.5</v>
      </c>
      <c r="B179" s="17" t="s">
        <v>187</v>
      </c>
      <c r="C179" s="3"/>
      <c r="D179" s="17" t="s">
        <v>187</v>
      </c>
      <c r="E179" s="3"/>
      <c r="F179" s="3"/>
    </row>
    <row r="180" spans="1:6" ht="15" customHeight="1" x14ac:dyDescent="0.25">
      <c r="A180" s="16">
        <v>0.52083333333333337</v>
      </c>
      <c r="B180" s="17" t="s">
        <v>187</v>
      </c>
      <c r="C180" s="17" t="s">
        <v>187</v>
      </c>
      <c r="D180" s="17" t="s">
        <v>187</v>
      </c>
      <c r="E180" s="3"/>
      <c r="F180" s="3"/>
    </row>
    <row r="181" spans="1:6" ht="15" customHeight="1" x14ac:dyDescent="0.25">
      <c r="A181" s="16">
        <v>4.1666666666666664E-2</v>
      </c>
      <c r="B181" s="17" t="s">
        <v>187</v>
      </c>
      <c r="C181" s="17" t="s">
        <v>189</v>
      </c>
      <c r="D181" s="3"/>
      <c r="E181" s="3"/>
      <c r="F181" s="3"/>
    </row>
    <row r="182" spans="1:6" ht="15" customHeight="1" x14ac:dyDescent="0.25">
      <c r="A182" s="16">
        <v>6.25E-2</v>
      </c>
      <c r="B182" s="17" t="s">
        <v>187</v>
      </c>
      <c r="C182" s="17" t="s">
        <v>189</v>
      </c>
      <c r="D182" s="3"/>
      <c r="E182" s="3"/>
      <c r="F182" s="3"/>
    </row>
    <row r="183" spans="1:6" ht="15" customHeight="1" x14ac:dyDescent="0.25">
      <c r="A183" s="16">
        <v>8.3333333333333329E-2</v>
      </c>
      <c r="B183" s="17" t="s">
        <v>187</v>
      </c>
      <c r="C183" s="17" t="s">
        <v>189</v>
      </c>
      <c r="D183" s="3"/>
      <c r="E183" s="3"/>
      <c r="F183" s="3"/>
    </row>
    <row r="184" spans="1:6" ht="15" customHeight="1" x14ac:dyDescent="0.25">
      <c r="A184" s="16">
        <v>0.10416666666666667</v>
      </c>
      <c r="B184" s="17" t="s">
        <v>187</v>
      </c>
      <c r="C184" s="17" t="s">
        <v>189</v>
      </c>
      <c r="D184" s="3"/>
      <c r="E184" s="3"/>
      <c r="F184" s="3"/>
    </row>
    <row r="185" spans="1:6" ht="15" customHeight="1" x14ac:dyDescent="0.25">
      <c r="A185" s="16">
        <v>0.125</v>
      </c>
      <c r="B185" s="17" t="s">
        <v>187</v>
      </c>
      <c r="C185" s="17" t="s">
        <v>189</v>
      </c>
      <c r="D185" s="3"/>
      <c r="E185" s="3"/>
      <c r="F185" s="3"/>
    </row>
    <row r="186" spans="1:6" ht="15" customHeight="1" x14ac:dyDescent="0.25">
      <c r="A186" s="16">
        <v>0.14583333333333334</v>
      </c>
      <c r="B186" s="17" t="s">
        <v>187</v>
      </c>
      <c r="C186" s="17" t="s">
        <v>189</v>
      </c>
      <c r="D186" s="3"/>
      <c r="E186" s="3"/>
      <c r="F186" s="3"/>
    </row>
    <row r="187" spans="1:6" ht="15.75" customHeight="1" thickBot="1" x14ac:dyDescent="0.3">
      <c r="A187" s="18">
        <v>0.16666666666666666</v>
      </c>
      <c r="B187" s="17" t="s">
        <v>187</v>
      </c>
      <c r="C187" s="17" t="s">
        <v>189</v>
      </c>
      <c r="D187" s="3"/>
      <c r="E187" s="3"/>
      <c r="F187" s="3"/>
    </row>
    <row r="188" spans="1:6" x14ac:dyDescent="0.25">
      <c r="A188" s="19"/>
      <c r="B188" s="6"/>
      <c r="C188" s="6"/>
      <c r="D188" s="6"/>
      <c r="E188" s="6"/>
      <c r="F188" s="6"/>
    </row>
    <row r="189" spans="1:6" x14ac:dyDescent="0.25">
      <c r="A189" s="19"/>
      <c r="B189" s="6"/>
      <c r="C189" s="6"/>
      <c r="D189" s="6"/>
      <c r="E189" s="6"/>
      <c r="F189" s="6"/>
    </row>
    <row r="190" spans="1:6" ht="26.25" x14ac:dyDescent="0.4">
      <c r="A190" s="20" t="s">
        <v>190</v>
      </c>
      <c r="B190" s="6"/>
      <c r="C190" s="6"/>
      <c r="D190" s="6"/>
      <c r="E190" s="6"/>
      <c r="F190" s="6"/>
    </row>
    <row r="191" spans="1:6" x14ac:dyDescent="0.25">
      <c r="A191" s="19"/>
      <c r="B191" s="6"/>
      <c r="C191" s="6"/>
      <c r="D191" s="6"/>
      <c r="E191" s="6"/>
    </row>
    <row r="192" spans="1:6" ht="27" thickBot="1" x14ac:dyDescent="0.45">
      <c r="A192" s="20" t="s">
        <v>191</v>
      </c>
      <c r="B192" s="6"/>
      <c r="C192" s="6"/>
      <c r="D192" s="6"/>
      <c r="E192" s="6"/>
      <c r="F192" s="6"/>
    </row>
    <row r="193" spans="1:6" s="14" customFormat="1" ht="13.5" thickBot="1" x14ac:dyDescent="0.25">
      <c r="A193" s="113"/>
      <c r="B193" s="114" t="s">
        <v>153</v>
      </c>
      <c r="C193" s="114" t="s">
        <v>154</v>
      </c>
      <c r="D193" s="114" t="s">
        <v>155</v>
      </c>
      <c r="E193" s="114" t="s">
        <v>156</v>
      </c>
      <c r="F193" s="114" t="s">
        <v>157</v>
      </c>
    </row>
    <row r="194" spans="1:6" x14ac:dyDescent="0.25">
      <c r="A194" s="15">
        <v>0.33333333333333331</v>
      </c>
      <c r="B194" s="40"/>
      <c r="C194" s="40"/>
      <c r="D194" s="40"/>
      <c r="E194" s="40"/>
      <c r="F194" s="40"/>
    </row>
    <row r="195" spans="1:6" x14ac:dyDescent="0.25">
      <c r="A195" s="16">
        <v>0.35416666666666669</v>
      </c>
      <c r="B195" s="40"/>
      <c r="C195" s="40"/>
      <c r="D195" s="40"/>
      <c r="E195" s="40"/>
      <c r="F195" s="40"/>
    </row>
    <row r="196" spans="1:6" x14ac:dyDescent="0.25">
      <c r="A196" s="16">
        <v>0.375</v>
      </c>
      <c r="B196" s="40"/>
      <c r="C196" s="40"/>
      <c r="D196" s="40"/>
      <c r="E196" s="40"/>
      <c r="F196" s="2" t="s">
        <v>192</v>
      </c>
    </row>
    <row r="197" spans="1:6" x14ac:dyDescent="0.25">
      <c r="A197" s="16">
        <v>0.39583333333333331</v>
      </c>
      <c r="B197" s="40"/>
      <c r="C197" s="40"/>
      <c r="D197" s="40"/>
      <c r="E197" s="40"/>
      <c r="F197" s="2" t="s">
        <v>192</v>
      </c>
    </row>
    <row r="198" spans="1:6" x14ac:dyDescent="0.25">
      <c r="A198" s="16">
        <v>0.41666666666666669</v>
      </c>
      <c r="B198" s="40"/>
      <c r="C198" s="40"/>
      <c r="D198" s="40"/>
      <c r="E198" s="40"/>
      <c r="F198" s="2" t="s">
        <v>192</v>
      </c>
    </row>
    <row r="199" spans="1:6" x14ac:dyDescent="0.25">
      <c r="A199" s="16">
        <v>0.4375</v>
      </c>
      <c r="B199" s="40"/>
      <c r="C199" s="40"/>
      <c r="D199" s="40"/>
      <c r="E199" s="40"/>
      <c r="F199" s="2" t="s">
        <v>192</v>
      </c>
    </row>
    <row r="200" spans="1:6" x14ac:dyDescent="0.25">
      <c r="A200" s="16">
        <v>0.45833333333333331</v>
      </c>
      <c r="B200" s="40"/>
      <c r="C200" s="40"/>
      <c r="D200" s="40"/>
      <c r="E200" s="40"/>
      <c r="F200" s="2" t="s">
        <v>192</v>
      </c>
    </row>
    <row r="201" spans="1:6" x14ac:dyDescent="0.25">
      <c r="A201" s="16">
        <v>0.47916666666666669</v>
      </c>
      <c r="B201" s="40"/>
      <c r="C201" s="40"/>
      <c r="D201" s="40"/>
      <c r="E201" s="40"/>
      <c r="F201" s="2" t="s">
        <v>192</v>
      </c>
    </row>
    <row r="202" spans="1:6" x14ac:dyDescent="0.25">
      <c r="A202" s="16">
        <v>0.5</v>
      </c>
      <c r="B202" s="2" t="s">
        <v>193</v>
      </c>
      <c r="C202" s="40"/>
      <c r="D202" s="2" t="s">
        <v>194</v>
      </c>
      <c r="E202" s="40"/>
      <c r="F202" s="2" t="s">
        <v>192</v>
      </c>
    </row>
    <row r="203" spans="1:6" x14ac:dyDescent="0.25">
      <c r="A203" s="16">
        <v>0.52083333333333337</v>
      </c>
      <c r="B203" s="2" t="s">
        <v>193</v>
      </c>
      <c r="C203" s="40"/>
      <c r="D203" s="2" t="s">
        <v>194</v>
      </c>
      <c r="E203" s="40"/>
      <c r="F203" s="2" t="s">
        <v>192</v>
      </c>
    </row>
    <row r="204" spans="1:6" x14ac:dyDescent="0.25">
      <c r="A204" s="16">
        <v>4.1666666666666664E-2</v>
      </c>
      <c r="B204" s="2" t="s">
        <v>193</v>
      </c>
      <c r="C204" s="40"/>
      <c r="D204" s="2" t="s">
        <v>194</v>
      </c>
      <c r="E204" s="40"/>
      <c r="F204" s="40"/>
    </row>
    <row r="205" spans="1:6" x14ac:dyDescent="0.25">
      <c r="A205" s="16">
        <v>6.25E-2</v>
      </c>
      <c r="B205" s="2" t="s">
        <v>193</v>
      </c>
      <c r="C205" s="40"/>
      <c r="D205" s="2" t="s">
        <v>194</v>
      </c>
      <c r="E205" s="40"/>
      <c r="F205" s="40"/>
    </row>
    <row r="206" spans="1:6" x14ac:dyDescent="0.25">
      <c r="A206" s="16">
        <v>8.3333333333333329E-2</v>
      </c>
      <c r="B206" s="40"/>
      <c r="C206" s="40"/>
      <c r="D206" s="40"/>
      <c r="E206" s="40"/>
      <c r="F206" s="40"/>
    </row>
    <row r="207" spans="1:6" x14ac:dyDescent="0.25">
      <c r="A207" s="16">
        <v>0.10416666666666667</v>
      </c>
      <c r="B207" s="40"/>
      <c r="C207" s="40"/>
      <c r="D207" s="40"/>
      <c r="E207" s="40"/>
      <c r="F207" s="40"/>
    </row>
    <row r="208" spans="1:6" x14ac:dyDescent="0.25">
      <c r="A208" s="16">
        <v>0.125</v>
      </c>
      <c r="B208" s="40"/>
      <c r="C208" s="40"/>
      <c r="D208" s="40"/>
      <c r="E208" s="40"/>
      <c r="F208" s="40"/>
    </row>
    <row r="209" spans="1:6" x14ac:dyDescent="0.25">
      <c r="A209" s="16">
        <v>0.14583333333333334</v>
      </c>
      <c r="B209" s="40"/>
      <c r="C209" s="40"/>
      <c r="D209" s="40"/>
      <c r="E209" s="40"/>
      <c r="F209" s="40"/>
    </row>
    <row r="210" spans="1:6" ht="15.75" thickBot="1" x14ac:dyDescent="0.3">
      <c r="A210" s="22">
        <v>0.16666666666666666</v>
      </c>
      <c r="B210" s="40"/>
      <c r="C210" s="40"/>
      <c r="D210" s="40"/>
      <c r="E210" s="40"/>
      <c r="F210" s="40"/>
    </row>
    <row r="211" spans="1:6" x14ac:dyDescent="0.25">
      <c r="A211" s="19"/>
      <c r="B211" s="6"/>
      <c r="C211" s="6"/>
      <c r="D211" s="6"/>
      <c r="E211" s="6"/>
    </row>
    <row r="212" spans="1:6" ht="27" thickBot="1" x14ac:dyDescent="0.45">
      <c r="A212" s="20" t="s">
        <v>195</v>
      </c>
      <c r="B212" s="6"/>
      <c r="C212" s="6"/>
      <c r="D212" s="6"/>
      <c r="E212" s="6"/>
      <c r="F212" s="6"/>
    </row>
    <row r="213" spans="1:6" s="14" customFormat="1" ht="13.5" thickBot="1" x14ac:dyDescent="0.25">
      <c r="A213" s="113"/>
      <c r="B213" s="114" t="s">
        <v>153</v>
      </c>
      <c r="C213" s="114" t="s">
        <v>154</v>
      </c>
      <c r="D213" s="114" t="s">
        <v>155</v>
      </c>
      <c r="E213" s="114" t="s">
        <v>156</v>
      </c>
      <c r="F213" s="114" t="s">
        <v>157</v>
      </c>
    </row>
    <row r="214" spans="1:6" x14ac:dyDescent="0.25">
      <c r="A214" s="15">
        <v>0.33333333333333331</v>
      </c>
      <c r="B214" s="40"/>
      <c r="C214" s="40"/>
      <c r="D214" s="40"/>
      <c r="E214" s="40"/>
      <c r="F214" s="40"/>
    </row>
    <row r="215" spans="1:6" x14ac:dyDescent="0.25">
      <c r="A215" s="16">
        <v>0.35416666666666669</v>
      </c>
      <c r="B215" s="40"/>
      <c r="C215" s="40"/>
      <c r="D215" s="40"/>
      <c r="E215" s="40"/>
      <c r="F215" s="40"/>
    </row>
    <row r="216" spans="1:6" x14ac:dyDescent="0.25">
      <c r="A216" s="16">
        <v>0.375</v>
      </c>
      <c r="B216" s="40"/>
      <c r="C216" s="40"/>
      <c r="D216" s="40"/>
      <c r="E216" s="40"/>
      <c r="F216" s="40"/>
    </row>
    <row r="217" spans="1:6" x14ac:dyDescent="0.25">
      <c r="A217" s="16">
        <v>0.39583333333333331</v>
      </c>
      <c r="B217" s="40"/>
      <c r="C217" s="40"/>
      <c r="D217" s="40"/>
      <c r="E217" s="40"/>
      <c r="F217" s="40"/>
    </row>
    <row r="218" spans="1:6" x14ac:dyDescent="0.25">
      <c r="A218" s="16">
        <v>0.41666666666666669</v>
      </c>
      <c r="B218" s="40"/>
      <c r="C218" s="40"/>
      <c r="D218" s="40"/>
      <c r="E218" s="40"/>
      <c r="F218" s="40"/>
    </row>
    <row r="219" spans="1:6" x14ac:dyDescent="0.25">
      <c r="A219" s="16">
        <v>0.4375</v>
      </c>
      <c r="B219" s="40"/>
      <c r="C219" s="40"/>
      <c r="D219" s="40"/>
      <c r="E219" s="40"/>
      <c r="F219" s="40"/>
    </row>
    <row r="220" spans="1:6" x14ac:dyDescent="0.25">
      <c r="A220" s="16">
        <v>0.45833333333333331</v>
      </c>
      <c r="B220" s="40"/>
      <c r="C220" s="40"/>
      <c r="D220" s="40"/>
      <c r="E220" s="40"/>
      <c r="F220" s="40"/>
    </row>
    <row r="221" spans="1:6" x14ac:dyDescent="0.25">
      <c r="A221" s="16">
        <v>0.47916666666666669</v>
      </c>
      <c r="B221" s="40"/>
      <c r="C221" s="40"/>
      <c r="D221" s="40"/>
      <c r="E221" s="40"/>
      <c r="F221" s="40"/>
    </row>
    <row r="222" spans="1:6" x14ac:dyDescent="0.25">
      <c r="A222" s="16">
        <v>0.5</v>
      </c>
      <c r="B222" s="2" t="s">
        <v>196</v>
      </c>
      <c r="C222" s="40"/>
      <c r="D222" s="40"/>
      <c r="E222" s="40"/>
      <c r="F222" s="40"/>
    </row>
    <row r="223" spans="1:6" x14ac:dyDescent="0.25">
      <c r="A223" s="16">
        <v>0.52083333333333337</v>
      </c>
      <c r="B223" s="2" t="s">
        <v>196</v>
      </c>
      <c r="C223" s="40"/>
      <c r="D223" s="40"/>
      <c r="E223" s="40"/>
      <c r="F223" s="40"/>
    </row>
    <row r="224" spans="1:6" x14ac:dyDescent="0.25">
      <c r="A224" s="16">
        <v>4.1666666666666664E-2</v>
      </c>
      <c r="B224" s="2" t="s">
        <v>196</v>
      </c>
      <c r="C224" s="40"/>
      <c r="D224" s="40"/>
      <c r="E224" s="40"/>
      <c r="F224" s="40"/>
    </row>
    <row r="225" spans="1:6" x14ac:dyDescent="0.25">
      <c r="A225" s="16">
        <v>6.25E-2</v>
      </c>
      <c r="B225" s="2" t="s">
        <v>196</v>
      </c>
      <c r="C225" s="40"/>
      <c r="D225" s="40"/>
      <c r="E225" s="40"/>
      <c r="F225" s="40"/>
    </row>
    <row r="226" spans="1:6" x14ac:dyDescent="0.25">
      <c r="A226" s="16">
        <v>8.3333333333333329E-2</v>
      </c>
      <c r="B226" s="40"/>
      <c r="C226" s="40"/>
      <c r="D226" s="40"/>
      <c r="E226" s="40"/>
      <c r="F226" s="40"/>
    </row>
    <row r="227" spans="1:6" x14ac:dyDescent="0.25">
      <c r="A227" s="16">
        <v>0.10416666666666667</v>
      </c>
      <c r="B227" s="40"/>
      <c r="C227" s="40"/>
      <c r="D227" s="40"/>
      <c r="E227" s="40"/>
      <c r="F227" s="40"/>
    </row>
    <row r="228" spans="1:6" x14ac:dyDescent="0.25">
      <c r="A228" s="16">
        <v>0.125</v>
      </c>
      <c r="B228" s="40"/>
      <c r="C228" s="40"/>
      <c r="D228" s="40"/>
      <c r="E228" s="40"/>
      <c r="F228" s="40"/>
    </row>
    <row r="229" spans="1:6" x14ac:dyDescent="0.25">
      <c r="A229" s="16">
        <v>0.14583333333333334</v>
      </c>
      <c r="B229" s="40"/>
      <c r="C229" s="40"/>
      <c r="D229" s="40"/>
      <c r="E229" s="40"/>
      <c r="F229" s="40"/>
    </row>
    <row r="230" spans="1:6" ht="15.75" thickBot="1" x14ac:dyDescent="0.3">
      <c r="A230" s="22">
        <v>0.16666666666666666</v>
      </c>
      <c r="B230" s="40"/>
      <c r="C230" s="40"/>
      <c r="D230" s="40"/>
      <c r="E230" s="40"/>
      <c r="F230" s="40"/>
    </row>
    <row r="231" spans="1:6" x14ac:dyDescent="0.25">
      <c r="A231" s="19"/>
      <c r="B231" s="6"/>
      <c r="C231" s="6"/>
      <c r="D231" s="6"/>
      <c r="E231" s="6"/>
    </row>
    <row r="232" spans="1:6" ht="27" thickBot="1" x14ac:dyDescent="0.45">
      <c r="A232" s="20" t="s">
        <v>197</v>
      </c>
      <c r="B232" s="6"/>
      <c r="C232" s="6"/>
      <c r="D232" s="6"/>
      <c r="E232" s="6"/>
      <c r="F232" s="30"/>
    </row>
    <row r="233" spans="1:6" s="14" customFormat="1" ht="13.5" thickBot="1" x14ac:dyDescent="0.25">
      <c r="A233" s="113"/>
      <c r="B233" s="114" t="s">
        <v>153</v>
      </c>
      <c r="C233" s="114" t="s">
        <v>154</v>
      </c>
      <c r="D233" s="114" t="s">
        <v>155</v>
      </c>
      <c r="E233" s="114" t="s">
        <v>156</v>
      </c>
      <c r="F233" s="114" t="s">
        <v>157</v>
      </c>
    </row>
    <row r="234" spans="1:6" x14ac:dyDescent="0.25">
      <c r="A234" s="15">
        <v>0.33333333333333331</v>
      </c>
      <c r="B234" s="40"/>
      <c r="C234" s="40"/>
      <c r="D234" s="2" t="s">
        <v>198</v>
      </c>
      <c r="E234" s="40"/>
      <c r="F234" s="40"/>
    </row>
    <row r="235" spans="1:6" x14ac:dyDescent="0.25">
      <c r="A235" s="16">
        <v>0.35416666666666669</v>
      </c>
      <c r="B235" s="40"/>
      <c r="C235" s="40"/>
      <c r="D235" s="2" t="s">
        <v>198</v>
      </c>
      <c r="E235" s="40"/>
      <c r="F235" s="40"/>
    </row>
    <row r="236" spans="1:6" x14ac:dyDescent="0.25">
      <c r="A236" s="16">
        <v>0.375</v>
      </c>
      <c r="B236" s="40"/>
      <c r="C236" s="40"/>
      <c r="D236" s="2" t="s">
        <v>198</v>
      </c>
      <c r="E236" s="40"/>
      <c r="F236" s="40"/>
    </row>
    <row r="237" spans="1:6" x14ac:dyDescent="0.25">
      <c r="A237" s="16">
        <v>0.39583333333333331</v>
      </c>
      <c r="B237" s="40"/>
      <c r="C237" s="40"/>
      <c r="D237" s="2" t="s">
        <v>198</v>
      </c>
      <c r="E237" s="40"/>
      <c r="F237" s="40"/>
    </row>
    <row r="238" spans="1:6" x14ac:dyDescent="0.25">
      <c r="A238" s="16">
        <v>0.41666666666666669</v>
      </c>
      <c r="B238" s="40"/>
      <c r="C238" s="40"/>
      <c r="D238" s="40"/>
      <c r="E238" s="40"/>
      <c r="F238" s="2" t="s">
        <v>198</v>
      </c>
    </row>
    <row r="239" spans="1:6" x14ac:dyDescent="0.25">
      <c r="A239" s="16">
        <v>0.4375</v>
      </c>
      <c r="B239" s="40"/>
      <c r="C239" s="40"/>
      <c r="D239" s="40"/>
      <c r="E239" s="40"/>
      <c r="F239" s="2" t="s">
        <v>198</v>
      </c>
    </row>
    <row r="240" spans="1:6" x14ac:dyDescent="0.25">
      <c r="A240" s="16">
        <v>0.45833333333333331</v>
      </c>
      <c r="B240" s="40"/>
      <c r="C240" s="40"/>
      <c r="D240" s="40"/>
      <c r="E240" s="40"/>
      <c r="F240" s="2" t="s">
        <v>198</v>
      </c>
    </row>
    <row r="241" spans="1:6" x14ac:dyDescent="0.25">
      <c r="A241" s="16">
        <v>0.47916666666666669</v>
      </c>
      <c r="B241" s="40"/>
      <c r="C241" s="40"/>
      <c r="D241" s="40"/>
      <c r="E241" s="40"/>
      <c r="F241" s="2" t="s">
        <v>198</v>
      </c>
    </row>
    <row r="242" spans="1:6" x14ac:dyDescent="0.25">
      <c r="A242" s="16">
        <v>0.5</v>
      </c>
      <c r="B242" s="40"/>
      <c r="C242" s="40"/>
      <c r="D242" s="40"/>
      <c r="E242" s="40"/>
      <c r="F242" s="40"/>
    </row>
    <row r="243" spans="1:6" x14ac:dyDescent="0.25">
      <c r="A243" s="16">
        <v>0.52083333333333337</v>
      </c>
      <c r="B243" s="40"/>
      <c r="C243" s="40"/>
      <c r="D243" s="40"/>
      <c r="E243" s="40"/>
      <c r="F243" s="40"/>
    </row>
    <row r="244" spans="1:6" x14ac:dyDescent="0.25">
      <c r="A244" s="16">
        <v>4.1666666666666664E-2</v>
      </c>
      <c r="B244" s="40"/>
      <c r="C244" s="2" t="s">
        <v>198</v>
      </c>
      <c r="D244" s="40"/>
      <c r="E244" s="2" t="s">
        <v>199</v>
      </c>
      <c r="F244" s="2" t="s">
        <v>198</v>
      </c>
    </row>
    <row r="245" spans="1:6" x14ac:dyDescent="0.25">
      <c r="A245" s="16">
        <v>6.25E-2</v>
      </c>
      <c r="B245" s="40"/>
      <c r="C245" s="2" t="s">
        <v>198</v>
      </c>
      <c r="D245" s="40"/>
      <c r="E245" s="2" t="s">
        <v>199</v>
      </c>
      <c r="F245" s="2" t="s">
        <v>198</v>
      </c>
    </row>
    <row r="246" spans="1:6" x14ac:dyDescent="0.25">
      <c r="A246" s="16">
        <v>8.3333333333333329E-2</v>
      </c>
      <c r="B246" s="40"/>
      <c r="C246" s="2" t="s">
        <v>198</v>
      </c>
      <c r="D246" s="2" t="s">
        <v>198</v>
      </c>
      <c r="E246" s="2" t="s">
        <v>199</v>
      </c>
      <c r="F246" s="2" t="s">
        <v>198</v>
      </c>
    </row>
    <row r="247" spans="1:6" x14ac:dyDescent="0.25">
      <c r="A247" s="16">
        <v>0.10416666666666667</v>
      </c>
      <c r="B247" s="40"/>
      <c r="C247" s="2" t="s">
        <v>198</v>
      </c>
      <c r="D247" s="2" t="s">
        <v>198</v>
      </c>
      <c r="E247" s="2" t="s">
        <v>199</v>
      </c>
      <c r="F247" s="2" t="s">
        <v>198</v>
      </c>
    </row>
    <row r="248" spans="1:6" x14ac:dyDescent="0.25">
      <c r="A248" s="16">
        <v>0.125</v>
      </c>
      <c r="B248" s="40"/>
      <c r="C248" s="40"/>
      <c r="D248" s="40"/>
      <c r="E248" s="40"/>
      <c r="F248" s="2" t="s">
        <v>198</v>
      </c>
    </row>
    <row r="249" spans="1:6" x14ac:dyDescent="0.25">
      <c r="A249" s="16">
        <v>0.14583333333333334</v>
      </c>
      <c r="B249" s="40"/>
      <c r="C249" s="40"/>
      <c r="D249" s="40"/>
      <c r="E249" s="40"/>
      <c r="F249" s="2" t="s">
        <v>198</v>
      </c>
    </row>
    <row r="250" spans="1:6" ht="15.75" thickBot="1" x14ac:dyDescent="0.3">
      <c r="A250" s="22">
        <v>0.16666666666666666</v>
      </c>
      <c r="B250" s="40"/>
      <c r="C250" s="40"/>
      <c r="D250" s="40"/>
      <c r="E250" s="40"/>
      <c r="F250" s="40"/>
    </row>
    <row r="251" spans="1:6" x14ac:dyDescent="0.25">
      <c r="A251" s="19"/>
      <c r="B251" s="105"/>
      <c r="C251" s="105"/>
      <c r="D251" s="105"/>
      <c r="E251" s="105"/>
      <c r="F251" s="105"/>
    </row>
    <row r="252" spans="1:6" ht="27" thickBot="1" x14ac:dyDescent="0.45">
      <c r="A252" s="20" t="s">
        <v>200</v>
      </c>
    </row>
    <row r="253" spans="1:6" ht="15.75" thickBot="1" x14ac:dyDescent="0.3">
      <c r="A253" s="113"/>
      <c r="B253" s="114" t="s">
        <v>153</v>
      </c>
      <c r="C253" s="114" t="s">
        <v>154</v>
      </c>
      <c r="D253" s="13" t="s">
        <v>155</v>
      </c>
      <c r="E253" s="114" t="s">
        <v>156</v>
      </c>
      <c r="F253" s="114" t="s">
        <v>157</v>
      </c>
    </row>
    <row r="254" spans="1:6" s="14" customFormat="1" ht="12.75" x14ac:dyDescent="0.2">
      <c r="A254" s="15">
        <v>0.33333333333333331</v>
      </c>
      <c r="B254" s="25"/>
      <c r="C254" s="26"/>
      <c r="D254" s="27"/>
      <c r="E254" s="23"/>
      <c r="F254" s="28"/>
    </row>
    <row r="255" spans="1:6" x14ac:dyDescent="0.25">
      <c r="A255" s="16">
        <v>0.35416666666666669</v>
      </c>
      <c r="B255" s="25"/>
      <c r="C255" s="26"/>
      <c r="D255" s="27"/>
      <c r="E255" s="23"/>
      <c r="F255" s="28"/>
    </row>
    <row r="256" spans="1:6" x14ac:dyDescent="0.25">
      <c r="A256" s="16">
        <v>0.375</v>
      </c>
      <c r="B256" s="25"/>
      <c r="C256" s="26"/>
      <c r="D256" s="27"/>
      <c r="E256" s="23"/>
      <c r="F256" s="28"/>
    </row>
    <row r="257" spans="1:6" x14ac:dyDescent="0.25">
      <c r="A257" s="16">
        <v>0.39583333333333331</v>
      </c>
      <c r="B257" s="25"/>
      <c r="C257" s="26"/>
      <c r="D257" s="27"/>
      <c r="E257" s="23"/>
      <c r="F257" s="28"/>
    </row>
    <row r="258" spans="1:6" x14ac:dyDescent="0.25">
      <c r="A258" s="16">
        <v>0.41666666666666669</v>
      </c>
      <c r="B258" s="25"/>
      <c r="C258" s="26"/>
      <c r="D258" s="27"/>
      <c r="E258" s="23"/>
      <c r="F258" s="28"/>
    </row>
    <row r="259" spans="1:6" x14ac:dyDescent="0.25">
      <c r="A259" s="16">
        <v>0.4375</v>
      </c>
      <c r="B259" s="25"/>
      <c r="C259" s="26"/>
      <c r="D259" s="27"/>
      <c r="E259" s="23"/>
      <c r="F259" s="28"/>
    </row>
    <row r="260" spans="1:6" x14ac:dyDescent="0.25">
      <c r="A260" s="16">
        <v>0.45833333333333331</v>
      </c>
      <c r="B260" s="25"/>
      <c r="C260" s="26"/>
      <c r="D260" s="27"/>
      <c r="E260" s="23"/>
      <c r="F260" s="28"/>
    </row>
    <row r="261" spans="1:6" x14ac:dyDescent="0.25">
      <c r="A261" s="16">
        <v>0.47916666666666669</v>
      </c>
      <c r="B261" s="25"/>
      <c r="C261" s="26"/>
      <c r="D261" s="27"/>
      <c r="E261" s="23"/>
      <c r="F261" s="25"/>
    </row>
    <row r="262" spans="1:6" x14ac:dyDescent="0.25">
      <c r="A262" s="16">
        <v>0.5</v>
      </c>
      <c r="B262" s="25"/>
      <c r="C262" s="25"/>
      <c r="D262" s="24"/>
      <c r="E262" s="25"/>
      <c r="F262" s="25"/>
    </row>
    <row r="263" spans="1:6" x14ac:dyDescent="0.25">
      <c r="A263" s="16">
        <v>0.52083333333333337</v>
      </c>
      <c r="B263" s="25"/>
      <c r="C263" s="25"/>
      <c r="D263" s="24"/>
      <c r="E263" s="25"/>
      <c r="F263" s="25"/>
    </row>
    <row r="264" spans="1:6" x14ac:dyDescent="0.25">
      <c r="A264" s="16">
        <v>4.1666666666666664E-2</v>
      </c>
      <c r="B264" s="25"/>
      <c r="C264" s="25"/>
      <c r="D264" s="24"/>
      <c r="E264" s="25"/>
      <c r="F264" s="28"/>
    </row>
    <row r="265" spans="1:6" x14ac:dyDescent="0.25">
      <c r="A265" s="16">
        <v>6.25E-2</v>
      </c>
      <c r="B265" s="25"/>
      <c r="C265" s="25"/>
      <c r="D265" s="24"/>
      <c r="E265" s="25"/>
      <c r="F265" s="28"/>
    </row>
    <row r="266" spans="1:6" x14ac:dyDescent="0.25">
      <c r="A266" s="16">
        <v>8.3333333333333329E-2</v>
      </c>
      <c r="B266" s="25"/>
      <c r="C266" s="25"/>
      <c r="D266" s="28"/>
      <c r="E266" s="25"/>
      <c r="F266" s="28"/>
    </row>
    <row r="267" spans="1:6" x14ac:dyDescent="0.25">
      <c r="A267" s="16">
        <v>0.10416666666666667</v>
      </c>
      <c r="B267" s="25"/>
      <c r="C267" s="25"/>
      <c r="D267" s="28"/>
      <c r="E267" s="25"/>
      <c r="F267" s="28"/>
    </row>
    <row r="268" spans="1:6" x14ac:dyDescent="0.25">
      <c r="A268" s="16">
        <v>0.125</v>
      </c>
      <c r="B268" s="25"/>
      <c r="C268" s="25"/>
      <c r="D268" s="28"/>
      <c r="E268" s="25"/>
      <c r="F268" s="28"/>
    </row>
    <row r="269" spans="1:6" x14ac:dyDescent="0.25">
      <c r="A269" s="16">
        <v>0.14583333333333334</v>
      </c>
      <c r="B269" s="25"/>
      <c r="C269" s="25"/>
      <c r="D269" s="28"/>
      <c r="E269" s="25"/>
      <c r="F269" s="28"/>
    </row>
    <row r="270" spans="1:6" ht="15.75" thickBot="1" x14ac:dyDescent="0.3">
      <c r="A270" s="22">
        <v>0.16666666666666666</v>
      </c>
      <c r="B270" s="25"/>
      <c r="C270" s="25"/>
      <c r="D270" s="28"/>
      <c r="E270" s="25"/>
      <c r="F270" s="28"/>
    </row>
    <row r="271" spans="1:6" ht="15.75" thickBot="1" x14ac:dyDescent="0.3">
      <c r="A271" s="22">
        <v>0.16666666666666666</v>
      </c>
      <c r="B271" s="25"/>
      <c r="C271" s="25"/>
      <c r="D271" s="28"/>
      <c r="E271" s="25"/>
      <c r="F271" s="28"/>
    </row>
    <row r="272" spans="1:6" ht="15.75" thickBot="1" x14ac:dyDescent="0.3">
      <c r="A272" s="22">
        <v>0.16666666666666666</v>
      </c>
      <c r="B272" s="25"/>
      <c r="C272" s="25"/>
      <c r="D272" s="28"/>
      <c r="E272" s="25"/>
      <c r="F272" s="28"/>
    </row>
    <row r="273" spans="1:6" x14ac:dyDescent="0.25">
      <c r="A273" s="19"/>
      <c r="B273" s="6"/>
      <c r="C273" s="6"/>
      <c r="D273" s="6"/>
      <c r="E273" s="6"/>
      <c r="F273" s="6"/>
    </row>
    <row r="274" spans="1:6" x14ac:dyDescent="0.25">
      <c r="A274" s="19"/>
      <c r="B274" s="6"/>
      <c r="C274" s="6"/>
      <c r="D274" s="6"/>
      <c r="E274" s="6"/>
      <c r="F274" s="6"/>
    </row>
    <row r="275" spans="1:6" ht="27" thickBot="1" x14ac:dyDescent="0.45">
      <c r="A275" s="20" t="s">
        <v>201</v>
      </c>
      <c r="B275" s="6"/>
      <c r="C275" s="6"/>
      <c r="D275" s="6"/>
      <c r="E275" s="6"/>
      <c r="F275" s="6"/>
    </row>
    <row r="276" spans="1:6" s="14" customFormat="1" ht="13.5" thickBot="1" x14ac:dyDescent="0.25">
      <c r="A276" s="113"/>
      <c r="B276" s="114" t="s">
        <v>153</v>
      </c>
      <c r="C276" s="114" t="s">
        <v>154</v>
      </c>
      <c r="D276" s="114" t="s">
        <v>155</v>
      </c>
      <c r="E276" s="114" t="s">
        <v>156</v>
      </c>
      <c r="F276" s="114" t="s">
        <v>157</v>
      </c>
    </row>
    <row r="277" spans="1:6" x14ac:dyDescent="0.25">
      <c r="A277" s="15">
        <v>0.33333333333333331</v>
      </c>
      <c r="B277" s="2" t="s">
        <v>202</v>
      </c>
      <c r="C277" s="40"/>
      <c r="D277" s="2" t="s">
        <v>203</v>
      </c>
      <c r="E277" s="40"/>
      <c r="F277" s="40"/>
    </row>
    <row r="278" spans="1:6" x14ac:dyDescent="0.25">
      <c r="A278" s="16">
        <v>0.35416666666666669</v>
      </c>
      <c r="B278" s="2" t="s">
        <v>202</v>
      </c>
      <c r="C278" s="40"/>
      <c r="D278" s="2" t="s">
        <v>203</v>
      </c>
      <c r="E278" s="40"/>
      <c r="F278" s="40"/>
    </row>
    <row r="279" spans="1:6" x14ac:dyDescent="0.25">
      <c r="A279" s="16">
        <v>0.375</v>
      </c>
      <c r="B279" s="2" t="s">
        <v>202</v>
      </c>
      <c r="C279" s="40"/>
      <c r="D279" s="2" t="s">
        <v>203</v>
      </c>
      <c r="E279" s="40"/>
      <c r="F279" s="40"/>
    </row>
    <row r="280" spans="1:6" x14ac:dyDescent="0.25">
      <c r="A280" s="16">
        <v>0.39583333333333331</v>
      </c>
      <c r="B280" s="2" t="s">
        <v>202</v>
      </c>
      <c r="C280" s="40"/>
      <c r="D280" s="2" t="s">
        <v>203</v>
      </c>
      <c r="E280" s="40"/>
      <c r="F280" s="40"/>
    </row>
    <row r="281" spans="1:6" x14ac:dyDescent="0.25">
      <c r="A281" s="16">
        <v>0.41666666666666669</v>
      </c>
      <c r="B281" s="2" t="s">
        <v>202</v>
      </c>
      <c r="C281" s="40"/>
      <c r="D281" s="2" t="s">
        <v>203</v>
      </c>
      <c r="E281" s="40"/>
      <c r="F281" s="40"/>
    </row>
    <row r="282" spans="1:6" x14ac:dyDescent="0.25">
      <c r="A282" s="16">
        <v>0.4375</v>
      </c>
      <c r="B282" s="2" t="s">
        <v>202</v>
      </c>
      <c r="C282" s="40"/>
      <c r="D282" s="2" t="s">
        <v>203</v>
      </c>
      <c r="E282" s="40"/>
      <c r="F282" s="40"/>
    </row>
    <row r="283" spans="1:6" x14ac:dyDescent="0.25">
      <c r="A283" s="16">
        <v>0.45833333333333331</v>
      </c>
      <c r="B283" s="2" t="s">
        <v>202</v>
      </c>
      <c r="C283" s="40"/>
      <c r="D283" s="2" t="s">
        <v>203</v>
      </c>
      <c r="E283" s="40"/>
      <c r="F283" s="40"/>
    </row>
    <row r="284" spans="1:6" x14ac:dyDescent="0.25">
      <c r="A284" s="16">
        <v>0.47916666666666669</v>
      </c>
      <c r="B284" s="2" t="s">
        <v>202</v>
      </c>
      <c r="C284" s="40"/>
      <c r="D284" s="2" t="s">
        <v>203</v>
      </c>
      <c r="E284" s="40"/>
      <c r="F284" s="40"/>
    </row>
    <row r="285" spans="1:6" x14ac:dyDescent="0.25">
      <c r="A285" s="16">
        <v>0.5</v>
      </c>
      <c r="B285" s="2" t="s">
        <v>202</v>
      </c>
      <c r="C285" s="40"/>
      <c r="D285" s="2" t="s">
        <v>203</v>
      </c>
      <c r="E285" s="2" t="s">
        <v>203</v>
      </c>
      <c r="F285" s="40"/>
    </row>
    <row r="286" spans="1:6" x14ac:dyDescent="0.25">
      <c r="A286" s="16">
        <v>0.52083333333333337</v>
      </c>
      <c r="B286" s="2" t="s">
        <v>202</v>
      </c>
      <c r="C286" s="40"/>
      <c r="D286" s="2" t="s">
        <v>203</v>
      </c>
      <c r="E286" s="2" t="s">
        <v>203</v>
      </c>
      <c r="F286" s="40"/>
    </row>
    <row r="287" spans="1:6" x14ac:dyDescent="0.25">
      <c r="A287" s="16">
        <v>4.1666666666666664E-2</v>
      </c>
      <c r="B287" s="2" t="s">
        <v>202</v>
      </c>
      <c r="C287" s="2" t="s">
        <v>204</v>
      </c>
      <c r="D287" s="2" t="s">
        <v>203</v>
      </c>
      <c r="E287" s="2" t="s">
        <v>203</v>
      </c>
      <c r="F287" s="40"/>
    </row>
    <row r="288" spans="1:6" x14ac:dyDescent="0.25">
      <c r="A288" s="16">
        <v>6.25E-2</v>
      </c>
      <c r="B288" s="2" t="s">
        <v>202</v>
      </c>
      <c r="C288" s="2" t="s">
        <v>204</v>
      </c>
      <c r="D288" s="2" t="s">
        <v>203</v>
      </c>
      <c r="E288" s="2" t="s">
        <v>203</v>
      </c>
      <c r="F288" s="40"/>
    </row>
    <row r="289" spans="1:6" x14ac:dyDescent="0.25">
      <c r="A289" s="16">
        <v>8.3333333333333329E-2</v>
      </c>
      <c r="B289" s="2" t="s">
        <v>202</v>
      </c>
      <c r="C289" s="2" t="s">
        <v>204</v>
      </c>
      <c r="D289" s="2" t="s">
        <v>203</v>
      </c>
      <c r="E289" s="2" t="s">
        <v>203</v>
      </c>
      <c r="F289" s="40"/>
    </row>
    <row r="290" spans="1:6" x14ac:dyDescent="0.25">
      <c r="A290" s="16">
        <v>0.10416666666666667</v>
      </c>
      <c r="B290" s="2" t="s">
        <v>202</v>
      </c>
      <c r="C290" s="2" t="s">
        <v>204</v>
      </c>
      <c r="D290" s="2" t="s">
        <v>203</v>
      </c>
      <c r="E290" s="2" t="s">
        <v>203</v>
      </c>
      <c r="F290" s="2" t="s">
        <v>205</v>
      </c>
    </row>
    <row r="291" spans="1:6" x14ac:dyDescent="0.25">
      <c r="A291" s="16">
        <v>0.125</v>
      </c>
      <c r="B291" s="2" t="s">
        <v>202</v>
      </c>
      <c r="C291" s="2" t="s">
        <v>204</v>
      </c>
      <c r="D291" s="2" t="s">
        <v>203</v>
      </c>
      <c r="E291" s="2" t="s">
        <v>203</v>
      </c>
      <c r="F291" s="2" t="s">
        <v>205</v>
      </c>
    </row>
    <row r="292" spans="1:6" x14ac:dyDescent="0.25">
      <c r="A292" s="16">
        <v>0.14583333333333334</v>
      </c>
      <c r="B292" s="2" t="s">
        <v>202</v>
      </c>
      <c r="C292" s="2" t="s">
        <v>204</v>
      </c>
      <c r="D292" s="2" t="s">
        <v>203</v>
      </c>
      <c r="E292" s="2" t="s">
        <v>203</v>
      </c>
      <c r="F292" s="2" t="s">
        <v>205</v>
      </c>
    </row>
    <row r="293" spans="1:6" ht="15.75" thickBot="1" x14ac:dyDescent="0.3">
      <c r="A293" s="22">
        <v>0.16666666666666666</v>
      </c>
      <c r="B293" s="2" t="s">
        <v>202</v>
      </c>
      <c r="C293" s="2" t="s">
        <v>204</v>
      </c>
      <c r="D293" s="2" t="s">
        <v>203</v>
      </c>
      <c r="E293" s="2" t="s">
        <v>203</v>
      </c>
      <c r="F293" s="2" t="s">
        <v>205</v>
      </c>
    </row>
    <row r="294" spans="1:6" s="107" customFormat="1" x14ac:dyDescent="0.25">
      <c r="A294" s="106"/>
      <c r="B294" s="46"/>
      <c r="C294" s="46"/>
      <c r="D294" s="46"/>
      <c r="E294" s="46"/>
      <c r="F294" s="46"/>
    </row>
    <row r="295" spans="1:6" ht="27" thickBot="1" x14ac:dyDescent="0.45">
      <c r="A295" s="20" t="s">
        <v>206</v>
      </c>
    </row>
    <row r="296" spans="1:6" ht="15.75" thickBot="1" x14ac:dyDescent="0.3">
      <c r="A296" s="113"/>
      <c r="B296" s="114" t="s">
        <v>153</v>
      </c>
      <c r="C296" s="114" t="s">
        <v>154</v>
      </c>
      <c r="D296" s="13" t="s">
        <v>155</v>
      </c>
      <c r="E296" s="114" t="s">
        <v>156</v>
      </c>
      <c r="F296" s="114" t="s">
        <v>157</v>
      </c>
    </row>
    <row r="297" spans="1:6" s="14" customFormat="1" ht="12.75" x14ac:dyDescent="0.2">
      <c r="A297" s="15">
        <v>0.33333333333333331</v>
      </c>
      <c r="B297" s="25"/>
      <c r="C297" s="26"/>
      <c r="D297" s="27"/>
      <c r="E297" s="23"/>
      <c r="F297" s="28"/>
    </row>
    <row r="298" spans="1:6" x14ac:dyDescent="0.25">
      <c r="A298" s="16">
        <v>0.35416666666666669</v>
      </c>
      <c r="B298" s="25"/>
      <c r="C298" s="26"/>
      <c r="D298" s="27"/>
      <c r="E298" s="23"/>
      <c r="F298" s="28"/>
    </row>
    <row r="299" spans="1:6" x14ac:dyDescent="0.25">
      <c r="A299" s="16">
        <v>0.375</v>
      </c>
      <c r="B299" s="25"/>
      <c r="C299" s="26"/>
      <c r="D299" s="27"/>
      <c r="E299" s="23"/>
      <c r="F299" s="28"/>
    </row>
    <row r="300" spans="1:6" x14ac:dyDescent="0.25">
      <c r="A300" s="16">
        <v>0.39583333333333331</v>
      </c>
      <c r="B300" s="25"/>
      <c r="C300" s="26"/>
      <c r="D300" s="27"/>
      <c r="E300" s="23"/>
      <c r="F300" s="28"/>
    </row>
    <row r="301" spans="1:6" x14ac:dyDescent="0.25">
      <c r="A301" s="16">
        <v>0.41666666666666669</v>
      </c>
      <c r="B301" s="25"/>
      <c r="C301" s="26"/>
      <c r="D301" s="27"/>
      <c r="E301" s="23"/>
      <c r="F301" s="28"/>
    </row>
    <row r="302" spans="1:6" x14ac:dyDescent="0.25">
      <c r="A302" s="16">
        <v>0.4375</v>
      </c>
      <c r="B302" s="25"/>
      <c r="C302" s="26"/>
      <c r="D302" s="27"/>
      <c r="E302" s="23"/>
      <c r="F302" s="28"/>
    </row>
    <row r="303" spans="1:6" x14ac:dyDescent="0.25">
      <c r="A303" s="16">
        <v>0.45833333333333331</v>
      </c>
      <c r="B303" s="25"/>
      <c r="C303" s="26"/>
      <c r="D303" s="27"/>
      <c r="E303" s="23"/>
      <c r="F303" s="28"/>
    </row>
    <row r="304" spans="1:6" x14ac:dyDescent="0.25">
      <c r="A304" s="16">
        <v>0.47916666666666669</v>
      </c>
      <c r="B304" s="25"/>
      <c r="C304" s="26"/>
      <c r="D304" s="27"/>
      <c r="E304" s="23"/>
      <c r="F304" s="25"/>
    </row>
    <row r="305" spans="1:6" x14ac:dyDescent="0.25">
      <c r="A305" s="16">
        <v>0.5</v>
      </c>
      <c r="B305" s="25"/>
      <c r="C305" s="25"/>
      <c r="D305" s="24"/>
      <c r="E305" s="25"/>
      <c r="F305" s="25"/>
    </row>
    <row r="306" spans="1:6" x14ac:dyDescent="0.25">
      <c r="A306" s="16">
        <v>0.52083333333333337</v>
      </c>
      <c r="B306" s="25"/>
      <c r="C306" s="25"/>
      <c r="D306" s="24"/>
      <c r="E306" s="25"/>
      <c r="F306" s="25"/>
    </row>
    <row r="307" spans="1:6" x14ac:dyDescent="0.25">
      <c r="A307" s="16">
        <v>4.1666666666666664E-2</v>
      </c>
      <c r="B307" s="25"/>
      <c r="C307" s="25"/>
      <c r="D307" s="24"/>
      <c r="E307" s="25"/>
      <c r="F307" s="28"/>
    </row>
    <row r="308" spans="1:6" x14ac:dyDescent="0.25">
      <c r="A308" s="16">
        <v>6.25E-2</v>
      </c>
      <c r="B308" s="25"/>
      <c r="C308" s="25"/>
      <c r="D308" s="24"/>
      <c r="E308" s="25"/>
      <c r="F308" s="28"/>
    </row>
    <row r="309" spans="1:6" x14ac:dyDescent="0.25">
      <c r="A309" s="16">
        <v>8.3333333333333329E-2</v>
      </c>
      <c r="B309" s="25"/>
      <c r="C309" s="25"/>
      <c r="D309" s="28"/>
      <c r="E309" s="25"/>
      <c r="F309" s="28"/>
    </row>
    <row r="310" spans="1:6" x14ac:dyDescent="0.25">
      <c r="A310" s="16">
        <v>0.10416666666666667</v>
      </c>
      <c r="B310" s="25"/>
      <c r="C310" s="25"/>
      <c r="D310" s="28"/>
      <c r="E310" s="25"/>
      <c r="F310" s="28"/>
    </row>
    <row r="311" spans="1:6" x14ac:dyDescent="0.25">
      <c r="A311" s="16">
        <v>0.125</v>
      </c>
      <c r="B311" s="25"/>
      <c r="C311" s="25"/>
      <c r="D311" s="28"/>
      <c r="E311" s="25"/>
      <c r="F311" s="28"/>
    </row>
    <row r="312" spans="1:6" x14ac:dyDescent="0.25">
      <c r="A312" s="16">
        <v>0.14583333333333334</v>
      </c>
      <c r="B312" s="25"/>
      <c r="C312" s="25"/>
      <c r="D312" s="28"/>
      <c r="E312" s="25"/>
      <c r="F312" s="28"/>
    </row>
    <row r="313" spans="1:6" ht="15.75" thickBot="1" x14ac:dyDescent="0.3">
      <c r="A313" s="22">
        <v>0.16666666666666666</v>
      </c>
      <c r="B313" s="25"/>
      <c r="C313" s="25"/>
      <c r="D313" s="28"/>
      <c r="E313" s="25"/>
      <c r="F313" s="28"/>
    </row>
    <row r="314" spans="1:6" ht="15.75" thickBot="1" x14ac:dyDescent="0.3">
      <c r="A314" s="22">
        <v>0.16666666666666666</v>
      </c>
      <c r="B314" s="25"/>
      <c r="C314" s="25"/>
      <c r="D314" s="28"/>
      <c r="E314" s="25"/>
      <c r="F314" s="28"/>
    </row>
    <row r="315" spans="1:6" x14ac:dyDescent="0.25">
      <c r="A315" s="19"/>
      <c r="B315" s="6"/>
      <c r="C315" s="6"/>
      <c r="D315" s="6"/>
      <c r="E315" s="6"/>
      <c r="F315" s="6"/>
    </row>
    <row r="316" spans="1:6" ht="27" thickBot="1" x14ac:dyDescent="0.45">
      <c r="A316" s="20" t="s">
        <v>207</v>
      </c>
      <c r="B316" s="6"/>
      <c r="C316" s="6"/>
      <c r="D316" s="6"/>
      <c r="E316" s="6"/>
      <c r="F316" s="6"/>
    </row>
    <row r="317" spans="1:6" s="14" customFormat="1" ht="13.5" thickBot="1" x14ac:dyDescent="0.25">
      <c r="A317" s="113"/>
      <c r="B317" s="114" t="s">
        <v>153</v>
      </c>
      <c r="C317" s="114" t="s">
        <v>154</v>
      </c>
      <c r="D317" s="114" t="s">
        <v>155</v>
      </c>
      <c r="E317" s="114" t="s">
        <v>156</v>
      </c>
      <c r="F317" s="114" t="s">
        <v>157</v>
      </c>
    </row>
    <row r="318" spans="1:6" x14ac:dyDescent="0.25">
      <c r="A318" s="15">
        <v>0.33333333333333331</v>
      </c>
      <c r="B318" s="40"/>
      <c r="C318" s="40"/>
      <c r="D318" s="40"/>
      <c r="E318" s="2" t="s">
        <v>208</v>
      </c>
      <c r="F318" s="40"/>
    </row>
    <row r="319" spans="1:6" x14ac:dyDescent="0.25">
      <c r="A319" s="16">
        <v>0.35416666666666669</v>
      </c>
      <c r="B319" s="40"/>
      <c r="C319" s="40"/>
      <c r="D319" s="40"/>
      <c r="E319" s="2" t="s">
        <v>208</v>
      </c>
      <c r="F319" s="40"/>
    </row>
    <row r="320" spans="1:6" x14ac:dyDescent="0.25">
      <c r="A320" s="16">
        <v>0.375</v>
      </c>
      <c r="B320" s="40"/>
      <c r="C320" s="40"/>
      <c r="D320" s="40"/>
      <c r="E320" s="2" t="s">
        <v>208</v>
      </c>
      <c r="F320" s="40"/>
    </row>
    <row r="321" spans="1:6" x14ac:dyDescent="0.25">
      <c r="A321" s="16">
        <v>0.39583333333333331</v>
      </c>
      <c r="B321" s="40"/>
      <c r="C321" s="40"/>
      <c r="D321" s="40"/>
      <c r="E321" s="2" t="s">
        <v>208</v>
      </c>
      <c r="F321" s="40"/>
    </row>
    <row r="322" spans="1:6" x14ac:dyDescent="0.25">
      <c r="A322" s="16">
        <v>0.41666666666666669</v>
      </c>
      <c r="B322" s="40"/>
      <c r="C322" s="40"/>
      <c r="D322" s="40"/>
      <c r="E322" s="2" t="s">
        <v>208</v>
      </c>
      <c r="F322" s="40"/>
    </row>
    <row r="323" spans="1:6" x14ac:dyDescent="0.25">
      <c r="A323" s="16">
        <v>0.4375</v>
      </c>
      <c r="B323" s="40"/>
      <c r="C323" s="40"/>
      <c r="D323" s="40"/>
      <c r="E323" s="2" t="s">
        <v>208</v>
      </c>
      <c r="F323" s="40"/>
    </row>
    <row r="324" spans="1:6" x14ac:dyDescent="0.25">
      <c r="A324" s="16">
        <v>0.45833333333333331</v>
      </c>
      <c r="B324" s="40"/>
      <c r="C324" s="40"/>
      <c r="D324" s="40"/>
      <c r="E324" s="40"/>
      <c r="F324" s="40"/>
    </row>
    <row r="325" spans="1:6" x14ac:dyDescent="0.25">
      <c r="A325" s="16">
        <v>0.47916666666666669</v>
      </c>
      <c r="B325" s="40"/>
      <c r="C325" s="40"/>
      <c r="D325" s="40"/>
      <c r="E325" s="40"/>
      <c r="F325" s="40"/>
    </row>
    <row r="326" spans="1:6" x14ac:dyDescent="0.25">
      <c r="A326" s="16">
        <v>0.5</v>
      </c>
      <c r="B326" s="40"/>
      <c r="C326" s="40"/>
      <c r="D326" s="40"/>
      <c r="E326" s="40"/>
      <c r="F326" s="40"/>
    </row>
    <row r="327" spans="1:6" x14ac:dyDescent="0.25">
      <c r="A327" s="16">
        <v>0.52083333333333337</v>
      </c>
      <c r="B327" s="40"/>
      <c r="C327" s="40"/>
      <c r="D327" s="40"/>
      <c r="E327" s="2" t="s">
        <v>208</v>
      </c>
      <c r="F327" s="40"/>
    </row>
    <row r="328" spans="1:6" x14ac:dyDescent="0.25">
      <c r="A328" s="16">
        <v>4.1666666666666664E-2</v>
      </c>
      <c r="B328" s="40"/>
      <c r="C328" s="40"/>
      <c r="D328" s="40"/>
      <c r="E328" s="2" t="s">
        <v>208</v>
      </c>
      <c r="F328" s="40"/>
    </row>
    <row r="329" spans="1:6" x14ac:dyDescent="0.25">
      <c r="A329" s="16">
        <v>6.25E-2</v>
      </c>
      <c r="B329" s="40"/>
      <c r="C329" s="40"/>
      <c r="D329" s="40"/>
      <c r="E329" s="2" t="s">
        <v>208</v>
      </c>
      <c r="F329" s="40"/>
    </row>
    <row r="330" spans="1:6" x14ac:dyDescent="0.25">
      <c r="A330" s="16">
        <v>8.3333333333333329E-2</v>
      </c>
      <c r="B330" s="40"/>
      <c r="C330" s="40"/>
      <c r="D330" s="40"/>
      <c r="E330" s="2" t="s">
        <v>208</v>
      </c>
      <c r="F330" s="40"/>
    </row>
    <row r="331" spans="1:6" x14ac:dyDescent="0.25">
      <c r="A331" s="16">
        <v>0.10416666666666667</v>
      </c>
      <c r="B331" s="40"/>
      <c r="C331" s="40"/>
      <c r="D331" s="40"/>
      <c r="E331" s="2" t="s">
        <v>208</v>
      </c>
      <c r="F331" s="40"/>
    </row>
    <row r="332" spans="1:6" x14ac:dyDescent="0.25">
      <c r="A332" s="16">
        <v>0.125</v>
      </c>
      <c r="B332" s="40"/>
      <c r="C332" s="40"/>
      <c r="D332" s="40"/>
      <c r="E332" s="2" t="s">
        <v>208</v>
      </c>
      <c r="F332" s="40"/>
    </row>
    <row r="333" spans="1:6" x14ac:dyDescent="0.25">
      <c r="A333" s="16">
        <v>0.14583333333333334</v>
      </c>
      <c r="B333" s="40"/>
      <c r="C333" s="40"/>
      <c r="D333" s="40"/>
      <c r="E333" s="2" t="s">
        <v>208</v>
      </c>
      <c r="F333" s="40"/>
    </row>
    <row r="334" spans="1:6" ht="15.75" thickBot="1" x14ac:dyDescent="0.3">
      <c r="A334" s="22">
        <v>0.16666666666666666</v>
      </c>
      <c r="B334" s="40"/>
      <c r="C334" s="40"/>
      <c r="D334" s="40"/>
      <c r="E334" s="40"/>
      <c r="F334" s="40"/>
    </row>
    <row r="335" spans="1:6" x14ac:dyDescent="0.25">
      <c r="A335" s="19"/>
      <c r="B335" s="6"/>
      <c r="C335" s="6"/>
      <c r="D335" s="6"/>
      <c r="E335" s="6"/>
      <c r="F335" s="30"/>
    </row>
    <row r="336" spans="1:6" ht="27" thickBot="1" x14ac:dyDescent="0.45">
      <c r="A336" s="20" t="s">
        <v>209</v>
      </c>
      <c r="B336" s="6"/>
      <c r="C336" s="6"/>
      <c r="D336" s="6"/>
      <c r="E336" s="6"/>
      <c r="F336" s="6"/>
    </row>
    <row r="337" spans="1:6" s="14" customFormat="1" ht="13.5" thickBot="1" x14ac:dyDescent="0.25">
      <c r="A337" s="113"/>
      <c r="B337" s="114" t="s">
        <v>153</v>
      </c>
      <c r="C337" s="114" t="s">
        <v>154</v>
      </c>
      <c r="D337" s="114" t="s">
        <v>155</v>
      </c>
      <c r="E337" s="114" t="s">
        <v>156</v>
      </c>
      <c r="F337" s="114" t="s">
        <v>157</v>
      </c>
    </row>
    <row r="338" spans="1:6" x14ac:dyDescent="0.25">
      <c r="A338" s="15">
        <v>0.33333333333333331</v>
      </c>
      <c r="B338" s="2" t="s">
        <v>210</v>
      </c>
      <c r="C338" s="40"/>
      <c r="D338" s="40"/>
      <c r="E338" s="2" t="s">
        <v>210</v>
      </c>
      <c r="F338" s="40"/>
    </row>
    <row r="339" spans="1:6" x14ac:dyDescent="0.25">
      <c r="A339" s="16">
        <v>0.35416666666666669</v>
      </c>
      <c r="B339" s="2" t="s">
        <v>210</v>
      </c>
      <c r="C339" s="40"/>
      <c r="D339" s="40"/>
      <c r="E339" s="2" t="s">
        <v>210</v>
      </c>
      <c r="F339" s="40"/>
    </row>
    <row r="340" spans="1:6" x14ac:dyDescent="0.25">
      <c r="A340" s="16">
        <v>0.375</v>
      </c>
      <c r="B340" s="40"/>
      <c r="C340" s="40"/>
      <c r="D340" s="40"/>
      <c r="E340" s="31" t="s">
        <v>211</v>
      </c>
      <c r="F340" s="40"/>
    </row>
    <row r="341" spans="1:6" x14ac:dyDescent="0.25">
      <c r="A341" s="16">
        <v>0.39583333333333331</v>
      </c>
      <c r="B341" s="40"/>
      <c r="C341" s="40"/>
      <c r="D341" s="40"/>
      <c r="E341" s="31" t="s">
        <v>211</v>
      </c>
      <c r="F341" s="40"/>
    </row>
    <row r="342" spans="1:6" x14ac:dyDescent="0.25">
      <c r="A342" s="16">
        <v>0.41666666666666669</v>
      </c>
      <c r="B342" s="2" t="s">
        <v>210</v>
      </c>
      <c r="C342" s="40"/>
      <c r="D342" s="40"/>
      <c r="E342" s="2" t="s">
        <v>210</v>
      </c>
      <c r="F342" s="40"/>
    </row>
    <row r="343" spans="1:6" x14ac:dyDescent="0.25">
      <c r="A343" s="16">
        <v>0.4375</v>
      </c>
      <c r="B343" s="2" t="s">
        <v>210</v>
      </c>
      <c r="C343" s="40"/>
      <c r="D343" s="40"/>
      <c r="E343" s="2" t="s">
        <v>210</v>
      </c>
      <c r="F343" s="40"/>
    </row>
    <row r="344" spans="1:6" x14ac:dyDescent="0.25">
      <c r="A344" s="16">
        <v>0.45833333333333331</v>
      </c>
      <c r="B344" s="2" t="s">
        <v>210</v>
      </c>
      <c r="C344" s="40"/>
      <c r="D344" s="40"/>
      <c r="E344" s="2" t="s">
        <v>210</v>
      </c>
      <c r="F344" s="40"/>
    </row>
    <row r="345" spans="1:6" x14ac:dyDescent="0.25">
      <c r="A345" s="16">
        <v>0.47916666666666669</v>
      </c>
      <c r="B345" s="2" t="s">
        <v>210</v>
      </c>
      <c r="C345" s="40"/>
      <c r="D345" s="40"/>
      <c r="E345" s="40"/>
      <c r="F345" s="40"/>
    </row>
    <row r="346" spans="1:6" x14ac:dyDescent="0.25">
      <c r="A346" s="16">
        <v>0.5</v>
      </c>
      <c r="B346" s="40"/>
      <c r="C346" s="40"/>
      <c r="D346" s="40"/>
      <c r="E346" s="40"/>
      <c r="F346" s="40"/>
    </row>
    <row r="347" spans="1:6" x14ac:dyDescent="0.25">
      <c r="A347" s="16">
        <v>0.52083333333333337</v>
      </c>
      <c r="B347" s="40"/>
      <c r="C347" s="40"/>
      <c r="D347" s="40"/>
      <c r="E347" s="40"/>
      <c r="F347" s="40"/>
    </row>
    <row r="348" spans="1:6" x14ac:dyDescent="0.25">
      <c r="A348" s="16">
        <v>4.1666666666666664E-2</v>
      </c>
      <c r="B348" s="40"/>
      <c r="C348" s="40"/>
      <c r="D348" s="40"/>
      <c r="E348" s="40"/>
      <c r="F348" s="40"/>
    </row>
    <row r="349" spans="1:6" x14ac:dyDescent="0.25">
      <c r="A349" s="16">
        <v>6.25E-2</v>
      </c>
      <c r="B349" s="40"/>
      <c r="C349" s="40"/>
      <c r="D349" s="40"/>
      <c r="E349" s="40"/>
      <c r="F349" s="40"/>
    </row>
    <row r="350" spans="1:6" x14ac:dyDescent="0.25">
      <c r="A350" s="16">
        <v>8.3333333333333329E-2</v>
      </c>
      <c r="B350" s="40"/>
      <c r="C350" s="40"/>
      <c r="D350" s="40"/>
      <c r="E350" s="40"/>
      <c r="F350" s="40"/>
    </row>
    <row r="351" spans="1:6" x14ac:dyDescent="0.25">
      <c r="A351" s="16">
        <v>0.10416666666666667</v>
      </c>
      <c r="B351" s="40"/>
      <c r="C351" s="40"/>
      <c r="D351" s="40"/>
      <c r="E351" s="40"/>
      <c r="F351" s="40"/>
    </row>
    <row r="352" spans="1:6" x14ac:dyDescent="0.25">
      <c r="A352" s="16">
        <v>0.125</v>
      </c>
      <c r="B352" s="40"/>
      <c r="C352" s="40"/>
      <c r="D352" s="40"/>
      <c r="E352" s="40"/>
      <c r="F352" s="40"/>
    </row>
    <row r="353" spans="1:6" x14ac:dyDescent="0.25">
      <c r="A353" s="16">
        <v>0.14583333333333334</v>
      </c>
      <c r="B353" s="40"/>
      <c r="C353" s="40"/>
      <c r="D353" s="40"/>
      <c r="E353" s="40"/>
      <c r="F353" s="40"/>
    </row>
    <row r="354" spans="1:6" ht="15.75" thickBot="1" x14ac:dyDescent="0.3">
      <c r="A354" s="22">
        <v>0.16666666666666666</v>
      </c>
      <c r="B354" s="40"/>
      <c r="C354" s="40"/>
      <c r="D354" s="40"/>
      <c r="E354" s="40"/>
      <c r="F354" s="40"/>
    </row>
    <row r="355" spans="1:6" x14ac:dyDescent="0.25">
      <c r="A355" s="19"/>
      <c r="B355" s="6"/>
      <c r="C355" s="6"/>
      <c r="D355" s="6"/>
      <c r="E355" s="6"/>
      <c r="F355" s="6"/>
    </row>
    <row r="356" spans="1:6" ht="27" thickBot="1" x14ac:dyDescent="0.45">
      <c r="A356" s="20" t="s">
        <v>212</v>
      </c>
      <c r="B356" s="6"/>
      <c r="C356" s="6"/>
      <c r="D356" s="6"/>
      <c r="E356" s="6"/>
      <c r="F356" s="6"/>
    </row>
    <row r="357" spans="1:6" s="14" customFormat="1" ht="13.5" thickBot="1" x14ac:dyDescent="0.25">
      <c r="A357" s="113"/>
      <c r="B357" s="114" t="s">
        <v>153</v>
      </c>
      <c r="C357" s="114" t="s">
        <v>154</v>
      </c>
      <c r="D357" s="114" t="s">
        <v>155</v>
      </c>
      <c r="E357" s="114" t="s">
        <v>156</v>
      </c>
      <c r="F357" s="114" t="s">
        <v>157</v>
      </c>
    </row>
    <row r="358" spans="1:6" x14ac:dyDescent="0.25">
      <c r="A358" s="15">
        <v>0.33333333333333331</v>
      </c>
      <c r="B358" s="2" t="s">
        <v>213</v>
      </c>
      <c r="C358" s="2" t="s">
        <v>214</v>
      </c>
      <c r="D358" s="40"/>
      <c r="E358" s="2" t="s">
        <v>215</v>
      </c>
      <c r="F358" s="40"/>
    </row>
    <row r="359" spans="1:6" x14ac:dyDescent="0.25">
      <c r="A359" s="16">
        <v>0.35416666666666669</v>
      </c>
      <c r="B359" s="2" t="s">
        <v>213</v>
      </c>
      <c r="C359" s="2" t="s">
        <v>214</v>
      </c>
      <c r="D359" s="40"/>
      <c r="E359" s="2" t="s">
        <v>215</v>
      </c>
      <c r="F359" s="40"/>
    </row>
    <row r="360" spans="1:6" x14ac:dyDescent="0.25">
      <c r="A360" s="16">
        <v>0.375</v>
      </c>
      <c r="B360" s="2" t="s">
        <v>213</v>
      </c>
      <c r="C360" s="2" t="s">
        <v>213</v>
      </c>
      <c r="D360" s="40"/>
      <c r="E360" s="2" t="s">
        <v>215</v>
      </c>
      <c r="F360" s="40"/>
    </row>
    <row r="361" spans="1:6" x14ac:dyDescent="0.25">
      <c r="A361" s="16">
        <v>0.39583333333333331</v>
      </c>
      <c r="B361" s="2" t="s">
        <v>213</v>
      </c>
      <c r="C361" s="2" t="s">
        <v>213</v>
      </c>
      <c r="D361" s="40"/>
      <c r="E361" s="2" t="s">
        <v>215</v>
      </c>
      <c r="F361" s="40"/>
    </row>
    <row r="362" spans="1:6" x14ac:dyDescent="0.25">
      <c r="A362" s="16">
        <v>0.41666666666666669</v>
      </c>
      <c r="B362" s="2" t="s">
        <v>214</v>
      </c>
      <c r="C362" s="2" t="s">
        <v>213</v>
      </c>
      <c r="D362" s="40"/>
      <c r="E362" s="2" t="s">
        <v>215</v>
      </c>
      <c r="F362" s="40"/>
    </row>
    <row r="363" spans="1:6" x14ac:dyDescent="0.25">
      <c r="A363" s="16">
        <v>0.4375</v>
      </c>
      <c r="B363" s="2" t="s">
        <v>214</v>
      </c>
      <c r="C363" s="2" t="s">
        <v>213</v>
      </c>
      <c r="D363" s="40"/>
      <c r="E363" s="2" t="s">
        <v>215</v>
      </c>
      <c r="F363" s="40"/>
    </row>
    <row r="364" spans="1:6" x14ac:dyDescent="0.25">
      <c r="A364" s="16">
        <v>0.45833333333333331</v>
      </c>
      <c r="B364" s="40"/>
      <c r="C364" s="2" t="s">
        <v>213</v>
      </c>
      <c r="D364" s="40"/>
      <c r="E364" s="2" t="s">
        <v>216</v>
      </c>
      <c r="F364" s="40"/>
    </row>
    <row r="365" spans="1:6" x14ac:dyDescent="0.25">
      <c r="A365" s="16">
        <v>0.47916666666666669</v>
      </c>
      <c r="B365" s="40"/>
      <c r="C365" s="40"/>
      <c r="D365" s="40"/>
      <c r="E365" s="2" t="s">
        <v>216</v>
      </c>
      <c r="F365" s="40"/>
    </row>
    <row r="366" spans="1:6" x14ac:dyDescent="0.25">
      <c r="A366" s="16">
        <v>0.5</v>
      </c>
      <c r="B366" s="40"/>
      <c r="C366" s="40"/>
      <c r="D366" s="40"/>
      <c r="E366" s="40"/>
      <c r="F366" s="40"/>
    </row>
    <row r="367" spans="1:6" x14ac:dyDescent="0.25">
      <c r="A367" s="16">
        <v>0.52083333333333337</v>
      </c>
      <c r="B367" s="40"/>
      <c r="C367" s="40"/>
      <c r="D367" s="40"/>
      <c r="E367" s="40"/>
      <c r="F367" s="40"/>
    </row>
    <row r="368" spans="1:6" x14ac:dyDescent="0.25">
      <c r="A368" s="16">
        <v>4.1666666666666664E-2</v>
      </c>
      <c r="B368" s="40"/>
      <c r="C368" s="40"/>
      <c r="D368" s="40"/>
      <c r="E368" s="40"/>
      <c r="F368" s="2" t="s">
        <v>217</v>
      </c>
    </row>
    <row r="369" spans="1:6" x14ac:dyDescent="0.25">
      <c r="A369" s="16">
        <v>6.25E-2</v>
      </c>
      <c r="B369" s="40"/>
      <c r="C369" s="40"/>
      <c r="D369" s="40"/>
      <c r="E369" s="40"/>
      <c r="F369" s="2" t="s">
        <v>217</v>
      </c>
    </row>
    <row r="370" spans="1:6" x14ac:dyDescent="0.25">
      <c r="A370" s="16">
        <v>8.3333333333333329E-2</v>
      </c>
      <c r="B370" s="40"/>
      <c r="C370" s="40"/>
      <c r="D370" s="40"/>
      <c r="E370" s="40"/>
      <c r="F370" s="2" t="s">
        <v>215</v>
      </c>
    </row>
    <row r="371" spans="1:6" x14ac:dyDescent="0.25">
      <c r="A371" s="16">
        <v>0.10416666666666667</v>
      </c>
      <c r="B371" s="40"/>
      <c r="C371" s="40"/>
      <c r="D371" s="40"/>
      <c r="E371" s="40"/>
      <c r="F371" s="2" t="s">
        <v>215</v>
      </c>
    </row>
    <row r="372" spans="1:6" x14ac:dyDescent="0.25">
      <c r="A372" s="16">
        <v>0.125</v>
      </c>
      <c r="B372" s="40"/>
      <c r="C372" s="40"/>
      <c r="D372" s="40"/>
      <c r="E372" s="40"/>
      <c r="F372" s="2" t="s">
        <v>215</v>
      </c>
    </row>
    <row r="373" spans="1:6" x14ac:dyDescent="0.25">
      <c r="A373" s="16">
        <v>0.14583333333333334</v>
      </c>
      <c r="B373" s="40"/>
      <c r="C373" s="40"/>
      <c r="D373" s="40"/>
      <c r="E373" s="40"/>
      <c r="F373" s="40"/>
    </row>
    <row r="374" spans="1:6" ht="15.75" thickBot="1" x14ac:dyDescent="0.3">
      <c r="A374" s="22">
        <v>0.16666666666666666</v>
      </c>
      <c r="B374" s="40"/>
      <c r="C374" s="40"/>
      <c r="D374" s="40"/>
      <c r="E374" s="40"/>
      <c r="F374" s="40"/>
    </row>
    <row r="375" spans="1:6" x14ac:dyDescent="0.25">
      <c r="A375" s="19"/>
      <c r="B375" s="6"/>
      <c r="C375" s="6"/>
      <c r="D375" s="6"/>
      <c r="E375" s="6"/>
      <c r="F375" s="6"/>
    </row>
    <row r="376" spans="1:6" ht="27" thickBot="1" x14ac:dyDescent="0.45">
      <c r="A376" s="20" t="s">
        <v>218</v>
      </c>
      <c r="B376" s="6"/>
      <c r="C376" s="6"/>
      <c r="D376" s="6"/>
      <c r="E376" s="6"/>
      <c r="F376" s="6"/>
    </row>
    <row r="377" spans="1:6" s="14" customFormat="1" ht="13.5" thickBot="1" x14ac:dyDescent="0.25">
      <c r="A377" s="113"/>
      <c r="B377" s="114" t="s">
        <v>153</v>
      </c>
      <c r="C377" s="114" t="s">
        <v>154</v>
      </c>
      <c r="D377" s="114" t="s">
        <v>155</v>
      </c>
      <c r="E377" s="114" t="s">
        <v>156</v>
      </c>
      <c r="F377" s="114" t="s">
        <v>157</v>
      </c>
    </row>
    <row r="378" spans="1:6" x14ac:dyDescent="0.25">
      <c r="A378" s="15">
        <v>0.33333333333333331</v>
      </c>
      <c r="B378" s="40"/>
      <c r="C378" s="40"/>
      <c r="D378" s="40"/>
      <c r="E378" s="40"/>
      <c r="F378" s="40"/>
    </row>
    <row r="379" spans="1:6" x14ac:dyDescent="0.25">
      <c r="A379" s="16">
        <v>0.35416666666666669</v>
      </c>
      <c r="B379" s="40"/>
      <c r="C379" s="40"/>
      <c r="D379" s="40"/>
      <c r="E379" s="40"/>
      <c r="F379" s="40"/>
    </row>
    <row r="380" spans="1:6" x14ac:dyDescent="0.25">
      <c r="A380" s="16">
        <v>0.375</v>
      </c>
      <c r="B380" s="40"/>
      <c r="C380" s="40"/>
      <c r="D380" s="40"/>
      <c r="E380" s="40"/>
      <c r="F380" s="40"/>
    </row>
    <row r="381" spans="1:6" x14ac:dyDescent="0.25">
      <c r="A381" s="16">
        <v>0.39583333333333331</v>
      </c>
      <c r="B381" s="40"/>
      <c r="C381" s="40"/>
      <c r="D381" s="40"/>
      <c r="E381" s="40"/>
      <c r="F381" s="40"/>
    </row>
    <row r="382" spans="1:6" x14ac:dyDescent="0.25">
      <c r="A382" s="16">
        <v>0.41666666666666669</v>
      </c>
      <c r="B382" s="40"/>
      <c r="C382" s="40"/>
      <c r="D382" s="40"/>
      <c r="E382" s="40"/>
      <c r="F382" s="40"/>
    </row>
    <row r="383" spans="1:6" x14ac:dyDescent="0.25">
      <c r="A383" s="16">
        <v>0.4375</v>
      </c>
      <c r="B383" s="40"/>
      <c r="C383" s="40"/>
      <c r="D383" s="40"/>
      <c r="E383" s="40"/>
      <c r="F383" s="40"/>
    </row>
    <row r="384" spans="1:6" x14ac:dyDescent="0.25">
      <c r="A384" s="16">
        <v>0.45833333333333331</v>
      </c>
      <c r="B384" s="40"/>
      <c r="C384" s="40"/>
      <c r="D384" s="40"/>
      <c r="E384" s="40"/>
      <c r="F384" s="40"/>
    </row>
    <row r="385" spans="1:6" x14ac:dyDescent="0.25">
      <c r="A385" s="16">
        <v>0.47916666666666669</v>
      </c>
      <c r="B385" s="40"/>
      <c r="C385" s="40"/>
      <c r="D385" s="40"/>
      <c r="E385" s="40"/>
      <c r="F385" s="40"/>
    </row>
    <row r="386" spans="1:6" x14ac:dyDescent="0.25">
      <c r="A386" s="16">
        <v>0.5</v>
      </c>
      <c r="B386" s="40"/>
      <c r="C386" s="40"/>
      <c r="D386" s="40"/>
      <c r="E386" s="40"/>
      <c r="F386" s="40"/>
    </row>
    <row r="387" spans="1:6" ht="14.25" customHeight="1" x14ac:dyDescent="0.25">
      <c r="A387" s="16">
        <v>0.52083333333333337</v>
      </c>
      <c r="B387" s="2" t="s">
        <v>219</v>
      </c>
      <c r="C387" s="2" t="s">
        <v>219</v>
      </c>
      <c r="D387" s="2" t="s">
        <v>219</v>
      </c>
      <c r="E387" s="40"/>
      <c r="F387" s="40"/>
    </row>
    <row r="388" spans="1:6" ht="14.25" customHeight="1" x14ac:dyDescent="0.25">
      <c r="A388" s="16">
        <v>4.1666666666666664E-2</v>
      </c>
      <c r="B388" s="2" t="s">
        <v>219</v>
      </c>
      <c r="C388" s="2" t="s">
        <v>219</v>
      </c>
      <c r="D388" s="2" t="s">
        <v>219</v>
      </c>
      <c r="E388" s="2" t="s">
        <v>219</v>
      </c>
      <c r="F388" s="40"/>
    </row>
    <row r="389" spans="1:6" ht="14.25" customHeight="1" x14ac:dyDescent="0.25">
      <c r="A389" s="16">
        <v>6.25E-2</v>
      </c>
      <c r="B389" s="2" t="s">
        <v>219</v>
      </c>
      <c r="C389" s="2" t="s">
        <v>219</v>
      </c>
      <c r="D389" s="2" t="s">
        <v>219</v>
      </c>
      <c r="E389" s="2" t="s">
        <v>219</v>
      </c>
      <c r="F389" s="40"/>
    </row>
    <row r="390" spans="1:6" ht="14.25" customHeight="1" x14ac:dyDescent="0.25">
      <c r="A390" s="16">
        <v>8.3333333333333329E-2</v>
      </c>
      <c r="B390" s="2" t="s">
        <v>219</v>
      </c>
      <c r="C390" s="40"/>
      <c r="D390" s="2" t="s">
        <v>219</v>
      </c>
      <c r="E390" s="2" t="s">
        <v>219</v>
      </c>
      <c r="F390" s="40"/>
    </row>
    <row r="391" spans="1:6" x14ac:dyDescent="0.25">
      <c r="A391" s="16">
        <v>0.10416666666666667</v>
      </c>
      <c r="B391" s="2" t="s">
        <v>219</v>
      </c>
      <c r="C391" s="40"/>
      <c r="D391" s="2" t="s">
        <v>219</v>
      </c>
      <c r="E391" s="2" t="s">
        <v>219</v>
      </c>
      <c r="F391" s="40"/>
    </row>
    <row r="392" spans="1:6" x14ac:dyDescent="0.25">
      <c r="A392" s="16">
        <v>0.125</v>
      </c>
      <c r="B392" s="40"/>
      <c r="C392" s="40"/>
      <c r="D392" s="2" t="s">
        <v>219</v>
      </c>
      <c r="E392" s="2" t="s">
        <v>219</v>
      </c>
      <c r="F392" s="40"/>
    </row>
    <row r="393" spans="1:6" x14ac:dyDescent="0.25">
      <c r="A393" s="16">
        <v>0.14583333333333334</v>
      </c>
      <c r="B393" s="40"/>
      <c r="C393" s="40"/>
      <c r="D393" s="2" t="s">
        <v>219</v>
      </c>
      <c r="E393" s="2" t="s">
        <v>219</v>
      </c>
      <c r="F393" s="40"/>
    </row>
    <row r="394" spans="1:6" ht="15.75" thickBot="1" x14ac:dyDescent="0.3">
      <c r="A394" s="22">
        <v>0.16666666666666666</v>
      </c>
      <c r="B394" s="40"/>
      <c r="C394" s="40"/>
      <c r="D394" s="40"/>
      <c r="E394" s="40"/>
      <c r="F394" s="40"/>
    </row>
    <row r="395" spans="1:6" x14ac:dyDescent="0.25">
      <c r="A395" s="19"/>
      <c r="B395" s="6"/>
      <c r="C395" s="6"/>
      <c r="D395" s="6"/>
      <c r="E395" s="6"/>
      <c r="F395" s="6"/>
    </row>
    <row r="396" spans="1:6" ht="27" thickBot="1" x14ac:dyDescent="0.45">
      <c r="A396" s="20" t="s">
        <v>220</v>
      </c>
      <c r="B396" s="6"/>
      <c r="C396" s="6"/>
      <c r="D396" s="6"/>
      <c r="E396" s="6"/>
      <c r="F396" s="6"/>
    </row>
    <row r="397" spans="1:6" s="14" customFormat="1" ht="13.5" thickBot="1" x14ac:dyDescent="0.25">
      <c r="A397" s="113"/>
      <c r="B397" s="114" t="s">
        <v>153</v>
      </c>
      <c r="C397" s="114" t="s">
        <v>154</v>
      </c>
      <c r="D397" s="114" t="s">
        <v>155</v>
      </c>
      <c r="E397" s="114" t="s">
        <v>156</v>
      </c>
      <c r="F397" s="114" t="s">
        <v>157</v>
      </c>
    </row>
    <row r="398" spans="1:6" x14ac:dyDescent="0.25">
      <c r="A398" s="15">
        <v>0.33333333333333331</v>
      </c>
      <c r="B398" s="40"/>
      <c r="C398" s="40"/>
      <c r="D398" s="40"/>
      <c r="E398" s="40"/>
      <c r="F398" s="40"/>
    </row>
    <row r="399" spans="1:6" x14ac:dyDescent="0.25">
      <c r="A399" s="16">
        <v>0.35416666666666669</v>
      </c>
      <c r="B399" s="40"/>
      <c r="C399" s="40"/>
      <c r="D399" s="40"/>
      <c r="E399" s="40"/>
      <c r="F399" s="40"/>
    </row>
    <row r="400" spans="1:6" x14ac:dyDescent="0.25">
      <c r="A400" s="16">
        <v>0.375</v>
      </c>
      <c r="B400" s="40"/>
      <c r="C400" s="40"/>
      <c r="D400" s="40"/>
      <c r="E400" s="40"/>
      <c r="F400" s="40"/>
    </row>
    <row r="401" spans="1:6" x14ac:dyDescent="0.25">
      <c r="A401" s="16">
        <v>0.39583333333333331</v>
      </c>
      <c r="B401" s="40"/>
      <c r="C401" s="40"/>
      <c r="D401" s="40"/>
      <c r="E401" s="40"/>
      <c r="F401" s="40"/>
    </row>
    <row r="402" spans="1:6" x14ac:dyDescent="0.25">
      <c r="A402" s="16">
        <v>0.41666666666666669</v>
      </c>
      <c r="B402" s="40"/>
      <c r="C402" s="40"/>
      <c r="D402" s="40"/>
      <c r="E402" s="40"/>
      <c r="F402" s="40"/>
    </row>
    <row r="403" spans="1:6" x14ac:dyDescent="0.25">
      <c r="A403" s="16">
        <v>0.4375</v>
      </c>
      <c r="B403" s="40"/>
      <c r="C403" s="40"/>
      <c r="D403" s="40"/>
      <c r="E403" s="40"/>
      <c r="F403" s="40"/>
    </row>
    <row r="404" spans="1:6" x14ac:dyDescent="0.25">
      <c r="A404" s="16">
        <v>0.45833333333333331</v>
      </c>
      <c r="B404" s="40"/>
      <c r="C404" s="40"/>
      <c r="D404" s="40"/>
      <c r="E404" s="40"/>
      <c r="F404" s="40"/>
    </row>
    <row r="405" spans="1:6" x14ac:dyDescent="0.25">
      <c r="A405" s="16">
        <v>0.47916666666666669</v>
      </c>
      <c r="B405" s="40"/>
      <c r="C405" s="40"/>
      <c r="D405" s="40"/>
      <c r="E405" s="40"/>
      <c r="F405" s="40"/>
    </row>
    <row r="406" spans="1:6" x14ac:dyDescent="0.25">
      <c r="A406" s="16">
        <v>0.5</v>
      </c>
      <c r="B406" s="40"/>
      <c r="C406" s="40"/>
      <c r="D406" s="40"/>
      <c r="E406" s="40"/>
      <c r="F406" s="40"/>
    </row>
    <row r="407" spans="1:6" x14ac:dyDescent="0.25">
      <c r="A407" s="16">
        <v>0.52083333333333337</v>
      </c>
      <c r="B407" s="40"/>
      <c r="C407" s="40"/>
      <c r="D407" s="40"/>
      <c r="E407" s="40"/>
      <c r="F407" s="40"/>
    </row>
    <row r="408" spans="1:6" x14ac:dyDescent="0.25">
      <c r="A408" s="16">
        <v>4.1666666666666664E-2</v>
      </c>
      <c r="B408" s="40"/>
      <c r="C408" s="40"/>
      <c r="D408" s="40"/>
      <c r="E408" s="40"/>
      <c r="F408" s="2" t="s">
        <v>221</v>
      </c>
    </row>
    <row r="409" spans="1:6" x14ac:dyDescent="0.25">
      <c r="A409" s="16">
        <v>6.25E-2</v>
      </c>
      <c r="B409" s="40"/>
      <c r="C409" s="2" t="s">
        <v>222</v>
      </c>
      <c r="D409" s="40"/>
      <c r="E409" s="40"/>
      <c r="F409" s="2" t="s">
        <v>221</v>
      </c>
    </row>
    <row r="410" spans="1:6" x14ac:dyDescent="0.25">
      <c r="A410" s="16">
        <v>8.3333333333333329E-2</v>
      </c>
      <c r="B410" s="40"/>
      <c r="C410" s="2" t="s">
        <v>222</v>
      </c>
      <c r="D410" s="40"/>
      <c r="E410" s="40"/>
      <c r="F410" s="2" t="s">
        <v>221</v>
      </c>
    </row>
    <row r="411" spans="1:6" x14ac:dyDescent="0.25">
      <c r="A411" s="16">
        <v>0.10416666666666667</v>
      </c>
      <c r="B411" s="40"/>
      <c r="C411" s="40"/>
      <c r="D411" s="40"/>
      <c r="E411" s="40"/>
      <c r="F411" s="2" t="s">
        <v>221</v>
      </c>
    </row>
    <row r="412" spans="1:6" x14ac:dyDescent="0.25">
      <c r="A412" s="16">
        <v>0.125</v>
      </c>
      <c r="B412" s="40"/>
      <c r="C412" s="40"/>
      <c r="D412" s="40"/>
      <c r="E412" s="40"/>
      <c r="F412" s="2" t="s">
        <v>221</v>
      </c>
    </row>
    <row r="413" spans="1:6" x14ac:dyDescent="0.25">
      <c r="A413" s="16">
        <v>0.14583333333333334</v>
      </c>
      <c r="B413" s="40"/>
      <c r="C413" s="40"/>
      <c r="D413" s="40"/>
      <c r="E413" s="40"/>
      <c r="F413" s="2" t="s">
        <v>221</v>
      </c>
    </row>
    <row r="414" spans="1:6" ht="15.75" thickBot="1" x14ac:dyDescent="0.3">
      <c r="A414" s="22">
        <v>0.16666666666666666</v>
      </c>
      <c r="B414" s="40"/>
      <c r="C414" s="40"/>
      <c r="D414" s="40"/>
      <c r="E414" s="40"/>
      <c r="F414" s="40"/>
    </row>
    <row r="415" spans="1:6" x14ac:dyDescent="0.25">
      <c r="A415" s="19"/>
      <c r="B415" s="6"/>
      <c r="C415" s="6"/>
      <c r="D415" s="6"/>
      <c r="E415" s="6"/>
      <c r="F415" s="6"/>
    </row>
    <row r="416" spans="1:6" ht="27" thickBot="1" x14ac:dyDescent="0.45">
      <c r="A416" s="20" t="s">
        <v>223</v>
      </c>
      <c r="B416" s="6"/>
      <c r="C416" s="6"/>
      <c r="D416" s="6"/>
      <c r="E416" s="6"/>
      <c r="F416" s="6"/>
    </row>
    <row r="417" spans="1:6" s="14" customFormat="1" ht="13.5" thickBot="1" x14ac:dyDescent="0.25">
      <c r="A417" s="113"/>
      <c r="B417" s="114" t="s">
        <v>153</v>
      </c>
      <c r="C417" s="114" t="s">
        <v>154</v>
      </c>
      <c r="D417" s="114" t="s">
        <v>155</v>
      </c>
      <c r="E417" s="114" t="s">
        <v>156</v>
      </c>
      <c r="F417" s="114" t="s">
        <v>157</v>
      </c>
    </row>
    <row r="418" spans="1:6" x14ac:dyDescent="0.25">
      <c r="A418" s="15">
        <v>0.33333333333333331</v>
      </c>
      <c r="B418" s="40"/>
      <c r="C418" s="40"/>
      <c r="D418" s="2" t="s">
        <v>224</v>
      </c>
      <c r="E418" s="2" t="s">
        <v>225</v>
      </c>
      <c r="F418" s="2" t="s">
        <v>226</v>
      </c>
    </row>
    <row r="419" spans="1:6" x14ac:dyDescent="0.25">
      <c r="A419" s="16">
        <v>0.35416666666666669</v>
      </c>
      <c r="B419" s="40"/>
      <c r="C419" s="40"/>
      <c r="D419" s="2" t="s">
        <v>224</v>
      </c>
      <c r="E419" s="2" t="s">
        <v>225</v>
      </c>
      <c r="F419" s="2" t="s">
        <v>226</v>
      </c>
    </row>
    <row r="420" spans="1:6" x14ac:dyDescent="0.25">
      <c r="A420" s="16">
        <v>0.375</v>
      </c>
      <c r="B420" s="40"/>
      <c r="C420" s="40"/>
      <c r="D420" s="40"/>
      <c r="E420" s="2" t="s">
        <v>225</v>
      </c>
      <c r="F420" s="40"/>
    </row>
    <row r="421" spans="1:6" x14ac:dyDescent="0.25">
      <c r="A421" s="16">
        <v>0.39583333333333331</v>
      </c>
      <c r="B421" s="40"/>
      <c r="C421" s="40"/>
      <c r="D421" s="40"/>
      <c r="E421" s="2" t="s">
        <v>225</v>
      </c>
      <c r="F421" s="40"/>
    </row>
    <row r="422" spans="1:6" x14ac:dyDescent="0.25">
      <c r="A422" s="16">
        <v>0.41666666666666669</v>
      </c>
      <c r="B422" s="40"/>
      <c r="C422" s="2" t="s">
        <v>226</v>
      </c>
      <c r="D422" s="40"/>
      <c r="E422" s="40"/>
      <c r="F422" s="2" t="s">
        <v>226</v>
      </c>
    </row>
    <row r="423" spans="1:6" x14ac:dyDescent="0.25">
      <c r="A423" s="16">
        <v>0.4375</v>
      </c>
      <c r="B423" s="40"/>
      <c r="C423" s="2" t="s">
        <v>226</v>
      </c>
      <c r="D423" s="40"/>
      <c r="E423" s="40"/>
      <c r="F423" s="2" t="s">
        <v>226</v>
      </c>
    </row>
    <row r="424" spans="1:6" x14ac:dyDescent="0.25">
      <c r="A424" s="16">
        <v>0.45833333333333331</v>
      </c>
      <c r="B424" s="40"/>
      <c r="C424" s="40"/>
      <c r="D424" s="40"/>
      <c r="E424" s="2" t="s">
        <v>225</v>
      </c>
      <c r="F424" s="2" t="s">
        <v>226</v>
      </c>
    </row>
    <row r="425" spans="1:6" x14ac:dyDescent="0.25">
      <c r="A425" s="16">
        <v>0.47916666666666669</v>
      </c>
      <c r="B425" s="40"/>
      <c r="C425" s="40"/>
      <c r="D425" s="40"/>
      <c r="E425" s="2" t="s">
        <v>225</v>
      </c>
      <c r="F425" s="2" t="s">
        <v>226</v>
      </c>
    </row>
    <row r="426" spans="1:6" x14ac:dyDescent="0.25">
      <c r="A426" s="16">
        <v>0.5</v>
      </c>
      <c r="B426" s="2" t="s">
        <v>226</v>
      </c>
      <c r="C426" s="40"/>
      <c r="D426" s="40"/>
      <c r="E426" s="2" t="s">
        <v>225</v>
      </c>
      <c r="F426" s="40"/>
    </row>
    <row r="427" spans="1:6" x14ac:dyDescent="0.25">
      <c r="A427" s="16">
        <v>0.52083333333333337</v>
      </c>
      <c r="B427" s="2" t="s">
        <v>226</v>
      </c>
      <c r="C427" s="40"/>
      <c r="D427" s="40"/>
      <c r="E427" s="2" t="s">
        <v>225</v>
      </c>
      <c r="F427" s="40"/>
    </row>
    <row r="428" spans="1:6" x14ac:dyDescent="0.25">
      <c r="A428" s="16">
        <v>4.1666666666666664E-2</v>
      </c>
      <c r="B428" s="40"/>
      <c r="C428" s="2" t="s">
        <v>227</v>
      </c>
      <c r="D428" s="40"/>
      <c r="E428" s="2" t="s">
        <v>225</v>
      </c>
      <c r="F428" s="40"/>
    </row>
    <row r="429" spans="1:6" x14ac:dyDescent="0.25">
      <c r="A429" s="16">
        <v>6.25E-2</v>
      </c>
      <c r="B429" s="40"/>
      <c r="C429" s="2" t="s">
        <v>227</v>
      </c>
      <c r="D429" s="2" t="s">
        <v>225</v>
      </c>
      <c r="E429" s="2" t="s">
        <v>225</v>
      </c>
      <c r="F429" s="40"/>
    </row>
    <row r="430" spans="1:6" x14ac:dyDescent="0.25">
      <c r="A430" s="16">
        <v>8.3333333333333329E-2</v>
      </c>
      <c r="B430" s="40"/>
      <c r="C430" s="2" t="s">
        <v>227</v>
      </c>
      <c r="D430" s="2" t="s">
        <v>225</v>
      </c>
      <c r="E430" s="2" t="s">
        <v>225</v>
      </c>
      <c r="F430" s="2" t="s">
        <v>226</v>
      </c>
    </row>
    <row r="431" spans="1:6" x14ac:dyDescent="0.25">
      <c r="A431" s="16">
        <v>0.10416666666666667</v>
      </c>
      <c r="B431" s="40"/>
      <c r="C431" s="2" t="s">
        <v>227</v>
      </c>
      <c r="D431" s="2" t="s">
        <v>225</v>
      </c>
      <c r="E431" s="2" t="s">
        <v>225</v>
      </c>
      <c r="F431" s="2" t="s">
        <v>226</v>
      </c>
    </row>
    <row r="432" spans="1:6" x14ac:dyDescent="0.25">
      <c r="A432" s="16">
        <v>0.125</v>
      </c>
      <c r="B432" s="40"/>
      <c r="C432" s="2" t="s">
        <v>226</v>
      </c>
      <c r="D432" s="2" t="s">
        <v>225</v>
      </c>
      <c r="E432" s="2" t="s">
        <v>225</v>
      </c>
      <c r="F432" s="2" t="s">
        <v>226</v>
      </c>
    </row>
    <row r="433" spans="1:6" x14ac:dyDescent="0.25">
      <c r="A433" s="16">
        <v>0.14583333333333334</v>
      </c>
      <c r="B433" s="40"/>
      <c r="C433" s="2" t="s">
        <v>226</v>
      </c>
      <c r="D433" s="40"/>
      <c r="E433" s="2" t="s">
        <v>225</v>
      </c>
      <c r="F433" s="2" t="s">
        <v>226</v>
      </c>
    </row>
    <row r="434" spans="1:6" ht="15.75" thickBot="1" x14ac:dyDescent="0.3">
      <c r="A434" s="22">
        <v>0.16666666666666666</v>
      </c>
      <c r="B434" s="40"/>
      <c r="C434" s="40"/>
      <c r="D434" s="40"/>
      <c r="E434" s="40"/>
      <c r="F434" s="40"/>
    </row>
    <row r="435" spans="1:6" x14ac:dyDescent="0.25">
      <c r="A435" s="19"/>
      <c r="B435" s="6"/>
      <c r="C435" s="6" t="s">
        <v>228</v>
      </c>
      <c r="D435" s="6" t="s">
        <v>229</v>
      </c>
      <c r="E435" s="6"/>
      <c r="F435" s="6"/>
    </row>
    <row r="436" spans="1:6" ht="15.75" thickBot="1" x14ac:dyDescent="0.3">
      <c r="A436" s="19"/>
      <c r="B436" s="6"/>
      <c r="C436" s="6"/>
      <c r="D436" s="6"/>
      <c r="E436" s="6"/>
      <c r="F436" s="6"/>
    </row>
    <row r="437" spans="1:6" ht="15.75" thickBot="1" x14ac:dyDescent="0.3">
      <c r="A437" s="113"/>
      <c r="B437" s="114" t="s">
        <v>153</v>
      </c>
      <c r="C437" s="114" t="s">
        <v>154</v>
      </c>
      <c r="D437" s="114" t="s">
        <v>155</v>
      </c>
      <c r="E437" s="114" t="s">
        <v>156</v>
      </c>
      <c r="F437" s="114" t="s">
        <v>157</v>
      </c>
    </row>
    <row r="438" spans="1:6" s="14" customFormat="1" ht="12.75" x14ac:dyDescent="0.2">
      <c r="A438" s="15">
        <v>0.33333333333333331</v>
      </c>
      <c r="B438" s="2" t="s">
        <v>230</v>
      </c>
      <c r="C438" s="40"/>
      <c r="D438" s="2" t="s">
        <v>231</v>
      </c>
      <c r="E438" s="2" t="s">
        <v>231</v>
      </c>
      <c r="F438" s="40"/>
    </row>
    <row r="439" spans="1:6" x14ac:dyDescent="0.25">
      <c r="A439" s="16">
        <v>0.35416666666666669</v>
      </c>
      <c r="B439" s="2" t="s">
        <v>230</v>
      </c>
      <c r="C439" s="40"/>
      <c r="D439" s="2" t="s">
        <v>231</v>
      </c>
      <c r="E439" s="2" t="s">
        <v>231</v>
      </c>
      <c r="F439" s="40"/>
    </row>
    <row r="440" spans="1:6" x14ac:dyDescent="0.25">
      <c r="A440" s="16">
        <v>0.375</v>
      </c>
      <c r="B440" s="2" t="s">
        <v>230</v>
      </c>
      <c r="C440" s="40"/>
      <c r="D440" s="2" t="s">
        <v>231</v>
      </c>
      <c r="E440" s="2" t="s">
        <v>231</v>
      </c>
      <c r="F440" s="40"/>
    </row>
    <row r="441" spans="1:6" x14ac:dyDescent="0.25">
      <c r="A441" s="16">
        <v>0.39583333333333331</v>
      </c>
      <c r="B441" s="2" t="s">
        <v>230</v>
      </c>
      <c r="C441" s="40"/>
      <c r="D441" s="2" t="s">
        <v>231</v>
      </c>
      <c r="E441" s="2" t="s">
        <v>231</v>
      </c>
      <c r="F441" s="40"/>
    </row>
    <row r="442" spans="1:6" x14ac:dyDescent="0.25">
      <c r="A442" s="16">
        <v>0.41666666666666669</v>
      </c>
      <c r="B442" s="2" t="s">
        <v>230</v>
      </c>
      <c r="C442" s="40"/>
      <c r="D442" s="2" t="s">
        <v>231</v>
      </c>
      <c r="E442" s="2" t="s">
        <v>231</v>
      </c>
      <c r="F442" s="40"/>
    </row>
    <row r="443" spans="1:6" x14ac:dyDescent="0.25">
      <c r="A443" s="16">
        <v>0.4375</v>
      </c>
      <c r="B443" s="2" t="s">
        <v>230</v>
      </c>
      <c r="C443" s="40"/>
      <c r="D443" s="2" t="s">
        <v>231</v>
      </c>
      <c r="E443" s="2" t="s">
        <v>231</v>
      </c>
      <c r="F443" s="40"/>
    </row>
    <row r="444" spans="1:6" x14ac:dyDescent="0.25">
      <c r="A444" s="16">
        <v>0.45833333333333331</v>
      </c>
      <c r="B444" s="2" t="s">
        <v>230</v>
      </c>
      <c r="C444" s="40"/>
      <c r="D444" s="2" t="s">
        <v>231</v>
      </c>
      <c r="E444" s="2" t="s">
        <v>231</v>
      </c>
      <c r="F444" s="40"/>
    </row>
    <row r="445" spans="1:6" x14ac:dyDescent="0.25">
      <c r="A445" s="16">
        <v>0.47916666666666669</v>
      </c>
      <c r="B445" s="2" t="s">
        <v>230</v>
      </c>
      <c r="C445" s="40"/>
      <c r="D445" s="2" t="s">
        <v>231</v>
      </c>
      <c r="E445" s="2" t="s">
        <v>231</v>
      </c>
      <c r="F445" s="40"/>
    </row>
    <row r="446" spans="1:6" x14ac:dyDescent="0.25">
      <c r="A446" s="16">
        <v>0.5</v>
      </c>
      <c r="B446" s="2" t="s">
        <v>230</v>
      </c>
      <c r="C446" s="40"/>
      <c r="D446" s="2" t="s">
        <v>231</v>
      </c>
      <c r="E446" s="2" t="s">
        <v>231</v>
      </c>
      <c r="F446" s="40"/>
    </row>
    <row r="447" spans="1:6" x14ac:dyDescent="0.25">
      <c r="A447" s="16">
        <v>0.52083333333333337</v>
      </c>
      <c r="B447" s="2" t="s">
        <v>230</v>
      </c>
      <c r="C447" s="40"/>
      <c r="D447" s="2" t="s">
        <v>231</v>
      </c>
      <c r="E447" s="2" t="s">
        <v>231</v>
      </c>
      <c r="F447" s="40"/>
    </row>
    <row r="448" spans="1:6" x14ac:dyDescent="0.25">
      <c r="A448" s="16">
        <v>4.1666666666666664E-2</v>
      </c>
      <c r="B448" s="2" t="s">
        <v>230</v>
      </c>
      <c r="C448" s="2" t="s">
        <v>230</v>
      </c>
      <c r="D448" s="2" t="s">
        <v>231</v>
      </c>
      <c r="E448" s="40"/>
      <c r="F448" s="40"/>
    </row>
    <row r="449" spans="1:6" x14ac:dyDescent="0.25">
      <c r="A449" s="16">
        <v>6.25E-2</v>
      </c>
      <c r="B449" s="2" t="s">
        <v>230</v>
      </c>
      <c r="C449" s="2" t="s">
        <v>230</v>
      </c>
      <c r="D449" s="2" t="s">
        <v>231</v>
      </c>
      <c r="E449" s="40"/>
      <c r="F449" s="40"/>
    </row>
    <row r="450" spans="1:6" x14ac:dyDescent="0.25">
      <c r="A450" s="16">
        <v>8.3333333333333329E-2</v>
      </c>
      <c r="B450" s="2" t="s">
        <v>230</v>
      </c>
      <c r="C450" s="2" t="s">
        <v>230</v>
      </c>
      <c r="D450" s="2" t="s">
        <v>231</v>
      </c>
      <c r="E450" s="40"/>
      <c r="F450" s="40"/>
    </row>
    <row r="451" spans="1:6" x14ac:dyDescent="0.25">
      <c r="A451" s="16">
        <v>0.10416666666666667</v>
      </c>
      <c r="B451" s="2" t="s">
        <v>230</v>
      </c>
      <c r="C451" s="2" t="s">
        <v>230</v>
      </c>
      <c r="D451" s="2" t="s">
        <v>231</v>
      </c>
      <c r="E451" s="40"/>
      <c r="F451" s="40"/>
    </row>
    <row r="452" spans="1:6" x14ac:dyDescent="0.25">
      <c r="A452" s="16">
        <v>0.125</v>
      </c>
      <c r="B452" s="2" t="s">
        <v>230</v>
      </c>
      <c r="C452" s="2" t="s">
        <v>230</v>
      </c>
      <c r="D452" s="2" t="s">
        <v>231</v>
      </c>
      <c r="E452" s="40"/>
      <c r="F452" s="40"/>
    </row>
    <row r="453" spans="1:6" x14ac:dyDescent="0.25">
      <c r="A453" s="16">
        <v>0.14583333333333334</v>
      </c>
      <c r="B453" s="2" t="s">
        <v>230</v>
      </c>
      <c r="C453" s="2" t="s">
        <v>230</v>
      </c>
      <c r="D453" s="2" t="s">
        <v>231</v>
      </c>
      <c r="E453" s="40"/>
      <c r="F453" s="40"/>
    </row>
    <row r="454" spans="1:6" ht="15.75" thickBot="1" x14ac:dyDescent="0.3">
      <c r="A454" s="22">
        <v>0.16666666666666666</v>
      </c>
      <c r="B454" s="40"/>
      <c r="C454" s="40"/>
      <c r="D454" s="40"/>
      <c r="E454" s="40"/>
      <c r="F454" s="40"/>
    </row>
    <row r="455" spans="1:6" x14ac:dyDescent="0.25">
      <c r="A455" s="19"/>
      <c r="B455" s="6"/>
      <c r="C455" s="6"/>
      <c r="D455" s="6"/>
      <c r="E455" s="6"/>
      <c r="F455" s="6"/>
    </row>
    <row r="456" spans="1:6" ht="27" thickBot="1" x14ac:dyDescent="0.45">
      <c r="A456" s="20" t="s">
        <v>232</v>
      </c>
      <c r="B456" s="6"/>
      <c r="C456" s="6"/>
      <c r="D456" s="6"/>
      <c r="E456" s="6"/>
      <c r="F456" s="6"/>
    </row>
    <row r="457" spans="1:6" ht="15.75" thickBot="1" x14ac:dyDescent="0.3">
      <c r="A457" s="113"/>
      <c r="B457" s="114" t="s">
        <v>153</v>
      </c>
      <c r="C457" s="114" t="s">
        <v>154</v>
      </c>
      <c r="D457" s="114" t="s">
        <v>155</v>
      </c>
      <c r="E457" s="114" t="s">
        <v>156</v>
      </c>
      <c r="F457" s="114" t="s">
        <v>157</v>
      </c>
    </row>
    <row r="458" spans="1:6" s="14" customFormat="1" ht="12.75" x14ac:dyDescent="0.2">
      <c r="A458" s="15">
        <v>0.33333333333333331</v>
      </c>
      <c r="B458" s="2" t="s">
        <v>233</v>
      </c>
      <c r="C458" s="40"/>
      <c r="D458" s="40"/>
      <c r="E458" s="40"/>
      <c r="F458" s="40"/>
    </row>
    <row r="459" spans="1:6" x14ac:dyDescent="0.25">
      <c r="A459" s="16">
        <v>0.35416666666666669</v>
      </c>
      <c r="B459" s="2" t="s">
        <v>233</v>
      </c>
      <c r="C459" s="40"/>
      <c r="D459" s="40"/>
      <c r="E459" s="40"/>
      <c r="F459" s="40"/>
    </row>
    <row r="460" spans="1:6" x14ac:dyDescent="0.25">
      <c r="A460" s="16">
        <v>0.375</v>
      </c>
      <c r="B460" s="2" t="s">
        <v>234</v>
      </c>
      <c r="C460" s="40"/>
      <c r="D460" s="40"/>
      <c r="E460" s="40"/>
      <c r="F460" s="40"/>
    </row>
    <row r="461" spans="1:6" x14ac:dyDescent="0.25">
      <c r="A461" s="16">
        <v>0.39583333333333331</v>
      </c>
      <c r="B461" s="2" t="s">
        <v>234</v>
      </c>
      <c r="C461" s="40"/>
      <c r="D461" s="40"/>
      <c r="E461" s="40"/>
      <c r="F461" s="40"/>
    </row>
    <row r="462" spans="1:6" x14ac:dyDescent="0.25">
      <c r="A462" s="16">
        <v>0.41666666666666669</v>
      </c>
      <c r="B462" s="2" t="s">
        <v>233</v>
      </c>
      <c r="C462" s="40"/>
      <c r="D462" s="40"/>
      <c r="E462" s="40"/>
      <c r="F462" s="40"/>
    </row>
    <row r="463" spans="1:6" x14ac:dyDescent="0.25">
      <c r="A463" s="16">
        <v>0.4375</v>
      </c>
      <c r="B463" s="2" t="s">
        <v>233</v>
      </c>
      <c r="C463" s="40"/>
      <c r="D463" s="40"/>
      <c r="E463" s="40"/>
      <c r="F463" s="40"/>
    </row>
    <row r="464" spans="1:6" x14ac:dyDescent="0.25">
      <c r="A464" s="16">
        <v>0.45833333333333331</v>
      </c>
      <c r="B464" s="2" t="s">
        <v>233</v>
      </c>
      <c r="C464" s="40"/>
      <c r="D464" s="40"/>
      <c r="E464" s="40"/>
      <c r="F464" s="40"/>
    </row>
    <row r="465" spans="1:6" x14ac:dyDescent="0.25">
      <c r="A465" s="16">
        <v>0.47916666666666669</v>
      </c>
      <c r="B465" s="2" t="s">
        <v>233</v>
      </c>
      <c r="C465" s="40"/>
      <c r="D465" s="40"/>
      <c r="E465" s="40"/>
      <c r="F465" s="40"/>
    </row>
    <row r="466" spans="1:6" x14ac:dyDescent="0.25">
      <c r="A466" s="16">
        <v>0.5</v>
      </c>
      <c r="B466" s="2" t="s">
        <v>233</v>
      </c>
      <c r="C466" s="40"/>
      <c r="D466" s="40"/>
      <c r="E466" s="40"/>
      <c r="F466" s="40"/>
    </row>
    <row r="467" spans="1:6" x14ac:dyDescent="0.25">
      <c r="A467" s="16">
        <v>0.52083333333333337</v>
      </c>
      <c r="B467" s="40"/>
      <c r="C467" s="40"/>
      <c r="D467" s="40"/>
      <c r="E467" s="40"/>
      <c r="F467" s="40"/>
    </row>
    <row r="468" spans="1:6" x14ac:dyDescent="0.25">
      <c r="A468" s="16">
        <v>4.1666666666666664E-2</v>
      </c>
      <c r="B468" s="40"/>
      <c r="C468" s="40"/>
      <c r="D468" s="2" t="s">
        <v>235</v>
      </c>
      <c r="E468" s="40"/>
      <c r="F468" s="40"/>
    </row>
    <row r="469" spans="1:6" x14ac:dyDescent="0.25">
      <c r="A469" s="16">
        <v>6.25E-2</v>
      </c>
      <c r="B469" s="40"/>
      <c r="C469" s="40"/>
      <c r="D469" s="2" t="s">
        <v>235</v>
      </c>
      <c r="E469" s="40"/>
      <c r="F469" s="40"/>
    </row>
    <row r="470" spans="1:6" x14ac:dyDescent="0.25">
      <c r="A470" s="16">
        <v>8.3333333333333329E-2</v>
      </c>
      <c r="B470" s="40"/>
      <c r="C470" s="40"/>
      <c r="D470" s="2" t="s">
        <v>236</v>
      </c>
      <c r="E470" s="40"/>
      <c r="F470" s="40"/>
    </row>
    <row r="471" spans="1:6" x14ac:dyDescent="0.25">
      <c r="A471" s="16">
        <v>0.10416666666666667</v>
      </c>
      <c r="B471" s="40"/>
      <c r="C471" s="40"/>
      <c r="D471" s="2" t="s">
        <v>236</v>
      </c>
      <c r="E471" s="40"/>
      <c r="F471" s="40"/>
    </row>
    <row r="472" spans="1:6" x14ac:dyDescent="0.25">
      <c r="A472" s="16">
        <v>0.125</v>
      </c>
      <c r="B472" s="40"/>
      <c r="C472" s="40"/>
      <c r="D472" s="2" t="s">
        <v>236</v>
      </c>
      <c r="E472" s="40"/>
      <c r="F472" s="40"/>
    </row>
    <row r="473" spans="1:6" x14ac:dyDescent="0.25">
      <c r="A473" s="16">
        <v>0.14583333333333334</v>
      </c>
      <c r="B473" s="40"/>
      <c r="C473" s="40"/>
      <c r="D473" s="2" t="s">
        <v>236</v>
      </c>
      <c r="E473" s="40"/>
      <c r="F473" s="40"/>
    </row>
    <row r="474" spans="1:6" ht="15.75" thickBot="1" x14ac:dyDescent="0.3">
      <c r="A474" s="22">
        <v>0.16666666666666666</v>
      </c>
      <c r="B474" s="40"/>
      <c r="C474" s="40"/>
      <c r="D474" s="40"/>
      <c r="E474" s="40"/>
      <c r="F474" s="40"/>
    </row>
    <row r="475" spans="1:6" x14ac:dyDescent="0.25">
      <c r="A475" s="19"/>
      <c r="B475" s="6"/>
      <c r="C475" s="6"/>
      <c r="D475" s="6"/>
      <c r="E475" s="6"/>
      <c r="F475" s="6"/>
    </row>
    <row r="476" spans="1:6" ht="27" thickBot="1" x14ac:dyDescent="0.45">
      <c r="A476" s="20" t="s">
        <v>237</v>
      </c>
      <c r="B476" s="6"/>
      <c r="C476" s="6"/>
      <c r="D476" s="6"/>
      <c r="E476" s="6"/>
      <c r="F476" s="6"/>
    </row>
    <row r="477" spans="1:6" ht="15.75" thickBot="1" x14ac:dyDescent="0.3">
      <c r="A477" s="113"/>
      <c r="B477" s="114" t="s">
        <v>153</v>
      </c>
      <c r="C477" s="114" t="s">
        <v>154</v>
      </c>
      <c r="D477" s="114" t="s">
        <v>155</v>
      </c>
      <c r="E477" s="114" t="s">
        <v>156</v>
      </c>
      <c r="F477" s="114" t="s">
        <v>157</v>
      </c>
    </row>
    <row r="478" spans="1:6" s="14" customFormat="1" ht="12.75" x14ac:dyDescent="0.2">
      <c r="A478" s="15">
        <v>0.33333333333333331</v>
      </c>
      <c r="B478" s="40"/>
      <c r="C478" s="40"/>
      <c r="D478" s="40"/>
      <c r="E478" s="40"/>
      <c r="F478" s="40"/>
    </row>
    <row r="479" spans="1:6" x14ac:dyDescent="0.25">
      <c r="A479" s="16">
        <v>0.35416666666666669</v>
      </c>
      <c r="B479" s="40"/>
      <c r="C479" s="40"/>
      <c r="D479" s="40"/>
      <c r="E479" s="40"/>
      <c r="F479" s="40"/>
    </row>
    <row r="480" spans="1:6" x14ac:dyDescent="0.25">
      <c r="A480" s="16">
        <v>0.375</v>
      </c>
      <c r="B480" s="40"/>
      <c r="C480" s="40"/>
      <c r="D480" s="40"/>
      <c r="E480" s="40"/>
      <c r="F480" s="40"/>
    </row>
    <row r="481" spans="1:6" x14ac:dyDescent="0.25">
      <c r="A481" s="16">
        <v>0.39583333333333331</v>
      </c>
      <c r="B481" s="40"/>
      <c r="C481" s="40"/>
      <c r="D481" s="40"/>
      <c r="E481" s="40"/>
      <c r="F481" s="40"/>
    </row>
    <row r="482" spans="1:6" x14ac:dyDescent="0.25">
      <c r="A482" s="16">
        <v>0.41666666666666669</v>
      </c>
      <c r="B482" s="40"/>
      <c r="C482" s="40"/>
      <c r="D482" s="40"/>
      <c r="E482" s="40"/>
      <c r="F482" s="40"/>
    </row>
    <row r="483" spans="1:6" x14ac:dyDescent="0.25">
      <c r="A483" s="16">
        <v>0.4375</v>
      </c>
      <c r="B483" s="40"/>
      <c r="C483" s="40"/>
      <c r="D483" s="40"/>
      <c r="E483" s="40"/>
      <c r="F483" s="40"/>
    </row>
    <row r="484" spans="1:6" x14ac:dyDescent="0.25">
      <c r="A484" s="16">
        <v>0.45833333333333331</v>
      </c>
      <c r="B484" s="40"/>
      <c r="C484" s="40"/>
      <c r="D484" s="40"/>
      <c r="E484" s="40"/>
      <c r="F484" s="40"/>
    </row>
    <row r="485" spans="1:6" ht="14.25" customHeight="1" x14ac:dyDescent="0.25">
      <c r="A485" s="16">
        <v>0.47916666666666669</v>
      </c>
      <c r="B485" s="40"/>
      <c r="C485" s="40"/>
      <c r="D485" s="40"/>
      <c r="E485" s="40"/>
      <c r="F485" s="40"/>
    </row>
    <row r="486" spans="1:6" ht="14.25" customHeight="1" x14ac:dyDescent="0.25">
      <c r="A486" s="16">
        <v>0.5</v>
      </c>
      <c r="B486" s="40"/>
      <c r="C486" s="40"/>
      <c r="D486" s="40"/>
      <c r="E486" s="40"/>
      <c r="F486" s="40"/>
    </row>
    <row r="487" spans="1:6" x14ac:dyDescent="0.25">
      <c r="A487" s="16">
        <v>0.52083333333333337</v>
      </c>
      <c r="B487" s="40"/>
      <c r="C487" s="40"/>
      <c r="D487" s="40"/>
      <c r="E487" s="40"/>
      <c r="F487" s="40"/>
    </row>
    <row r="488" spans="1:6" x14ac:dyDescent="0.25">
      <c r="A488" s="16">
        <v>4.1666666666666664E-2</v>
      </c>
      <c r="B488" s="2" t="s">
        <v>238</v>
      </c>
      <c r="C488" s="40"/>
      <c r="D488" s="40"/>
      <c r="E488" s="40"/>
      <c r="F488" s="40"/>
    </row>
    <row r="489" spans="1:6" x14ac:dyDescent="0.25">
      <c r="A489" s="16">
        <v>6.25E-2</v>
      </c>
      <c r="B489" s="2" t="s">
        <v>238</v>
      </c>
      <c r="C489" s="40"/>
      <c r="D489" s="40"/>
      <c r="E489" s="2" t="s">
        <v>239</v>
      </c>
      <c r="F489" s="40"/>
    </row>
    <row r="490" spans="1:6" x14ac:dyDescent="0.25">
      <c r="A490" s="16">
        <v>8.3333333333333329E-2</v>
      </c>
      <c r="B490" s="2" t="s">
        <v>238</v>
      </c>
      <c r="C490" s="40"/>
      <c r="D490" s="40"/>
      <c r="E490" s="2" t="s">
        <v>240</v>
      </c>
      <c r="F490" s="40"/>
    </row>
    <row r="491" spans="1:6" x14ac:dyDescent="0.25">
      <c r="A491" s="16">
        <v>0.10416666666666667</v>
      </c>
      <c r="B491" s="2" t="s">
        <v>238</v>
      </c>
      <c r="C491" s="40"/>
      <c r="D491" s="40"/>
      <c r="E491" s="2" t="s">
        <v>240</v>
      </c>
      <c r="F491" s="40"/>
    </row>
    <row r="492" spans="1:6" x14ac:dyDescent="0.25">
      <c r="A492" s="16">
        <v>0.125</v>
      </c>
      <c r="B492" s="2" t="s">
        <v>241</v>
      </c>
      <c r="C492" s="40"/>
      <c r="D492" s="40"/>
      <c r="E492" s="2" t="s">
        <v>239</v>
      </c>
      <c r="F492" s="40"/>
    </row>
    <row r="493" spans="1:6" x14ac:dyDescent="0.25">
      <c r="A493" s="16">
        <v>0.14583333333333334</v>
      </c>
      <c r="B493" s="2" t="s">
        <v>241</v>
      </c>
      <c r="C493" s="40"/>
      <c r="D493" s="40"/>
      <c r="E493" s="2" t="s">
        <v>239</v>
      </c>
      <c r="F493" s="40"/>
    </row>
    <row r="494" spans="1:6" ht="15.75" thickBot="1" x14ac:dyDescent="0.3">
      <c r="A494" s="22">
        <v>0.16666666666666666</v>
      </c>
      <c r="B494" s="40"/>
      <c r="C494" s="40"/>
      <c r="D494" s="40"/>
      <c r="E494" s="40"/>
      <c r="F494" s="40"/>
    </row>
    <row r="495" spans="1:6" x14ac:dyDescent="0.25">
      <c r="A495" s="19"/>
      <c r="B495" s="6"/>
      <c r="C495" s="6"/>
      <c r="D495" s="6"/>
      <c r="E495" s="6"/>
      <c r="F495" s="6"/>
    </row>
    <row r="496" spans="1:6" ht="27" thickBot="1" x14ac:dyDescent="0.45">
      <c r="A496" s="20" t="s">
        <v>242</v>
      </c>
      <c r="B496" s="6"/>
      <c r="C496" s="6"/>
      <c r="D496" s="6"/>
      <c r="E496" s="6"/>
      <c r="F496" s="6"/>
    </row>
    <row r="497" spans="1:7" ht="15.75" thickBot="1" x14ac:dyDescent="0.3">
      <c r="A497" s="113"/>
      <c r="B497" s="114" t="s">
        <v>153</v>
      </c>
      <c r="C497" s="114" t="s">
        <v>154</v>
      </c>
      <c r="D497" s="114" t="s">
        <v>155</v>
      </c>
      <c r="E497" s="114" t="s">
        <v>156</v>
      </c>
      <c r="F497" s="114" t="s">
        <v>157</v>
      </c>
    </row>
    <row r="498" spans="1:7" s="14" customFormat="1" ht="25.5" x14ac:dyDescent="0.2">
      <c r="A498" s="15">
        <v>0.33333333333333331</v>
      </c>
      <c r="B498" s="40"/>
      <c r="C498" s="40"/>
      <c r="D498" s="2" t="s">
        <v>243</v>
      </c>
      <c r="E498" s="2" t="s">
        <v>244</v>
      </c>
      <c r="F498" s="2" t="s">
        <v>245</v>
      </c>
    </row>
    <row r="499" spans="1:7" ht="26.25" x14ac:dyDescent="0.25">
      <c r="A499" s="16">
        <v>0.35416666666666669</v>
      </c>
      <c r="B499" s="40"/>
      <c r="C499" s="40"/>
      <c r="D499" s="2" t="s">
        <v>243</v>
      </c>
      <c r="E499" s="2" t="s">
        <v>244</v>
      </c>
      <c r="F499" s="2" t="s">
        <v>245</v>
      </c>
    </row>
    <row r="500" spans="1:7" ht="26.25" x14ac:dyDescent="0.25">
      <c r="A500" s="16">
        <v>0.375</v>
      </c>
      <c r="B500" s="40"/>
      <c r="C500" s="40"/>
      <c r="D500" s="2" t="s">
        <v>243</v>
      </c>
      <c r="E500" s="2" t="s">
        <v>244</v>
      </c>
      <c r="F500" s="2" t="s">
        <v>245</v>
      </c>
    </row>
    <row r="501" spans="1:7" ht="26.25" x14ac:dyDescent="0.25">
      <c r="A501" s="16">
        <v>0.39583333333333331</v>
      </c>
      <c r="B501" s="40"/>
      <c r="C501" s="40"/>
      <c r="D501" s="2" t="s">
        <v>243</v>
      </c>
      <c r="E501" s="2" t="s">
        <v>244</v>
      </c>
      <c r="F501" s="2" t="s">
        <v>245</v>
      </c>
      <c r="G501" s="14"/>
    </row>
    <row r="502" spans="1:7" ht="26.25" x14ac:dyDescent="0.25">
      <c r="A502" s="16">
        <v>0.41666666666666669</v>
      </c>
      <c r="B502" s="40"/>
      <c r="C502" s="40"/>
      <c r="D502" s="2" t="s">
        <v>246</v>
      </c>
      <c r="E502" s="2" t="s">
        <v>244</v>
      </c>
      <c r="F502" s="2" t="s">
        <v>245</v>
      </c>
    </row>
    <row r="503" spans="1:7" ht="26.25" x14ac:dyDescent="0.25">
      <c r="A503" s="16">
        <v>0.4375</v>
      </c>
      <c r="B503" s="40"/>
      <c r="C503" s="40"/>
      <c r="D503" s="2" t="s">
        <v>246</v>
      </c>
      <c r="E503" s="2" t="s">
        <v>244</v>
      </c>
      <c r="F503" s="2" t="s">
        <v>245</v>
      </c>
    </row>
    <row r="504" spans="1:7" ht="26.25" x14ac:dyDescent="0.25">
      <c r="A504" s="16">
        <v>0.45833333333333331</v>
      </c>
      <c r="B504" s="40"/>
      <c r="C504" s="40"/>
      <c r="D504" s="2" t="s">
        <v>243</v>
      </c>
      <c r="E504" s="2" t="s">
        <v>244</v>
      </c>
      <c r="F504" s="2" t="s">
        <v>247</v>
      </c>
      <c r="G504" s="14"/>
    </row>
    <row r="505" spans="1:7" ht="26.25" x14ac:dyDescent="0.25">
      <c r="A505" s="16">
        <v>0.47916666666666669</v>
      </c>
      <c r="B505" s="40"/>
      <c r="C505" s="40"/>
      <c r="D505" s="2" t="s">
        <v>243</v>
      </c>
      <c r="E505" s="2" t="s">
        <v>244</v>
      </c>
      <c r="F505" s="2" t="s">
        <v>247</v>
      </c>
    </row>
    <row r="506" spans="1:7" x14ac:dyDescent="0.25">
      <c r="A506" s="16">
        <v>0.5</v>
      </c>
      <c r="B506" s="40"/>
      <c r="C506" s="40"/>
      <c r="D506" s="40"/>
      <c r="E506" s="40"/>
      <c r="F506" s="40"/>
    </row>
    <row r="507" spans="1:7" x14ac:dyDescent="0.25">
      <c r="A507" s="16">
        <v>0.52083333333333337</v>
      </c>
      <c r="B507" s="40"/>
      <c r="C507" s="40"/>
      <c r="D507" s="40"/>
      <c r="E507" s="40"/>
      <c r="F507" s="40"/>
    </row>
    <row r="508" spans="1:7" ht="15" customHeight="1" x14ac:dyDescent="0.25">
      <c r="A508" s="16">
        <v>4.1666666666666664E-2</v>
      </c>
      <c r="B508" s="40"/>
      <c r="C508" s="2" t="s">
        <v>245</v>
      </c>
      <c r="D508" s="40"/>
      <c r="E508" s="40"/>
      <c r="F508" s="40"/>
    </row>
    <row r="509" spans="1:7" ht="15" customHeight="1" x14ac:dyDescent="0.25">
      <c r="A509" s="16">
        <v>6.25E-2</v>
      </c>
      <c r="B509" s="40"/>
      <c r="C509" s="2" t="s">
        <v>245</v>
      </c>
      <c r="D509" s="40"/>
      <c r="E509" s="40"/>
      <c r="F509" s="40"/>
    </row>
    <row r="510" spans="1:7" ht="15" customHeight="1" x14ac:dyDescent="0.25">
      <c r="A510" s="16">
        <v>8.3333333333333329E-2</v>
      </c>
      <c r="B510" s="40"/>
      <c r="C510" s="2" t="s">
        <v>245</v>
      </c>
      <c r="D510" s="40"/>
      <c r="E510" s="40"/>
      <c r="F510" s="40"/>
    </row>
    <row r="511" spans="1:7" ht="15" customHeight="1" x14ac:dyDescent="0.25">
      <c r="A511" s="16">
        <v>0.10416666666666667</v>
      </c>
      <c r="B511" s="40"/>
      <c r="C511" s="2" t="s">
        <v>245</v>
      </c>
      <c r="D511" s="40"/>
      <c r="E511" s="40"/>
      <c r="F511" s="40"/>
    </row>
    <row r="512" spans="1:7" ht="15" customHeight="1" x14ac:dyDescent="0.25">
      <c r="A512" s="16">
        <v>0.125</v>
      </c>
      <c r="B512" s="40"/>
      <c r="C512" s="2" t="s">
        <v>245</v>
      </c>
      <c r="D512" s="40"/>
      <c r="E512" s="40"/>
      <c r="F512" s="40"/>
    </row>
    <row r="513" spans="1:7" ht="15" customHeight="1" x14ac:dyDescent="0.25">
      <c r="A513" s="16">
        <v>0.14583333333333334</v>
      </c>
      <c r="B513" s="40"/>
      <c r="C513" s="2" t="s">
        <v>245</v>
      </c>
      <c r="D513" s="40"/>
      <c r="E513" s="40"/>
      <c r="F513" s="40"/>
    </row>
    <row r="514" spans="1:7" ht="15" customHeight="1" thickBot="1" x14ac:dyDescent="0.3">
      <c r="A514" s="22">
        <v>0.16666666666666666</v>
      </c>
      <c r="B514" s="40"/>
      <c r="C514" s="40"/>
      <c r="D514" s="40"/>
      <c r="E514" s="40"/>
      <c r="F514" s="40"/>
    </row>
    <row r="515" spans="1:7" ht="15.75" customHeight="1" x14ac:dyDescent="0.25">
      <c r="A515" s="19"/>
      <c r="B515" s="6"/>
      <c r="C515" s="6"/>
      <c r="D515" s="1" t="s">
        <v>248</v>
      </c>
      <c r="E515" s="6"/>
      <c r="F515" s="6" t="s">
        <v>249</v>
      </c>
    </row>
    <row r="516" spans="1:7" ht="27" thickBot="1" x14ac:dyDescent="0.45">
      <c r="A516" s="12" t="s">
        <v>250</v>
      </c>
      <c r="B516" s="6"/>
      <c r="C516" s="6"/>
      <c r="D516" s="6"/>
      <c r="E516" s="6"/>
      <c r="F516" s="6"/>
    </row>
    <row r="517" spans="1:7" ht="15.75" thickBot="1" x14ac:dyDescent="0.3">
      <c r="A517" s="113"/>
      <c r="B517" s="114" t="s">
        <v>153</v>
      </c>
      <c r="C517" s="13" t="s">
        <v>154</v>
      </c>
      <c r="D517" s="13" t="s">
        <v>155</v>
      </c>
      <c r="E517" s="13" t="s">
        <v>156</v>
      </c>
      <c r="F517" s="13" t="s">
        <v>157</v>
      </c>
    </row>
    <row r="518" spans="1:7" x14ac:dyDescent="0.25">
      <c r="A518" s="15">
        <v>0.33333333333333331</v>
      </c>
      <c r="B518" s="2" t="s">
        <v>213</v>
      </c>
      <c r="C518" s="2" t="s">
        <v>213</v>
      </c>
      <c r="D518" s="2" t="s">
        <v>251</v>
      </c>
      <c r="E518" s="17" t="s">
        <v>252</v>
      </c>
      <c r="F518" s="3"/>
    </row>
    <row r="519" spans="1:7" s="14" customFormat="1" ht="12.75" x14ac:dyDescent="0.2">
      <c r="A519" s="16">
        <v>0.35416666666666669</v>
      </c>
      <c r="B519" s="2" t="s">
        <v>213</v>
      </c>
      <c r="C519" s="2" t="s">
        <v>213</v>
      </c>
      <c r="D519" s="2" t="s">
        <v>251</v>
      </c>
      <c r="E519" s="17" t="s">
        <v>252</v>
      </c>
      <c r="F519" s="3"/>
    </row>
    <row r="520" spans="1:7" x14ac:dyDescent="0.25">
      <c r="A520" s="16">
        <v>0.375</v>
      </c>
      <c r="B520" s="2" t="s">
        <v>213</v>
      </c>
      <c r="C520" s="2" t="s">
        <v>213</v>
      </c>
      <c r="D520" s="2" t="s">
        <v>251</v>
      </c>
      <c r="E520" s="17" t="s">
        <v>252</v>
      </c>
      <c r="F520" s="3"/>
    </row>
    <row r="521" spans="1:7" x14ac:dyDescent="0.25">
      <c r="A521" s="16">
        <v>0.39583333333333331</v>
      </c>
      <c r="B521" s="2" t="s">
        <v>213</v>
      </c>
      <c r="C521" s="2" t="s">
        <v>213</v>
      </c>
      <c r="D521" s="2" t="s">
        <v>251</v>
      </c>
      <c r="E521" s="17" t="s">
        <v>252</v>
      </c>
      <c r="F521" s="3"/>
    </row>
    <row r="522" spans="1:7" x14ac:dyDescent="0.25">
      <c r="A522" s="16">
        <v>0.41666666666666669</v>
      </c>
      <c r="B522" s="2" t="s">
        <v>213</v>
      </c>
      <c r="C522" s="2" t="s">
        <v>213</v>
      </c>
      <c r="D522" s="2" t="s">
        <v>251</v>
      </c>
      <c r="E522" s="17" t="s">
        <v>252</v>
      </c>
      <c r="F522" s="3"/>
      <c r="G522" s="14"/>
    </row>
    <row r="523" spans="1:7" x14ac:dyDescent="0.25">
      <c r="A523" s="16">
        <v>0.4375</v>
      </c>
      <c r="B523" s="2" t="s">
        <v>213</v>
      </c>
      <c r="C523" s="2" t="s">
        <v>213</v>
      </c>
      <c r="D523" s="2" t="s">
        <v>251</v>
      </c>
      <c r="E523" s="17" t="s">
        <v>252</v>
      </c>
      <c r="F523" s="3"/>
    </row>
    <row r="524" spans="1:7" x14ac:dyDescent="0.25">
      <c r="A524" s="16">
        <v>0.45833333333333331</v>
      </c>
      <c r="B524" s="3"/>
      <c r="C524" s="2" t="s">
        <v>213</v>
      </c>
      <c r="D524" s="2" t="s">
        <v>251</v>
      </c>
      <c r="E524" s="17" t="s">
        <v>252</v>
      </c>
      <c r="F524" s="3"/>
    </row>
    <row r="525" spans="1:7" x14ac:dyDescent="0.25">
      <c r="A525" s="16">
        <v>0.47916666666666669</v>
      </c>
      <c r="B525" s="3"/>
      <c r="C525" s="3"/>
      <c r="D525" s="2" t="s">
        <v>251</v>
      </c>
      <c r="E525" s="17" t="s">
        <v>252</v>
      </c>
      <c r="F525" s="3"/>
      <c r="G525" s="14"/>
    </row>
    <row r="526" spans="1:7" x14ac:dyDescent="0.25">
      <c r="A526" s="16">
        <v>0.5</v>
      </c>
      <c r="B526" s="3"/>
      <c r="C526" s="3"/>
      <c r="D526" s="2" t="s">
        <v>251</v>
      </c>
      <c r="E526" s="3"/>
      <c r="F526" s="3"/>
    </row>
    <row r="527" spans="1:7" x14ac:dyDescent="0.25">
      <c r="A527" s="16">
        <v>0.52083333333333337</v>
      </c>
      <c r="B527" s="3"/>
      <c r="C527" s="3"/>
      <c r="D527" s="3"/>
      <c r="E527" s="3"/>
      <c r="F527" s="3"/>
    </row>
    <row r="528" spans="1:7" x14ac:dyDescent="0.25">
      <c r="A528" s="16">
        <v>4.1666666666666664E-2</v>
      </c>
      <c r="B528" s="3"/>
      <c r="C528" s="3"/>
      <c r="D528" s="2" t="s">
        <v>251</v>
      </c>
      <c r="E528" s="17" t="s">
        <v>253</v>
      </c>
      <c r="F528" s="2" t="s">
        <v>215</v>
      </c>
    </row>
    <row r="529" spans="1:6" ht="15" customHeight="1" x14ac:dyDescent="0.25">
      <c r="A529" s="16">
        <v>6.25E-2</v>
      </c>
      <c r="B529" s="3"/>
      <c r="C529" s="3"/>
      <c r="D529" s="2" t="s">
        <v>251</v>
      </c>
      <c r="E529" s="17" t="s">
        <v>253</v>
      </c>
      <c r="F529" s="2" t="s">
        <v>215</v>
      </c>
    </row>
    <row r="530" spans="1:6" ht="15" customHeight="1" x14ac:dyDescent="0.25">
      <c r="A530" s="16">
        <v>8.3333333333333329E-2</v>
      </c>
      <c r="B530" s="3"/>
      <c r="C530" s="3"/>
      <c r="D530" s="2" t="s">
        <v>251</v>
      </c>
      <c r="E530" s="17" t="s">
        <v>253</v>
      </c>
      <c r="F530" s="2" t="s">
        <v>215</v>
      </c>
    </row>
    <row r="531" spans="1:6" ht="15" customHeight="1" x14ac:dyDescent="0.25">
      <c r="A531" s="16">
        <v>0.10416666666666667</v>
      </c>
      <c r="B531" s="3"/>
      <c r="C531" s="3"/>
      <c r="D531" s="2" t="s">
        <v>251</v>
      </c>
      <c r="E531" s="17" t="s">
        <v>253</v>
      </c>
      <c r="F531" s="2" t="s">
        <v>215</v>
      </c>
    </row>
    <row r="532" spans="1:6" ht="15" customHeight="1" x14ac:dyDescent="0.25">
      <c r="A532" s="16">
        <v>0.125</v>
      </c>
      <c r="B532" s="3"/>
      <c r="C532" s="3"/>
      <c r="D532" s="2" t="s">
        <v>251</v>
      </c>
      <c r="E532" s="17" t="s">
        <v>253</v>
      </c>
      <c r="F532" s="2" t="s">
        <v>215</v>
      </c>
    </row>
    <row r="533" spans="1:6" ht="15" customHeight="1" x14ac:dyDescent="0.25">
      <c r="A533" s="16">
        <v>0.14583333333333334</v>
      </c>
      <c r="B533" s="3"/>
      <c r="C533" s="3"/>
      <c r="D533" s="2" t="s">
        <v>251</v>
      </c>
      <c r="E533" s="17" t="s">
        <v>253</v>
      </c>
      <c r="F533" s="3"/>
    </row>
    <row r="534" spans="1:6" ht="15" customHeight="1" thickBot="1" x14ac:dyDescent="0.3">
      <c r="A534" s="18">
        <v>0.16666666666666666</v>
      </c>
      <c r="B534" s="3"/>
      <c r="C534" s="3"/>
      <c r="D534" s="3"/>
      <c r="E534" s="17" t="s">
        <v>253</v>
      </c>
      <c r="F534" s="3"/>
    </row>
    <row r="535" spans="1:6" ht="15" customHeight="1" x14ac:dyDescent="0.25">
      <c r="A535" s="19"/>
      <c r="B535" s="6"/>
      <c r="C535" s="6"/>
      <c r="D535" s="6"/>
      <c r="E535" s="6"/>
      <c r="F535" s="6"/>
    </row>
    <row r="536" spans="1:6" ht="15.75" customHeight="1" x14ac:dyDescent="0.25">
      <c r="A536" s="19"/>
      <c r="B536" s="6"/>
      <c r="C536" s="6"/>
      <c r="D536" s="6"/>
      <c r="E536" s="6"/>
      <c r="F536" s="6"/>
    </row>
    <row r="537" spans="1:6" ht="27" thickBot="1" x14ac:dyDescent="0.45">
      <c r="A537" s="12" t="s">
        <v>254</v>
      </c>
      <c r="B537" s="6"/>
      <c r="C537" s="6"/>
      <c r="D537" s="6"/>
      <c r="E537" s="6"/>
      <c r="F537" s="6"/>
    </row>
    <row r="538" spans="1:6" ht="15.75" thickBot="1" x14ac:dyDescent="0.3">
      <c r="A538" s="113"/>
      <c r="B538" s="114" t="s">
        <v>153</v>
      </c>
      <c r="C538" s="13" t="s">
        <v>154</v>
      </c>
      <c r="D538" s="13" t="s">
        <v>155</v>
      </c>
      <c r="E538" s="13" t="s">
        <v>156</v>
      </c>
      <c r="F538" s="13" t="s">
        <v>157</v>
      </c>
    </row>
    <row r="539" spans="1:6" s="14" customFormat="1" ht="12.75" x14ac:dyDescent="0.2">
      <c r="A539" s="15">
        <v>0.33333333333333331</v>
      </c>
      <c r="B539" s="17" t="s">
        <v>255</v>
      </c>
      <c r="C539" s="3"/>
      <c r="D539" s="3"/>
      <c r="E539" s="17" t="s">
        <v>255</v>
      </c>
      <c r="F539" s="3"/>
    </row>
    <row r="540" spans="1:6" x14ac:dyDescent="0.25">
      <c r="A540" s="16">
        <v>0.35416666666666669</v>
      </c>
      <c r="B540" s="17" t="s">
        <v>255</v>
      </c>
      <c r="C540" s="17" t="s">
        <v>256</v>
      </c>
      <c r="D540" s="3"/>
      <c r="E540" s="17" t="s">
        <v>255</v>
      </c>
      <c r="F540" s="31" t="s">
        <v>257</v>
      </c>
    </row>
    <row r="541" spans="1:6" x14ac:dyDescent="0.25">
      <c r="A541" s="16">
        <v>0.375</v>
      </c>
      <c r="B541" s="17" t="s">
        <v>255</v>
      </c>
      <c r="C541" s="17" t="s">
        <v>256</v>
      </c>
      <c r="D541" s="3"/>
      <c r="E541" s="17" t="s">
        <v>255</v>
      </c>
      <c r="F541" s="31" t="s">
        <v>257</v>
      </c>
    </row>
    <row r="542" spans="1:6" x14ac:dyDescent="0.25">
      <c r="A542" s="16">
        <v>0.39583333333333331</v>
      </c>
      <c r="B542" s="17" t="s">
        <v>255</v>
      </c>
      <c r="C542" s="17" t="s">
        <v>256</v>
      </c>
      <c r="D542" s="3"/>
      <c r="E542" s="17" t="s">
        <v>255</v>
      </c>
      <c r="F542" s="17" t="s">
        <v>256</v>
      </c>
    </row>
    <row r="543" spans="1:6" x14ac:dyDescent="0.25">
      <c r="A543" s="16">
        <v>0.41666666666666669</v>
      </c>
      <c r="B543" s="17" t="s">
        <v>255</v>
      </c>
      <c r="C543" s="17" t="s">
        <v>256</v>
      </c>
      <c r="D543" s="17" t="s">
        <v>258</v>
      </c>
      <c r="E543" s="17" t="s">
        <v>255</v>
      </c>
      <c r="F543" s="17" t="s">
        <v>256</v>
      </c>
    </row>
    <row r="544" spans="1:6" x14ac:dyDescent="0.25">
      <c r="A544" s="16">
        <v>0.4375</v>
      </c>
      <c r="B544" s="17" t="s">
        <v>255</v>
      </c>
      <c r="C544" s="17" t="s">
        <v>256</v>
      </c>
      <c r="D544" s="17" t="s">
        <v>258</v>
      </c>
      <c r="E544" s="17" t="s">
        <v>255</v>
      </c>
      <c r="F544" s="17" t="s">
        <v>256</v>
      </c>
    </row>
    <row r="545" spans="1:6" x14ac:dyDescent="0.25">
      <c r="A545" s="16">
        <v>0.45833333333333331</v>
      </c>
      <c r="B545" s="17" t="s">
        <v>255</v>
      </c>
      <c r="C545" s="17" t="s">
        <v>256</v>
      </c>
      <c r="D545" s="17" t="s">
        <v>256</v>
      </c>
      <c r="E545" s="17" t="s">
        <v>255</v>
      </c>
      <c r="F545" s="17" t="s">
        <v>256</v>
      </c>
    </row>
    <row r="546" spans="1:6" x14ac:dyDescent="0.25">
      <c r="A546" s="16">
        <v>0.47916666666666669</v>
      </c>
      <c r="B546" s="17" t="s">
        <v>255</v>
      </c>
      <c r="C546" s="17" t="s">
        <v>256</v>
      </c>
      <c r="D546" s="17" t="s">
        <v>256</v>
      </c>
      <c r="E546" s="17" t="s">
        <v>255</v>
      </c>
      <c r="F546" s="17" t="s">
        <v>256</v>
      </c>
    </row>
    <row r="547" spans="1:6" x14ac:dyDescent="0.25">
      <c r="A547" s="16">
        <v>0.5</v>
      </c>
      <c r="B547" s="17" t="s">
        <v>255</v>
      </c>
      <c r="C547" s="3"/>
      <c r="D547" s="3"/>
      <c r="E547" s="17" t="s">
        <v>255</v>
      </c>
      <c r="F547" s="3"/>
    </row>
    <row r="548" spans="1:6" x14ac:dyDescent="0.25">
      <c r="A548" s="16">
        <v>0.52083333333333337</v>
      </c>
      <c r="B548" s="17" t="s">
        <v>255</v>
      </c>
      <c r="C548" s="17" t="s">
        <v>256</v>
      </c>
      <c r="D548" s="3"/>
      <c r="E548" s="17" t="s">
        <v>255</v>
      </c>
      <c r="F548" s="3"/>
    </row>
    <row r="549" spans="1:6" x14ac:dyDescent="0.25">
      <c r="A549" s="16">
        <v>4.1666666666666664E-2</v>
      </c>
      <c r="B549" s="17" t="s">
        <v>255</v>
      </c>
      <c r="C549" s="17" t="s">
        <v>256</v>
      </c>
      <c r="D549" s="3"/>
      <c r="E549" s="17" t="s">
        <v>255</v>
      </c>
      <c r="F549" s="17" t="s">
        <v>256</v>
      </c>
    </row>
    <row r="550" spans="1:6" x14ac:dyDescent="0.25">
      <c r="A550" s="16">
        <v>6.25E-2</v>
      </c>
      <c r="B550" s="17" t="s">
        <v>255</v>
      </c>
      <c r="C550" s="17" t="s">
        <v>256</v>
      </c>
      <c r="D550" s="3"/>
      <c r="E550" s="17" t="s">
        <v>255</v>
      </c>
      <c r="F550" s="17" t="s">
        <v>256</v>
      </c>
    </row>
    <row r="551" spans="1:6" x14ac:dyDescent="0.25">
      <c r="A551" s="16">
        <v>8.3333333333333329E-2</v>
      </c>
      <c r="B551" s="17" t="s">
        <v>255</v>
      </c>
      <c r="C551" s="3"/>
      <c r="D551" s="3"/>
      <c r="E551" s="17" t="s">
        <v>255</v>
      </c>
      <c r="F551" s="17" t="s">
        <v>256</v>
      </c>
    </row>
    <row r="552" spans="1:6" x14ac:dyDescent="0.25">
      <c r="A552" s="16">
        <v>0.10416666666666667</v>
      </c>
      <c r="B552" s="17" t="s">
        <v>255</v>
      </c>
      <c r="C552" s="3"/>
      <c r="D552" s="3"/>
      <c r="E552" s="17" t="s">
        <v>255</v>
      </c>
      <c r="F552" s="17" t="s">
        <v>256</v>
      </c>
    </row>
    <row r="553" spans="1:6" x14ac:dyDescent="0.25">
      <c r="A553" s="16">
        <v>0.125</v>
      </c>
      <c r="B553" s="17" t="s">
        <v>255</v>
      </c>
      <c r="C553" s="3"/>
      <c r="D553" s="3"/>
      <c r="E553" s="17" t="s">
        <v>255</v>
      </c>
      <c r="F553" s="17" t="s">
        <v>256</v>
      </c>
    </row>
    <row r="554" spans="1:6" x14ac:dyDescent="0.25">
      <c r="A554" s="16">
        <v>0.14583333333333334</v>
      </c>
      <c r="B554" s="17" t="s">
        <v>255</v>
      </c>
      <c r="C554" s="3"/>
      <c r="D554" s="3"/>
      <c r="E554" s="17" t="s">
        <v>255</v>
      </c>
      <c r="F554" s="17" t="s">
        <v>256</v>
      </c>
    </row>
    <row r="555" spans="1:6" ht="15.75" thickBot="1" x14ac:dyDescent="0.3">
      <c r="A555" s="18">
        <v>0.16666666666666666</v>
      </c>
      <c r="B555" s="17" t="s">
        <v>255</v>
      </c>
      <c r="C555" s="3"/>
      <c r="D555" s="3"/>
      <c r="E555" s="17" t="s">
        <v>255</v>
      </c>
      <c r="F555" s="3"/>
    </row>
    <row r="556" spans="1:6" x14ac:dyDescent="0.25">
      <c r="A556" s="19"/>
      <c r="B556" s="6"/>
      <c r="C556" s="6"/>
      <c r="D556" s="6" t="s">
        <v>259</v>
      </c>
      <c r="E556" s="6"/>
      <c r="F556" s="6"/>
    </row>
    <row r="557" spans="1:6" ht="27" thickBot="1" x14ac:dyDescent="0.45">
      <c r="A557" s="20" t="s">
        <v>260</v>
      </c>
      <c r="B557" s="6"/>
      <c r="C557" s="6"/>
      <c r="D557" s="6"/>
      <c r="E557" s="6"/>
      <c r="F557" s="6"/>
    </row>
    <row r="558" spans="1:6" ht="15.75" thickBot="1" x14ac:dyDescent="0.3">
      <c r="A558" s="113"/>
      <c r="B558" s="114" t="s">
        <v>153</v>
      </c>
      <c r="C558" s="114" t="s">
        <v>154</v>
      </c>
      <c r="D558" s="114" t="s">
        <v>155</v>
      </c>
      <c r="E558" s="114" t="s">
        <v>156</v>
      </c>
      <c r="F558" s="114" t="s">
        <v>157</v>
      </c>
    </row>
    <row r="559" spans="1:6" x14ac:dyDescent="0.25">
      <c r="A559" s="15">
        <v>0.33333333333333331</v>
      </c>
      <c r="B559" s="40"/>
      <c r="C559" s="40"/>
      <c r="D559" s="40"/>
      <c r="E559" s="40"/>
      <c r="F559" s="40"/>
    </row>
    <row r="560" spans="1:6" x14ac:dyDescent="0.25">
      <c r="A560" s="16">
        <v>0.35416666666666669</v>
      </c>
      <c r="B560" s="40"/>
      <c r="C560" s="2" t="s">
        <v>261</v>
      </c>
      <c r="D560" s="40"/>
      <c r="E560" s="40"/>
      <c r="F560" s="40"/>
    </row>
    <row r="561" spans="1:6" x14ac:dyDescent="0.25">
      <c r="A561" s="16">
        <v>0.375</v>
      </c>
      <c r="B561" s="40"/>
      <c r="C561" s="2" t="s">
        <v>261</v>
      </c>
      <c r="D561" s="40"/>
      <c r="E561" s="40"/>
      <c r="F561" s="40"/>
    </row>
    <row r="562" spans="1:6" x14ac:dyDescent="0.25">
      <c r="A562" s="16">
        <v>0.39583333333333331</v>
      </c>
      <c r="B562" s="40"/>
      <c r="C562" s="2" t="s">
        <v>261</v>
      </c>
      <c r="D562" s="40"/>
      <c r="E562" s="40"/>
      <c r="F562" s="40"/>
    </row>
    <row r="563" spans="1:6" x14ac:dyDescent="0.25">
      <c r="A563" s="16">
        <v>0.41666666666666669</v>
      </c>
      <c r="B563" s="40"/>
      <c r="C563" s="2" t="s">
        <v>261</v>
      </c>
      <c r="D563" s="40"/>
      <c r="E563" s="40"/>
      <c r="F563" s="40"/>
    </row>
    <row r="564" spans="1:6" x14ac:dyDescent="0.25">
      <c r="A564" s="16">
        <v>0.4375</v>
      </c>
      <c r="B564" s="40"/>
      <c r="C564" s="2" t="s">
        <v>261</v>
      </c>
      <c r="D564" s="40"/>
      <c r="E564" s="40"/>
      <c r="F564" s="40"/>
    </row>
    <row r="565" spans="1:6" x14ac:dyDescent="0.25">
      <c r="A565" s="16">
        <v>0.45833333333333331</v>
      </c>
      <c r="B565" s="40"/>
      <c r="C565" s="2" t="s">
        <v>261</v>
      </c>
      <c r="D565" s="40"/>
      <c r="E565" s="40"/>
      <c r="F565" s="40"/>
    </row>
    <row r="566" spans="1:6" x14ac:dyDescent="0.25">
      <c r="A566" s="16">
        <v>0.47916666666666669</v>
      </c>
      <c r="B566" s="40"/>
      <c r="C566" s="2" t="s">
        <v>261</v>
      </c>
      <c r="D566" s="40"/>
      <c r="E566" s="40"/>
      <c r="F566" s="40"/>
    </row>
    <row r="567" spans="1:6" x14ac:dyDescent="0.25">
      <c r="A567" s="16">
        <v>0.5</v>
      </c>
      <c r="B567" s="40"/>
      <c r="C567" s="40"/>
      <c r="D567" s="40"/>
      <c r="E567" s="40"/>
      <c r="F567" s="40"/>
    </row>
    <row r="568" spans="1:6" x14ac:dyDescent="0.25">
      <c r="A568" s="16">
        <v>0.52083333333333337</v>
      </c>
      <c r="B568" s="40"/>
      <c r="C568" s="40"/>
      <c r="D568" s="40"/>
      <c r="E568" s="40"/>
      <c r="F568" s="40"/>
    </row>
    <row r="569" spans="1:6" x14ac:dyDescent="0.25">
      <c r="A569" s="16">
        <v>4.1666666666666664E-2</v>
      </c>
      <c r="B569" s="40"/>
      <c r="C569" s="2" t="s">
        <v>261</v>
      </c>
      <c r="D569" s="40"/>
      <c r="E569" s="40"/>
      <c r="F569" s="40"/>
    </row>
    <row r="570" spans="1:6" x14ac:dyDescent="0.25">
      <c r="A570" s="16">
        <v>6.25E-2</v>
      </c>
      <c r="B570" s="40"/>
      <c r="C570" s="2" t="s">
        <v>261</v>
      </c>
      <c r="D570" s="40"/>
      <c r="E570" s="40"/>
      <c r="F570" s="40"/>
    </row>
    <row r="571" spans="1:6" x14ac:dyDescent="0.25">
      <c r="A571" s="16">
        <v>8.3333333333333329E-2</v>
      </c>
      <c r="B571" s="40"/>
      <c r="C571" s="2" t="s">
        <v>261</v>
      </c>
      <c r="D571" s="40"/>
      <c r="E571" s="40"/>
      <c r="F571" s="40"/>
    </row>
    <row r="572" spans="1:6" x14ac:dyDescent="0.25">
      <c r="A572" s="16">
        <v>0.10416666666666667</v>
      </c>
      <c r="B572" s="40"/>
      <c r="C572" s="2" t="s">
        <v>261</v>
      </c>
      <c r="D572" s="40"/>
      <c r="E572" s="40"/>
      <c r="F572" s="40"/>
    </row>
    <row r="573" spans="1:6" x14ac:dyDescent="0.25">
      <c r="A573" s="16">
        <v>0.125</v>
      </c>
      <c r="B573" s="40"/>
      <c r="C573" s="2" t="s">
        <v>261</v>
      </c>
      <c r="D573" s="40"/>
      <c r="E573" s="40"/>
      <c r="F573" s="40"/>
    </row>
    <row r="574" spans="1:6" x14ac:dyDescent="0.25">
      <c r="A574" s="16">
        <v>0.14583333333333334</v>
      </c>
      <c r="B574" s="40"/>
      <c r="C574" s="2" t="s">
        <v>261</v>
      </c>
      <c r="D574" s="40"/>
      <c r="E574" s="40"/>
      <c r="F574" s="40"/>
    </row>
    <row r="575" spans="1:6" ht="15.75" thickBot="1" x14ac:dyDescent="0.3">
      <c r="A575" s="22">
        <v>0.16666666666666666</v>
      </c>
      <c r="B575" s="40"/>
      <c r="C575" s="40"/>
      <c r="D575" s="40"/>
      <c r="E575" s="40"/>
      <c r="F575" s="40"/>
    </row>
    <row r="576" spans="1:6" x14ac:dyDescent="0.25">
      <c r="A576" s="19"/>
      <c r="B576" s="6"/>
      <c r="C576" s="6"/>
      <c r="D576" s="6"/>
      <c r="E576" s="6"/>
      <c r="F576" s="6"/>
    </row>
    <row r="577" spans="1:6" x14ac:dyDescent="0.25">
      <c r="A577" s="19"/>
      <c r="B577" s="6"/>
      <c r="C577" s="6"/>
      <c r="D577" s="6"/>
      <c r="E577" s="6"/>
      <c r="F577" s="6"/>
    </row>
    <row r="578" spans="1:6" ht="27" thickBot="1" x14ac:dyDescent="0.45">
      <c r="A578" s="20" t="s">
        <v>262</v>
      </c>
    </row>
    <row r="579" spans="1:6" ht="15.75" thickBot="1" x14ac:dyDescent="0.3">
      <c r="A579" s="113"/>
      <c r="B579" s="114" t="s">
        <v>153</v>
      </c>
      <c r="C579" s="114" t="s">
        <v>154</v>
      </c>
      <c r="D579" s="13" t="s">
        <v>155</v>
      </c>
      <c r="E579" s="114" t="s">
        <v>156</v>
      </c>
      <c r="F579" s="114" t="s">
        <v>157</v>
      </c>
    </row>
    <row r="580" spans="1:6" x14ac:dyDescent="0.25">
      <c r="A580" s="15">
        <v>0.33333333333333331</v>
      </c>
      <c r="B580" s="25"/>
      <c r="C580" s="26"/>
      <c r="D580" s="27"/>
      <c r="E580" s="23"/>
      <c r="F580" s="28"/>
    </row>
    <row r="581" spans="1:6" x14ac:dyDescent="0.25">
      <c r="A581" s="16">
        <v>0.35416666666666669</v>
      </c>
      <c r="B581" s="25"/>
      <c r="C581" s="26"/>
      <c r="D581" s="27"/>
      <c r="E581" s="23"/>
      <c r="F581" s="28"/>
    </row>
    <row r="582" spans="1:6" x14ac:dyDescent="0.25">
      <c r="A582" s="16">
        <v>0.375</v>
      </c>
      <c r="B582" s="25"/>
      <c r="C582" s="26"/>
      <c r="D582" s="27"/>
      <c r="E582" s="23"/>
      <c r="F582" s="28"/>
    </row>
    <row r="583" spans="1:6" x14ac:dyDescent="0.25">
      <c r="A583" s="16">
        <v>0.39583333333333331</v>
      </c>
      <c r="B583" s="25"/>
      <c r="C583" s="26"/>
      <c r="D583" s="27"/>
      <c r="E583" s="23"/>
      <c r="F583" s="28"/>
    </row>
    <row r="584" spans="1:6" x14ac:dyDescent="0.25">
      <c r="A584" s="16">
        <v>0.41666666666666669</v>
      </c>
      <c r="B584" s="25"/>
      <c r="C584" s="26"/>
      <c r="D584" s="27"/>
      <c r="E584" s="23"/>
      <c r="F584" s="28"/>
    </row>
    <row r="585" spans="1:6" x14ac:dyDescent="0.25">
      <c r="A585" s="16">
        <v>0.4375</v>
      </c>
      <c r="B585" s="25"/>
      <c r="C585" s="26"/>
      <c r="D585" s="27"/>
      <c r="E585" s="23"/>
      <c r="F585" s="28"/>
    </row>
    <row r="586" spans="1:6" x14ac:dyDescent="0.25">
      <c r="A586" s="16">
        <v>0.45833333333333331</v>
      </c>
      <c r="B586" s="25"/>
      <c r="C586" s="26"/>
      <c r="D586" s="27"/>
      <c r="E586" s="23"/>
      <c r="F586" s="28"/>
    </row>
    <row r="587" spans="1:6" x14ac:dyDescent="0.25">
      <c r="A587" s="16">
        <v>0.47916666666666669</v>
      </c>
      <c r="B587" s="25"/>
      <c r="C587" s="26"/>
      <c r="D587" s="27"/>
      <c r="E587" s="23"/>
      <c r="F587" s="25"/>
    </row>
    <row r="588" spans="1:6" x14ac:dyDescent="0.25">
      <c r="A588" s="16">
        <v>0.5</v>
      </c>
      <c r="B588" s="25"/>
      <c r="C588" s="25"/>
      <c r="D588" s="24"/>
      <c r="E588" s="25"/>
      <c r="F588" s="25"/>
    </row>
    <row r="589" spans="1:6" x14ac:dyDescent="0.25">
      <c r="A589" s="16">
        <v>0.52083333333333337</v>
      </c>
      <c r="B589" s="25"/>
      <c r="C589" s="25"/>
      <c r="D589" s="24"/>
      <c r="E589" s="25"/>
      <c r="F589" s="25"/>
    </row>
    <row r="590" spans="1:6" x14ac:dyDescent="0.25">
      <c r="A590" s="16">
        <v>4.1666666666666664E-2</v>
      </c>
      <c r="B590" s="25"/>
      <c r="C590" s="25"/>
      <c r="D590" s="24"/>
      <c r="E590" s="25"/>
      <c r="F590" s="28"/>
    </row>
    <row r="591" spans="1:6" x14ac:dyDescent="0.25">
      <c r="A591" s="16">
        <v>6.25E-2</v>
      </c>
      <c r="B591" s="25"/>
      <c r="C591" s="25"/>
      <c r="D591" s="24"/>
      <c r="E591" s="25"/>
      <c r="F591" s="28"/>
    </row>
    <row r="592" spans="1:6" x14ac:dyDescent="0.25">
      <c r="A592" s="16">
        <v>8.3333333333333329E-2</v>
      </c>
      <c r="B592" s="25"/>
      <c r="C592" s="25"/>
      <c r="D592" s="28"/>
      <c r="E592" s="25"/>
      <c r="F592" s="28"/>
    </row>
    <row r="593" spans="1:6" x14ac:dyDescent="0.25">
      <c r="A593" s="16">
        <v>0.10416666666666667</v>
      </c>
      <c r="B593" s="25"/>
      <c r="C593" s="25"/>
      <c r="D593" s="28"/>
      <c r="E593" s="25"/>
      <c r="F593" s="28"/>
    </row>
    <row r="594" spans="1:6" x14ac:dyDescent="0.25">
      <c r="A594" s="16">
        <v>0.125</v>
      </c>
      <c r="B594" s="25"/>
      <c r="C594" s="25"/>
      <c r="D594" s="28"/>
      <c r="E594" s="25"/>
      <c r="F594" s="28"/>
    </row>
    <row r="595" spans="1:6" x14ac:dyDescent="0.25">
      <c r="A595" s="16">
        <v>0.14583333333333334</v>
      </c>
      <c r="B595" s="25"/>
      <c r="C595" s="25"/>
      <c r="D595" s="28"/>
      <c r="E595" s="25"/>
      <c r="F595" s="28"/>
    </row>
    <row r="596" spans="1:6" ht="15.75" thickBot="1" x14ac:dyDescent="0.3">
      <c r="A596" s="22">
        <v>0.16666666666666666</v>
      </c>
      <c r="B596" s="25"/>
      <c r="C596" s="25"/>
      <c r="D596" s="28"/>
      <c r="E596" s="25"/>
      <c r="F596" s="28"/>
    </row>
    <row r="597" spans="1:6" x14ac:dyDescent="0.25">
      <c r="A597" s="19"/>
      <c r="B597" s="6"/>
      <c r="C597" s="6"/>
      <c r="D597" s="29"/>
      <c r="E597" s="6"/>
      <c r="F597" s="29"/>
    </row>
    <row r="599" spans="1:6" ht="27" thickBot="1" x14ac:dyDescent="0.45">
      <c r="A599" s="20" t="s">
        <v>263</v>
      </c>
    </row>
    <row r="600" spans="1:6" ht="15.75" thickBot="1" x14ac:dyDescent="0.3">
      <c r="A600" s="113"/>
      <c r="B600" s="114" t="s">
        <v>153</v>
      </c>
      <c r="C600" s="114" t="s">
        <v>154</v>
      </c>
      <c r="D600" s="114" t="s">
        <v>155</v>
      </c>
      <c r="E600" s="114" t="s">
        <v>156</v>
      </c>
      <c r="F600" s="114" t="s">
        <v>157</v>
      </c>
    </row>
    <row r="601" spans="1:6" x14ac:dyDescent="0.25">
      <c r="A601" s="15">
        <v>0.33333333333333331</v>
      </c>
      <c r="B601" s="40"/>
      <c r="C601" s="40"/>
      <c r="D601" s="40"/>
      <c r="E601" s="40"/>
      <c r="F601" s="40"/>
    </row>
    <row r="602" spans="1:6" x14ac:dyDescent="0.25">
      <c r="A602" s="16">
        <v>0.35416666666666669</v>
      </c>
      <c r="B602" s="40"/>
      <c r="C602" s="40"/>
      <c r="D602" s="40"/>
      <c r="E602" s="40"/>
      <c r="F602" s="40"/>
    </row>
    <row r="603" spans="1:6" x14ac:dyDescent="0.25">
      <c r="A603" s="16">
        <v>0.375</v>
      </c>
      <c r="B603" s="40"/>
      <c r="C603" s="40"/>
      <c r="D603" s="40"/>
      <c r="E603" s="40"/>
      <c r="F603" s="40"/>
    </row>
    <row r="604" spans="1:6" x14ac:dyDescent="0.25">
      <c r="A604" s="16">
        <v>0.39583333333333331</v>
      </c>
      <c r="B604" s="40"/>
      <c r="C604" s="40"/>
      <c r="D604" s="40"/>
      <c r="E604" s="40"/>
      <c r="F604" s="40"/>
    </row>
    <row r="605" spans="1:6" x14ac:dyDescent="0.25">
      <c r="A605" s="16">
        <v>0.41666666666666669</v>
      </c>
      <c r="B605" s="40"/>
      <c r="C605" s="40"/>
      <c r="D605" s="40"/>
      <c r="E605" s="40"/>
      <c r="F605" s="40"/>
    </row>
    <row r="606" spans="1:6" x14ac:dyDescent="0.25">
      <c r="A606" s="16">
        <v>0.4375</v>
      </c>
      <c r="B606" s="40"/>
      <c r="C606" s="40"/>
      <c r="D606" s="40"/>
      <c r="E606" s="40"/>
      <c r="F606" s="40"/>
    </row>
    <row r="607" spans="1:6" x14ac:dyDescent="0.25">
      <c r="A607" s="16">
        <v>0.45833333333333331</v>
      </c>
      <c r="B607" s="40"/>
      <c r="C607" s="40"/>
      <c r="D607" s="40"/>
      <c r="E607" s="40"/>
      <c r="F607" s="40"/>
    </row>
    <row r="608" spans="1:6" x14ac:dyDescent="0.25">
      <c r="A608" s="16">
        <v>0.47916666666666669</v>
      </c>
      <c r="B608" s="40"/>
      <c r="C608" s="40"/>
      <c r="D608" s="40"/>
      <c r="E608" s="40"/>
      <c r="F608" s="40"/>
    </row>
    <row r="609" spans="1:6" x14ac:dyDescent="0.25">
      <c r="A609" s="16">
        <v>0.5</v>
      </c>
      <c r="B609" s="40"/>
      <c r="C609" s="40"/>
      <c r="D609" s="40"/>
      <c r="E609" s="40"/>
      <c r="F609" s="40"/>
    </row>
    <row r="610" spans="1:6" x14ac:dyDescent="0.25">
      <c r="A610" s="16">
        <v>0.52083333333333337</v>
      </c>
      <c r="B610" s="40"/>
      <c r="C610" s="40"/>
      <c r="D610" s="40"/>
      <c r="E610" s="40"/>
      <c r="F610" s="40"/>
    </row>
    <row r="611" spans="1:6" x14ac:dyDescent="0.25">
      <c r="A611" s="16">
        <v>4.1666666666666664E-2</v>
      </c>
      <c r="B611" s="40"/>
      <c r="C611" s="40"/>
      <c r="D611" s="40"/>
      <c r="E611" s="40"/>
      <c r="F611" s="40"/>
    </row>
    <row r="612" spans="1:6" x14ac:dyDescent="0.25">
      <c r="A612" s="16">
        <v>6.25E-2</v>
      </c>
      <c r="B612" s="40"/>
      <c r="C612" s="40"/>
      <c r="D612" s="40"/>
      <c r="E612" s="40"/>
      <c r="F612" s="40"/>
    </row>
    <row r="613" spans="1:6" x14ac:dyDescent="0.25">
      <c r="A613" s="16">
        <v>8.3333333333333329E-2</v>
      </c>
      <c r="B613" s="40"/>
      <c r="C613" s="40"/>
      <c r="D613" s="40"/>
      <c r="E613" s="40"/>
      <c r="F613" s="40"/>
    </row>
    <row r="614" spans="1:6" x14ac:dyDescent="0.25">
      <c r="A614" s="16">
        <v>0.10416666666666667</v>
      </c>
      <c r="B614" s="40"/>
      <c r="C614" s="40"/>
      <c r="D614" s="40"/>
      <c r="E614" s="40"/>
      <c r="F614" s="40"/>
    </row>
    <row r="615" spans="1:6" x14ac:dyDescent="0.25">
      <c r="A615" s="16">
        <v>0.125</v>
      </c>
      <c r="B615" s="40"/>
      <c r="C615" s="40"/>
      <c r="D615" s="40"/>
      <c r="E615" s="40"/>
      <c r="F615" s="40"/>
    </row>
    <row r="616" spans="1:6" x14ac:dyDescent="0.25">
      <c r="A616" s="16">
        <v>0.14583333333333334</v>
      </c>
      <c r="B616" s="40"/>
      <c r="C616" s="40"/>
      <c r="D616" s="40"/>
      <c r="E616" s="40"/>
      <c r="F616" s="40"/>
    </row>
    <row r="617" spans="1:6" ht="15.75" thickBot="1" x14ac:dyDescent="0.3">
      <c r="A617" s="22">
        <v>0.16666666666666666</v>
      </c>
      <c r="B617" s="40"/>
      <c r="C617" s="40"/>
      <c r="D617" s="40"/>
      <c r="E617" s="40"/>
      <c r="F617" s="40"/>
    </row>
    <row r="619" spans="1:6" ht="27" thickBot="1" x14ac:dyDescent="0.45">
      <c r="A619" s="20" t="s">
        <v>264</v>
      </c>
    </row>
    <row r="620" spans="1:6" ht="15.75" thickBot="1" x14ac:dyDescent="0.3">
      <c r="A620" s="113"/>
      <c r="B620" s="114" t="s">
        <v>153</v>
      </c>
      <c r="C620" s="114" t="s">
        <v>154</v>
      </c>
      <c r="D620" s="114" t="s">
        <v>155</v>
      </c>
      <c r="E620" s="114" t="s">
        <v>156</v>
      </c>
      <c r="F620" s="114" t="s">
        <v>157</v>
      </c>
    </row>
    <row r="621" spans="1:6" x14ac:dyDescent="0.25">
      <c r="A621" s="15">
        <v>0.33333333333333331</v>
      </c>
      <c r="B621" s="40"/>
      <c r="C621" s="40"/>
      <c r="D621" s="40"/>
      <c r="E621" s="40"/>
      <c r="F621" s="40"/>
    </row>
    <row r="622" spans="1:6" x14ac:dyDescent="0.25">
      <c r="A622" s="16">
        <v>0.35416666666666669</v>
      </c>
      <c r="B622" s="40"/>
      <c r="C622" s="40"/>
      <c r="D622" s="40"/>
      <c r="E622" s="40"/>
      <c r="F622" s="40"/>
    </row>
    <row r="623" spans="1:6" x14ac:dyDescent="0.25">
      <c r="A623" s="16">
        <v>0.375</v>
      </c>
      <c r="B623" s="40"/>
      <c r="C623" s="40"/>
      <c r="D623" s="40"/>
      <c r="E623" s="40"/>
      <c r="F623" s="40"/>
    </row>
    <row r="624" spans="1:6" x14ac:dyDescent="0.25">
      <c r="A624" s="16">
        <v>0.39583333333333331</v>
      </c>
      <c r="B624" s="40"/>
      <c r="C624" s="40"/>
      <c r="D624" s="40"/>
      <c r="E624" s="40"/>
      <c r="F624" s="40"/>
    </row>
    <row r="625" spans="1:6" x14ac:dyDescent="0.25">
      <c r="A625" s="16">
        <v>0.41666666666666669</v>
      </c>
      <c r="B625" s="40"/>
      <c r="C625" s="40"/>
      <c r="D625" s="40"/>
      <c r="E625" s="40"/>
      <c r="F625" s="40"/>
    </row>
    <row r="626" spans="1:6" x14ac:dyDescent="0.25">
      <c r="A626" s="16">
        <v>0.4375</v>
      </c>
      <c r="B626" s="40"/>
      <c r="C626" s="40"/>
      <c r="D626" s="40"/>
      <c r="E626" s="40"/>
      <c r="F626" s="40"/>
    </row>
    <row r="627" spans="1:6" x14ac:dyDescent="0.25">
      <c r="A627" s="16">
        <v>0.45833333333333331</v>
      </c>
      <c r="B627" s="40"/>
      <c r="C627" s="40"/>
      <c r="D627" s="40"/>
      <c r="E627" s="40"/>
      <c r="F627" s="40"/>
    </row>
    <row r="628" spans="1:6" x14ac:dyDescent="0.25">
      <c r="A628" s="16">
        <v>0.47916666666666669</v>
      </c>
      <c r="B628" s="40"/>
      <c r="C628" s="40"/>
      <c r="D628" s="40"/>
      <c r="E628" s="40"/>
      <c r="F628" s="40"/>
    </row>
    <row r="629" spans="1:6" x14ac:dyDescent="0.25">
      <c r="A629" s="16">
        <v>0.5</v>
      </c>
      <c r="B629" s="40"/>
      <c r="C629" s="40"/>
      <c r="D629" s="40"/>
      <c r="E629" s="40"/>
      <c r="F629" s="40"/>
    </row>
    <row r="630" spans="1:6" x14ac:dyDescent="0.25">
      <c r="A630" s="16">
        <v>0.52083333333333337</v>
      </c>
      <c r="B630" s="40"/>
      <c r="C630" s="40"/>
      <c r="D630" s="40"/>
      <c r="E630" s="40"/>
      <c r="F630" s="40"/>
    </row>
    <row r="631" spans="1:6" x14ac:dyDescent="0.25">
      <c r="A631" s="16">
        <v>4.1666666666666664E-2</v>
      </c>
      <c r="B631" s="40"/>
      <c r="C631" s="40"/>
      <c r="D631" s="40"/>
      <c r="E631" s="40"/>
      <c r="F631" s="40"/>
    </row>
    <row r="632" spans="1:6" x14ac:dyDescent="0.25">
      <c r="A632" s="16">
        <v>6.25E-2</v>
      </c>
      <c r="B632" s="40"/>
      <c r="C632" s="40"/>
      <c r="D632" s="40"/>
      <c r="E632" s="40"/>
      <c r="F632" s="40"/>
    </row>
    <row r="633" spans="1:6" x14ac:dyDescent="0.25">
      <c r="A633" s="16">
        <v>8.3333333333333329E-2</v>
      </c>
      <c r="B633" s="40"/>
      <c r="C633" s="40"/>
      <c r="D633" s="40"/>
      <c r="E633" s="40"/>
      <c r="F633" s="40"/>
    </row>
    <row r="634" spans="1:6" x14ac:dyDescent="0.25">
      <c r="A634" s="16">
        <v>0.10416666666666667</v>
      </c>
      <c r="B634" s="40"/>
      <c r="C634" s="40"/>
      <c r="D634" s="40"/>
      <c r="E634" s="40"/>
      <c r="F634" s="40"/>
    </row>
    <row r="635" spans="1:6" x14ac:dyDescent="0.25">
      <c r="A635" s="16">
        <v>0.125</v>
      </c>
      <c r="B635" s="40"/>
      <c r="C635" s="40"/>
      <c r="D635" s="40"/>
      <c r="E635" s="40"/>
      <c r="F635" s="40"/>
    </row>
    <row r="636" spans="1:6" x14ac:dyDescent="0.25">
      <c r="A636" s="16">
        <v>0.14583333333333334</v>
      </c>
      <c r="B636" s="40"/>
      <c r="C636" s="40"/>
      <c r="D636" s="40"/>
      <c r="E636" s="40"/>
      <c r="F636" s="40"/>
    </row>
    <row r="637" spans="1:6" ht="15.75" thickBot="1" x14ac:dyDescent="0.3">
      <c r="A637" s="22">
        <v>0.16666666666666666</v>
      </c>
      <c r="B637" s="40"/>
      <c r="C637" s="40"/>
      <c r="D637" s="40"/>
      <c r="E637" s="40"/>
      <c r="F637" s="40"/>
    </row>
    <row r="639" spans="1:6" ht="27" thickBot="1" x14ac:dyDescent="0.45">
      <c r="A639" s="20" t="s">
        <v>265</v>
      </c>
    </row>
    <row r="640" spans="1:6" ht="15.75" thickBot="1" x14ac:dyDescent="0.3">
      <c r="A640" s="113"/>
      <c r="B640" s="114" t="s">
        <v>153</v>
      </c>
      <c r="C640" s="114" t="s">
        <v>154</v>
      </c>
      <c r="D640" s="114" t="s">
        <v>155</v>
      </c>
      <c r="E640" s="114" t="s">
        <v>156</v>
      </c>
      <c r="F640" s="114" t="s">
        <v>157</v>
      </c>
    </row>
    <row r="641" spans="1:6" x14ac:dyDescent="0.25">
      <c r="A641" s="15">
        <v>0.33333333333333331</v>
      </c>
      <c r="B641" s="40"/>
      <c r="C641" s="40"/>
      <c r="D641" s="40"/>
      <c r="E641" s="40"/>
      <c r="F641" s="40"/>
    </row>
    <row r="642" spans="1:6" x14ac:dyDescent="0.25">
      <c r="A642" s="16">
        <v>0.35416666666666669</v>
      </c>
      <c r="B642" s="40"/>
      <c r="C642" s="40"/>
      <c r="D642" s="40"/>
      <c r="E642" s="40"/>
      <c r="F642" s="40"/>
    </row>
    <row r="643" spans="1:6" x14ac:dyDescent="0.25">
      <c r="A643" s="16">
        <v>0.375</v>
      </c>
      <c r="B643" s="40"/>
      <c r="C643" s="40"/>
      <c r="D643" s="40"/>
      <c r="E643" s="40"/>
      <c r="F643" s="40"/>
    </row>
    <row r="644" spans="1:6" x14ac:dyDescent="0.25">
      <c r="A644" s="16">
        <v>0.39583333333333331</v>
      </c>
      <c r="B644" s="40"/>
      <c r="C644" s="40"/>
      <c r="D644" s="40"/>
      <c r="E644" s="40"/>
      <c r="F644" s="40"/>
    </row>
    <row r="645" spans="1:6" x14ac:dyDescent="0.25">
      <c r="A645" s="16">
        <v>0.41666666666666669</v>
      </c>
      <c r="B645" s="40"/>
      <c r="C645" s="40"/>
      <c r="D645" s="40"/>
      <c r="E645" s="40"/>
      <c r="F645" s="40"/>
    </row>
    <row r="646" spans="1:6" x14ac:dyDescent="0.25">
      <c r="A646" s="16">
        <v>0.4375</v>
      </c>
      <c r="B646" s="40"/>
      <c r="C646" s="40"/>
      <c r="D646" s="40"/>
      <c r="E646" s="40"/>
      <c r="F646" s="40"/>
    </row>
    <row r="647" spans="1:6" x14ac:dyDescent="0.25">
      <c r="A647" s="16">
        <v>0.45833333333333331</v>
      </c>
      <c r="B647" s="40"/>
      <c r="C647" s="40"/>
      <c r="D647" s="40"/>
      <c r="E647" s="40"/>
      <c r="F647" s="40"/>
    </row>
    <row r="648" spans="1:6" x14ac:dyDescent="0.25">
      <c r="A648" s="16">
        <v>0.47916666666666669</v>
      </c>
      <c r="B648" s="40"/>
      <c r="C648" s="40"/>
      <c r="D648" s="40"/>
      <c r="E648" s="40"/>
      <c r="F648" s="40"/>
    </row>
    <row r="649" spans="1:6" x14ac:dyDescent="0.25">
      <c r="A649" s="16">
        <v>0.5</v>
      </c>
      <c r="B649" s="40"/>
      <c r="C649" s="40"/>
      <c r="D649" s="40"/>
      <c r="E649" s="40"/>
      <c r="F649" s="40"/>
    </row>
    <row r="650" spans="1:6" x14ac:dyDescent="0.25">
      <c r="A650" s="16">
        <v>0.52083333333333337</v>
      </c>
      <c r="B650" s="40"/>
      <c r="C650" s="40"/>
      <c r="D650" s="40"/>
      <c r="E650" s="40"/>
      <c r="F650" s="40"/>
    </row>
    <row r="651" spans="1:6" x14ac:dyDescent="0.25">
      <c r="A651" s="16">
        <v>4.1666666666666664E-2</v>
      </c>
      <c r="B651" s="40"/>
      <c r="C651" s="40"/>
      <c r="D651" s="40"/>
      <c r="E651" s="40"/>
      <c r="F651" s="40"/>
    </row>
    <row r="652" spans="1:6" x14ac:dyDescent="0.25">
      <c r="A652" s="16">
        <v>6.25E-2</v>
      </c>
      <c r="B652" s="40"/>
      <c r="C652" s="40"/>
      <c r="D652" s="40"/>
      <c r="E652" s="40"/>
      <c r="F652" s="40"/>
    </row>
    <row r="653" spans="1:6" x14ac:dyDescent="0.25">
      <c r="A653" s="16">
        <v>8.3333333333333329E-2</v>
      </c>
      <c r="B653" s="40"/>
      <c r="C653" s="40"/>
      <c r="D653" s="40"/>
      <c r="E653" s="40"/>
      <c r="F653" s="40"/>
    </row>
    <row r="654" spans="1:6" x14ac:dyDescent="0.25">
      <c r="A654" s="16">
        <v>0.10416666666666667</v>
      </c>
      <c r="B654" s="40"/>
      <c r="C654" s="40"/>
      <c r="D654" s="40"/>
      <c r="E654" s="40"/>
      <c r="F654" s="40"/>
    </row>
    <row r="655" spans="1:6" x14ac:dyDescent="0.25">
      <c r="A655" s="16">
        <v>0.125</v>
      </c>
      <c r="B655" s="40"/>
      <c r="C655" s="40"/>
      <c r="D655" s="40"/>
      <c r="E655" s="40"/>
      <c r="F655" s="40"/>
    </row>
    <row r="656" spans="1:6" x14ac:dyDescent="0.25">
      <c r="A656" s="16">
        <v>0.14583333333333334</v>
      </c>
      <c r="B656" s="40"/>
      <c r="C656" s="40"/>
      <c r="D656" s="40"/>
      <c r="E656" s="40"/>
      <c r="F656" s="40"/>
    </row>
    <row r="657" spans="1:6" ht="15.75" thickBot="1" x14ac:dyDescent="0.3">
      <c r="A657" s="22">
        <v>0.16666666666666666</v>
      </c>
      <c r="B657" s="40"/>
      <c r="C657" s="40"/>
      <c r="D657" s="40"/>
      <c r="E657" s="40"/>
      <c r="F657" s="40"/>
    </row>
    <row r="659" spans="1:6" ht="27" thickBot="1" x14ac:dyDescent="0.45">
      <c r="A659" s="20" t="s">
        <v>266</v>
      </c>
    </row>
    <row r="660" spans="1:6" ht="15.75" thickBot="1" x14ac:dyDescent="0.3">
      <c r="A660" s="113"/>
      <c r="B660" s="114" t="s">
        <v>153</v>
      </c>
      <c r="C660" s="114" t="s">
        <v>154</v>
      </c>
      <c r="D660" s="114" t="s">
        <v>155</v>
      </c>
      <c r="E660" s="114" t="s">
        <v>156</v>
      </c>
      <c r="F660" s="114" t="s">
        <v>157</v>
      </c>
    </row>
    <row r="661" spans="1:6" x14ac:dyDescent="0.25">
      <c r="A661" s="15">
        <v>0.33333333333333331</v>
      </c>
      <c r="B661" s="40"/>
      <c r="C661" s="40"/>
      <c r="D661" s="40"/>
      <c r="E661" s="40"/>
      <c r="F661" s="40"/>
    </row>
    <row r="662" spans="1:6" x14ac:dyDescent="0.25">
      <c r="A662" s="16">
        <v>0.35416666666666669</v>
      </c>
      <c r="B662" s="40"/>
      <c r="C662" s="2" t="s">
        <v>267</v>
      </c>
      <c r="D662" s="40"/>
      <c r="E662" s="2" t="s">
        <v>268</v>
      </c>
      <c r="F662" s="2" t="s">
        <v>269</v>
      </c>
    </row>
    <row r="663" spans="1:6" x14ac:dyDescent="0.25">
      <c r="A663" s="16">
        <v>0.375</v>
      </c>
      <c r="B663" s="2" t="s">
        <v>267</v>
      </c>
      <c r="C663" s="2" t="s">
        <v>267</v>
      </c>
      <c r="D663" s="40"/>
      <c r="E663" s="2" t="s">
        <v>268</v>
      </c>
      <c r="F663" s="2" t="s">
        <v>269</v>
      </c>
    </row>
    <row r="664" spans="1:6" x14ac:dyDescent="0.25">
      <c r="A664" s="16">
        <v>0.39583333333333331</v>
      </c>
      <c r="B664" s="2" t="s">
        <v>267</v>
      </c>
      <c r="C664" s="2" t="s">
        <v>267</v>
      </c>
      <c r="D664" s="40"/>
      <c r="E664" s="2" t="s">
        <v>268</v>
      </c>
      <c r="F664" s="2" t="s">
        <v>269</v>
      </c>
    </row>
    <row r="665" spans="1:6" x14ac:dyDescent="0.25">
      <c r="A665" s="16">
        <v>0.41666666666666669</v>
      </c>
      <c r="B665" s="2" t="s">
        <v>267</v>
      </c>
      <c r="C665" s="40"/>
      <c r="D665" s="40"/>
      <c r="E665" s="2" t="s">
        <v>270</v>
      </c>
      <c r="F665" s="40"/>
    </row>
    <row r="666" spans="1:6" x14ac:dyDescent="0.25">
      <c r="A666" s="16">
        <v>0.4375</v>
      </c>
      <c r="B666" s="2" t="s">
        <v>267</v>
      </c>
      <c r="C666" s="40"/>
      <c r="D666" s="40"/>
      <c r="E666" s="2" t="s">
        <v>270</v>
      </c>
      <c r="F666" s="40"/>
    </row>
    <row r="667" spans="1:6" x14ac:dyDescent="0.25">
      <c r="A667" s="16">
        <v>0.45833333333333331</v>
      </c>
      <c r="B667" s="2" t="s">
        <v>267</v>
      </c>
      <c r="C667" s="40"/>
      <c r="D667" s="40"/>
      <c r="E667" s="40"/>
      <c r="F667" s="40"/>
    </row>
    <row r="668" spans="1:6" x14ac:dyDescent="0.25">
      <c r="A668" s="16">
        <v>0.47916666666666669</v>
      </c>
      <c r="B668" s="2" t="s">
        <v>267</v>
      </c>
      <c r="C668" s="40"/>
      <c r="D668" s="40"/>
      <c r="E668" s="40"/>
      <c r="F668" s="40"/>
    </row>
    <row r="669" spans="1:6" x14ac:dyDescent="0.25">
      <c r="A669" s="16">
        <v>0.5</v>
      </c>
      <c r="B669" s="40"/>
      <c r="C669" s="40"/>
      <c r="D669" s="40"/>
      <c r="E669" s="40"/>
      <c r="F669" s="40"/>
    </row>
    <row r="670" spans="1:6" x14ac:dyDescent="0.25">
      <c r="A670" s="16">
        <v>0.52083333333333337</v>
      </c>
      <c r="B670" s="40"/>
      <c r="C670" s="40"/>
      <c r="D670" s="40"/>
      <c r="E670" s="40"/>
      <c r="F670" s="40"/>
    </row>
    <row r="671" spans="1:6" x14ac:dyDescent="0.25">
      <c r="A671" s="16">
        <v>4.1666666666666664E-2</v>
      </c>
      <c r="B671" s="40"/>
      <c r="C671" s="40"/>
      <c r="D671" s="40"/>
      <c r="E671" s="40"/>
      <c r="F671" s="2" t="s">
        <v>271</v>
      </c>
    </row>
    <row r="672" spans="1:6" x14ac:dyDescent="0.25">
      <c r="A672" s="16">
        <v>6.25E-2</v>
      </c>
      <c r="B672" s="40"/>
      <c r="C672" s="40"/>
      <c r="D672" s="40"/>
      <c r="E672" s="40"/>
      <c r="F672" s="2" t="s">
        <v>271</v>
      </c>
    </row>
    <row r="673" spans="1:6" x14ac:dyDescent="0.25">
      <c r="A673" s="16">
        <v>8.3333333333333329E-2</v>
      </c>
      <c r="B673" s="2" t="s">
        <v>267</v>
      </c>
      <c r="C673" s="40"/>
      <c r="D673" s="40"/>
      <c r="E673" s="40"/>
      <c r="F673" s="40"/>
    </row>
    <row r="674" spans="1:6" x14ac:dyDescent="0.25">
      <c r="A674" s="16">
        <v>0.10416666666666667</v>
      </c>
      <c r="B674" s="2" t="s">
        <v>267</v>
      </c>
      <c r="C674" s="40"/>
      <c r="D674" s="40"/>
      <c r="E674" s="40"/>
      <c r="F674" s="40"/>
    </row>
    <row r="675" spans="1:6" x14ac:dyDescent="0.25">
      <c r="A675" s="16">
        <v>0.125</v>
      </c>
      <c r="B675" s="40"/>
      <c r="C675" s="40"/>
      <c r="D675" s="40"/>
      <c r="E675" s="40"/>
      <c r="F675" s="40"/>
    </row>
    <row r="676" spans="1:6" x14ac:dyDescent="0.25">
      <c r="A676" s="16">
        <v>0.14583333333333334</v>
      </c>
      <c r="B676" s="40"/>
      <c r="C676" s="40"/>
      <c r="D676" s="40"/>
      <c r="E676" s="40"/>
      <c r="F676" s="40"/>
    </row>
    <row r="677" spans="1:6" ht="15.75" thickBot="1" x14ac:dyDescent="0.3">
      <c r="A677" s="22">
        <v>0.16666666666666666</v>
      </c>
      <c r="B677" s="40"/>
      <c r="C677" s="40"/>
      <c r="D677" s="40"/>
      <c r="E677" s="40"/>
      <c r="F677" s="40"/>
    </row>
    <row r="680" spans="1:6" ht="27" thickBot="1" x14ac:dyDescent="0.45">
      <c r="A680" s="20" t="s">
        <v>272</v>
      </c>
    </row>
    <row r="681" spans="1:6" ht="15.75" thickBot="1" x14ac:dyDescent="0.3">
      <c r="A681" s="113"/>
      <c r="B681" s="114" t="s">
        <v>153</v>
      </c>
      <c r="C681" s="114" t="s">
        <v>154</v>
      </c>
      <c r="D681" s="114" t="s">
        <v>155</v>
      </c>
      <c r="E681" s="114" t="s">
        <v>156</v>
      </c>
      <c r="F681" s="114" t="s">
        <v>157</v>
      </c>
    </row>
    <row r="682" spans="1:6" x14ac:dyDescent="0.25">
      <c r="A682" s="15">
        <v>0.33333333333333331</v>
      </c>
      <c r="B682" s="2" t="s">
        <v>273</v>
      </c>
      <c r="C682" s="40"/>
      <c r="D682" s="40"/>
      <c r="E682" s="40"/>
      <c r="F682" s="2" t="s">
        <v>273</v>
      </c>
    </row>
    <row r="683" spans="1:6" x14ac:dyDescent="0.25">
      <c r="A683" s="16">
        <v>0.35416666666666669</v>
      </c>
      <c r="B683" s="2" t="s">
        <v>273</v>
      </c>
      <c r="C683" s="40"/>
      <c r="D683" s="40"/>
      <c r="E683" s="40"/>
      <c r="F683" s="2" t="s">
        <v>273</v>
      </c>
    </row>
    <row r="684" spans="1:6" x14ac:dyDescent="0.25">
      <c r="A684" s="16">
        <v>0.375</v>
      </c>
      <c r="B684" s="2" t="s">
        <v>274</v>
      </c>
      <c r="C684" s="40"/>
      <c r="D684" s="40"/>
      <c r="E684" s="40"/>
      <c r="F684" s="2" t="s">
        <v>273</v>
      </c>
    </row>
    <row r="685" spans="1:6" x14ac:dyDescent="0.25">
      <c r="A685" s="16">
        <v>0.39583333333333331</v>
      </c>
      <c r="B685" s="2" t="s">
        <v>274</v>
      </c>
      <c r="C685" s="40"/>
      <c r="D685" s="40"/>
      <c r="E685" s="40"/>
      <c r="F685" s="2" t="s">
        <v>273</v>
      </c>
    </row>
    <row r="686" spans="1:6" x14ac:dyDescent="0.25">
      <c r="A686" s="16">
        <v>0.41666666666666669</v>
      </c>
      <c r="B686" s="40"/>
      <c r="C686" s="40"/>
      <c r="D686" s="40"/>
      <c r="E686" s="40"/>
      <c r="F686" s="2" t="s">
        <v>273</v>
      </c>
    </row>
    <row r="687" spans="1:6" x14ac:dyDescent="0.25">
      <c r="A687" s="16">
        <v>0.4375</v>
      </c>
      <c r="B687" s="40"/>
      <c r="C687" s="40"/>
      <c r="D687" s="40"/>
      <c r="E687" s="40"/>
      <c r="F687" s="2" t="s">
        <v>273</v>
      </c>
    </row>
    <row r="688" spans="1:6" x14ac:dyDescent="0.25">
      <c r="A688" s="16">
        <v>0.45833333333333331</v>
      </c>
      <c r="B688" s="2" t="s">
        <v>275</v>
      </c>
      <c r="C688" s="40"/>
      <c r="D688" s="40"/>
      <c r="E688" s="40"/>
      <c r="F688" s="2" t="s">
        <v>273</v>
      </c>
    </row>
    <row r="689" spans="1:6" x14ac:dyDescent="0.25">
      <c r="A689" s="16">
        <v>0.47916666666666669</v>
      </c>
      <c r="B689" s="2" t="s">
        <v>275</v>
      </c>
      <c r="C689" s="40"/>
      <c r="D689" s="40"/>
      <c r="E689" s="40"/>
      <c r="F689" s="2" t="s">
        <v>273</v>
      </c>
    </row>
    <row r="690" spans="1:6" x14ac:dyDescent="0.25">
      <c r="A690" s="16">
        <v>0.5</v>
      </c>
      <c r="B690" s="40"/>
      <c r="C690" s="40"/>
      <c r="D690" s="40"/>
      <c r="E690" s="40"/>
      <c r="F690" s="40"/>
    </row>
    <row r="691" spans="1:6" x14ac:dyDescent="0.25">
      <c r="A691" s="16">
        <v>0.52083333333333337</v>
      </c>
      <c r="B691" s="40"/>
      <c r="C691" s="40"/>
      <c r="D691" s="40"/>
      <c r="E691" s="40"/>
      <c r="F691" s="40"/>
    </row>
    <row r="692" spans="1:6" x14ac:dyDescent="0.25">
      <c r="A692" s="16">
        <v>4.1666666666666664E-2</v>
      </c>
      <c r="B692" s="2" t="s">
        <v>276</v>
      </c>
      <c r="C692" s="40"/>
      <c r="D692" s="40"/>
      <c r="E692" s="40"/>
      <c r="F692" s="2" t="s">
        <v>273</v>
      </c>
    </row>
    <row r="693" spans="1:6" x14ac:dyDescent="0.25">
      <c r="A693" s="16">
        <v>6.25E-2</v>
      </c>
      <c r="B693" s="2" t="s">
        <v>276</v>
      </c>
      <c r="C693" s="40"/>
      <c r="D693" s="40"/>
      <c r="E693" s="40"/>
      <c r="F693" s="2" t="s">
        <v>273</v>
      </c>
    </row>
    <row r="694" spans="1:6" x14ac:dyDescent="0.25">
      <c r="A694" s="16">
        <v>8.3333333333333329E-2</v>
      </c>
      <c r="B694" s="2" t="s">
        <v>275</v>
      </c>
      <c r="C694" s="40"/>
      <c r="D694" s="40"/>
      <c r="E694" s="40"/>
      <c r="F694" s="2" t="s">
        <v>273</v>
      </c>
    </row>
    <row r="695" spans="1:6" x14ac:dyDescent="0.25">
      <c r="A695" s="16">
        <v>0.10416666666666667</v>
      </c>
      <c r="B695" s="2" t="s">
        <v>275</v>
      </c>
      <c r="C695" s="40"/>
      <c r="D695" s="40"/>
      <c r="E695" s="40"/>
      <c r="F695" s="2" t="s">
        <v>273</v>
      </c>
    </row>
    <row r="696" spans="1:6" x14ac:dyDescent="0.25">
      <c r="A696" s="16">
        <v>0.125</v>
      </c>
      <c r="B696" s="2" t="s">
        <v>275</v>
      </c>
      <c r="C696" s="40"/>
      <c r="D696" s="40"/>
      <c r="E696" s="40"/>
      <c r="F696" s="2" t="s">
        <v>273</v>
      </c>
    </row>
    <row r="697" spans="1:6" x14ac:dyDescent="0.25">
      <c r="A697" s="16">
        <v>0.14583333333333334</v>
      </c>
      <c r="B697" s="2" t="s">
        <v>275</v>
      </c>
      <c r="C697" s="40"/>
      <c r="D697" s="40"/>
      <c r="E697" s="40"/>
      <c r="F697" s="2" t="s">
        <v>273</v>
      </c>
    </row>
    <row r="698" spans="1:6" ht="15.75" thickBot="1" x14ac:dyDescent="0.3">
      <c r="A698" s="22">
        <v>0.16666666666666666</v>
      </c>
      <c r="B698" s="40"/>
      <c r="C698" s="40"/>
      <c r="D698" s="40"/>
      <c r="E698" s="40"/>
      <c r="F698" s="40"/>
    </row>
    <row r="699" spans="1:6" x14ac:dyDescent="0.25">
      <c r="A699" s="19"/>
      <c r="B699" s="6"/>
      <c r="C699" s="6"/>
      <c r="D699" s="29"/>
      <c r="E699" s="6"/>
      <c r="F699" s="29"/>
    </row>
    <row r="700" spans="1:6" ht="27" thickBot="1" x14ac:dyDescent="0.45">
      <c r="A700" s="20" t="s">
        <v>277</v>
      </c>
    </row>
    <row r="701" spans="1:6" ht="15.75" thickBot="1" x14ac:dyDescent="0.3">
      <c r="A701" s="113"/>
      <c r="B701" s="114" t="s">
        <v>153</v>
      </c>
      <c r="C701" s="114" t="s">
        <v>154</v>
      </c>
      <c r="D701" s="13" t="s">
        <v>155</v>
      </c>
      <c r="E701" s="114" t="s">
        <v>156</v>
      </c>
      <c r="F701" s="114" t="s">
        <v>157</v>
      </c>
    </row>
    <row r="702" spans="1:6" x14ac:dyDescent="0.25">
      <c r="A702" s="15">
        <v>0.33333333333333331</v>
      </c>
      <c r="B702" s="25"/>
      <c r="C702" s="26"/>
      <c r="D702" s="27"/>
      <c r="E702" s="23"/>
      <c r="F702" s="28"/>
    </row>
    <row r="703" spans="1:6" x14ac:dyDescent="0.25">
      <c r="A703" s="16">
        <v>0.35416666666666669</v>
      </c>
      <c r="B703" s="25"/>
      <c r="C703" s="26"/>
      <c r="D703" s="27"/>
      <c r="E703" s="23"/>
      <c r="F703" s="28"/>
    </row>
    <row r="704" spans="1:6" x14ac:dyDescent="0.25">
      <c r="A704" s="16">
        <v>0.375</v>
      </c>
      <c r="B704" s="25"/>
      <c r="C704" s="26"/>
      <c r="D704" s="27"/>
      <c r="E704" s="23"/>
      <c r="F704" s="28"/>
    </row>
    <row r="705" spans="1:6" x14ac:dyDescent="0.25">
      <c r="A705" s="16">
        <v>0.39583333333333331</v>
      </c>
      <c r="B705" s="25"/>
      <c r="C705" s="26"/>
      <c r="D705" s="27"/>
      <c r="E705" s="23"/>
      <c r="F705" s="28"/>
    </row>
    <row r="706" spans="1:6" x14ac:dyDescent="0.25">
      <c r="A706" s="16">
        <v>0.41666666666666669</v>
      </c>
      <c r="B706" s="25"/>
      <c r="C706" s="26"/>
      <c r="D706" s="27"/>
      <c r="E706" s="23"/>
      <c r="F706" s="28"/>
    </row>
    <row r="707" spans="1:6" x14ac:dyDescent="0.25">
      <c r="A707" s="16">
        <v>0.4375</v>
      </c>
      <c r="B707" s="25"/>
      <c r="C707" s="26"/>
      <c r="D707" s="27"/>
      <c r="E707" s="23"/>
      <c r="F707" s="28"/>
    </row>
    <row r="708" spans="1:6" x14ac:dyDescent="0.25">
      <c r="A708" s="16">
        <v>0.45833333333333331</v>
      </c>
      <c r="B708" s="25"/>
      <c r="C708" s="26"/>
      <c r="D708" s="27"/>
      <c r="E708" s="23"/>
      <c r="F708" s="28"/>
    </row>
    <row r="709" spans="1:6" x14ac:dyDescent="0.25">
      <c r="A709" s="16">
        <v>0.47916666666666669</v>
      </c>
      <c r="B709" s="25"/>
      <c r="C709" s="26"/>
      <c r="D709" s="27"/>
      <c r="E709" s="23"/>
      <c r="F709" s="25"/>
    </row>
    <row r="710" spans="1:6" x14ac:dyDescent="0.25">
      <c r="A710" s="16">
        <v>0.5</v>
      </c>
      <c r="B710" s="25"/>
      <c r="C710" s="25"/>
      <c r="D710" s="24"/>
      <c r="E710" s="25"/>
      <c r="F710" s="25"/>
    </row>
    <row r="711" spans="1:6" x14ac:dyDescent="0.25">
      <c r="A711" s="16">
        <v>0.52083333333333337</v>
      </c>
      <c r="B711" s="25"/>
      <c r="C711" s="25"/>
      <c r="D711" s="24"/>
      <c r="E711" s="25"/>
      <c r="F711" s="25"/>
    </row>
    <row r="712" spans="1:6" x14ac:dyDescent="0.25">
      <c r="A712" s="16">
        <v>4.1666666666666664E-2</v>
      </c>
      <c r="B712" s="25"/>
      <c r="C712" s="25"/>
      <c r="D712" s="24"/>
      <c r="E712" s="25"/>
      <c r="F712" s="28"/>
    </row>
    <row r="713" spans="1:6" x14ac:dyDescent="0.25">
      <c r="A713" s="16">
        <v>6.25E-2</v>
      </c>
      <c r="B713" s="25"/>
      <c r="C713" s="25"/>
      <c r="D713" s="24"/>
      <c r="E713" s="25"/>
      <c r="F713" s="28"/>
    </row>
    <row r="714" spans="1:6" x14ac:dyDescent="0.25">
      <c r="A714" s="16">
        <v>8.3333333333333329E-2</v>
      </c>
      <c r="B714" s="25"/>
      <c r="C714" s="25"/>
      <c r="D714" s="28"/>
      <c r="E714" s="25"/>
      <c r="F714" s="28"/>
    </row>
    <row r="715" spans="1:6" x14ac:dyDescent="0.25">
      <c r="A715" s="16">
        <v>0.10416666666666667</v>
      </c>
      <c r="B715" s="25"/>
      <c r="C715" s="25"/>
      <c r="D715" s="28"/>
      <c r="E715" s="25"/>
      <c r="F715" s="28"/>
    </row>
    <row r="716" spans="1:6" x14ac:dyDescent="0.25">
      <c r="A716" s="16">
        <v>0.125</v>
      </c>
      <c r="B716" s="25"/>
      <c r="C716" s="25"/>
      <c r="D716" s="28"/>
      <c r="E716" s="25"/>
      <c r="F716" s="28"/>
    </row>
    <row r="717" spans="1:6" x14ac:dyDescent="0.25">
      <c r="A717" s="16">
        <v>0.14583333333333334</v>
      </c>
      <c r="B717" s="25"/>
      <c r="C717" s="25"/>
      <c r="D717" s="28"/>
      <c r="E717" s="25"/>
      <c r="F717" s="28"/>
    </row>
    <row r="718" spans="1:6" ht="15.75" thickBot="1" x14ac:dyDescent="0.3">
      <c r="A718" s="22">
        <v>0.16666666666666666</v>
      </c>
      <c r="B718" s="25"/>
      <c r="C718" s="25"/>
      <c r="D718" s="28"/>
      <c r="E718" s="25"/>
      <c r="F718" s="28"/>
    </row>
    <row r="719" spans="1:6" x14ac:dyDescent="0.25">
      <c r="A719" s="19"/>
      <c r="B719" s="6"/>
      <c r="C719" s="6"/>
      <c r="D719" s="29"/>
      <c r="E719" s="6"/>
      <c r="F719" s="29"/>
    </row>
    <row r="720" spans="1:6" s="25" customFormat="1" ht="27" thickBot="1" x14ac:dyDescent="0.45">
      <c r="A720" s="20" t="s">
        <v>278</v>
      </c>
      <c r="B720" s="32"/>
      <c r="C720" s="32"/>
      <c r="D720" s="32"/>
      <c r="E720" s="32"/>
      <c r="F720" s="32"/>
    </row>
    <row r="721" spans="1:6" ht="15.75" thickBot="1" x14ac:dyDescent="0.3">
      <c r="A721" s="113"/>
      <c r="B721" s="114" t="s">
        <v>153</v>
      </c>
      <c r="C721" s="114" t="s">
        <v>154</v>
      </c>
      <c r="D721" s="13" t="s">
        <v>155</v>
      </c>
      <c r="E721" s="114" t="s">
        <v>156</v>
      </c>
      <c r="F721" s="114" t="s">
        <v>157</v>
      </c>
    </row>
    <row r="722" spans="1:6" x14ac:dyDescent="0.25">
      <c r="A722" s="15">
        <v>0.33333333333333331</v>
      </c>
      <c r="B722" s="25"/>
      <c r="C722" s="26"/>
      <c r="D722" s="27"/>
      <c r="E722" s="23"/>
      <c r="F722" s="28"/>
    </row>
    <row r="723" spans="1:6" x14ac:dyDescent="0.25">
      <c r="A723" s="16">
        <v>0.35416666666666669</v>
      </c>
      <c r="B723" s="25"/>
      <c r="C723" s="26"/>
      <c r="D723" s="27"/>
      <c r="E723" s="23"/>
      <c r="F723" s="28"/>
    </row>
    <row r="724" spans="1:6" x14ac:dyDescent="0.25">
      <c r="A724" s="16">
        <v>0.375</v>
      </c>
      <c r="B724" s="25"/>
      <c r="C724" s="26"/>
      <c r="D724" s="27"/>
      <c r="E724" s="23"/>
      <c r="F724" s="28"/>
    </row>
    <row r="725" spans="1:6" x14ac:dyDescent="0.25">
      <c r="A725" s="16">
        <v>0.39583333333333331</v>
      </c>
      <c r="B725" s="25"/>
      <c r="C725" s="26"/>
      <c r="D725" s="27"/>
      <c r="E725" s="23"/>
      <c r="F725" s="28"/>
    </row>
    <row r="726" spans="1:6" x14ac:dyDescent="0.25">
      <c r="A726" s="16">
        <v>0.41666666666666669</v>
      </c>
      <c r="B726" s="25"/>
      <c r="C726" s="26"/>
      <c r="D726" s="27"/>
      <c r="E726" s="23"/>
      <c r="F726" s="28"/>
    </row>
    <row r="727" spans="1:6" x14ac:dyDescent="0.25">
      <c r="A727" s="16">
        <v>0.4375</v>
      </c>
      <c r="B727" s="25"/>
      <c r="C727" s="26"/>
      <c r="D727" s="27"/>
      <c r="E727" s="23"/>
      <c r="F727" s="28"/>
    </row>
    <row r="728" spans="1:6" x14ac:dyDescent="0.25">
      <c r="A728" s="16">
        <v>0.45833333333333331</v>
      </c>
      <c r="B728" s="25"/>
      <c r="C728" s="26"/>
      <c r="D728" s="27"/>
      <c r="E728" s="23"/>
      <c r="F728" s="28"/>
    </row>
    <row r="729" spans="1:6" x14ac:dyDescent="0.25">
      <c r="A729" s="16">
        <v>0.47916666666666669</v>
      </c>
      <c r="B729" s="25"/>
      <c r="C729" s="26"/>
      <c r="D729" s="27"/>
      <c r="E729" s="23"/>
      <c r="F729" s="25"/>
    </row>
    <row r="730" spans="1:6" x14ac:dyDescent="0.25">
      <c r="A730" s="16">
        <v>0.5</v>
      </c>
      <c r="B730" s="25"/>
      <c r="C730" s="25"/>
      <c r="D730" s="24"/>
      <c r="E730" s="25"/>
      <c r="F730" s="25"/>
    </row>
    <row r="731" spans="1:6" x14ac:dyDescent="0.25">
      <c r="A731" s="16">
        <v>0.52083333333333337</v>
      </c>
      <c r="B731" s="25"/>
      <c r="C731" s="25"/>
      <c r="D731" s="24"/>
      <c r="E731" s="25"/>
      <c r="F731" s="25"/>
    </row>
    <row r="732" spans="1:6" x14ac:dyDescent="0.25">
      <c r="A732" s="16">
        <v>4.1666666666666664E-2</v>
      </c>
      <c r="B732" s="25"/>
      <c r="C732" s="25"/>
      <c r="D732" s="24"/>
      <c r="E732" s="25"/>
      <c r="F732" s="28"/>
    </row>
    <row r="733" spans="1:6" x14ac:dyDescent="0.25">
      <c r="A733" s="16">
        <v>6.25E-2</v>
      </c>
      <c r="B733" s="25"/>
      <c r="C733" s="25"/>
      <c r="D733" s="24"/>
      <c r="E733" s="25"/>
      <c r="F733" s="28"/>
    </row>
    <row r="734" spans="1:6" x14ac:dyDescent="0.25">
      <c r="A734" s="16">
        <v>8.3333333333333329E-2</v>
      </c>
      <c r="B734" s="25"/>
      <c r="C734" s="25"/>
      <c r="D734" s="28"/>
      <c r="E734" s="25"/>
      <c r="F734" s="28"/>
    </row>
    <row r="735" spans="1:6" x14ac:dyDescent="0.25">
      <c r="A735" s="16">
        <v>0.10416666666666667</v>
      </c>
      <c r="B735" s="25"/>
      <c r="C735" s="25"/>
      <c r="D735" s="28"/>
      <c r="E735" s="25"/>
      <c r="F735" s="28"/>
    </row>
    <row r="736" spans="1:6" x14ac:dyDescent="0.25">
      <c r="A736" s="16">
        <v>0.125</v>
      </c>
      <c r="B736" s="25"/>
      <c r="C736" s="25"/>
      <c r="D736" s="28"/>
      <c r="E736" s="25"/>
      <c r="F736" s="28"/>
    </row>
    <row r="737" spans="1:6" x14ac:dyDescent="0.25">
      <c r="A737" s="16">
        <v>0.14583333333333334</v>
      </c>
      <c r="B737" s="25"/>
      <c r="C737" s="25"/>
      <c r="D737" s="28"/>
      <c r="E737" s="25"/>
      <c r="F737" s="28"/>
    </row>
    <row r="738" spans="1:6" ht="15.75" thickBot="1" x14ac:dyDescent="0.3">
      <c r="A738" s="22">
        <v>0.16666666666666666</v>
      </c>
      <c r="B738" s="25"/>
      <c r="C738" s="25"/>
      <c r="D738" s="28"/>
      <c r="E738" s="25"/>
      <c r="F738" s="28"/>
    </row>
    <row r="739" spans="1:6" ht="15.75" thickBot="1" x14ac:dyDescent="0.3">
      <c r="A739" s="22">
        <v>0.16666666666666666</v>
      </c>
      <c r="B739" s="25"/>
      <c r="C739" s="25"/>
      <c r="D739" s="28"/>
      <c r="E739" s="25"/>
      <c r="F739" s="28"/>
    </row>
    <row r="742" spans="1:6" ht="27" thickBot="1" x14ac:dyDescent="0.45">
      <c r="A742" s="20" t="s">
        <v>279</v>
      </c>
    </row>
    <row r="743" spans="1:6" ht="15.75" thickBot="1" x14ac:dyDescent="0.3">
      <c r="A743" s="113"/>
      <c r="B743" s="114" t="s">
        <v>153</v>
      </c>
      <c r="C743" s="114" t="s">
        <v>154</v>
      </c>
      <c r="D743" s="13" t="s">
        <v>155</v>
      </c>
      <c r="E743" s="114" t="s">
        <v>156</v>
      </c>
      <c r="F743" s="114" t="s">
        <v>157</v>
      </c>
    </row>
    <row r="744" spans="1:6" x14ac:dyDescent="0.25">
      <c r="A744" s="15">
        <v>0.33333333333333331</v>
      </c>
      <c r="B744" s="25"/>
      <c r="C744" s="36" t="s">
        <v>280</v>
      </c>
      <c r="D744" s="38" t="s">
        <v>281</v>
      </c>
      <c r="E744" s="23"/>
      <c r="F744" s="28"/>
    </row>
    <row r="745" spans="1:6" x14ac:dyDescent="0.25">
      <c r="A745" s="16">
        <v>0.35416666666666669</v>
      </c>
      <c r="B745" s="25"/>
      <c r="C745" s="36" t="s">
        <v>280</v>
      </c>
      <c r="D745" s="38" t="s">
        <v>281</v>
      </c>
      <c r="E745" s="23"/>
      <c r="F745" s="28"/>
    </row>
    <row r="746" spans="1:6" x14ac:dyDescent="0.25">
      <c r="A746" s="16">
        <v>0.375</v>
      </c>
      <c r="B746" s="25"/>
      <c r="C746" s="36" t="s">
        <v>280</v>
      </c>
      <c r="D746" s="38" t="s">
        <v>281</v>
      </c>
      <c r="E746" s="23"/>
      <c r="F746" s="28"/>
    </row>
    <row r="747" spans="1:6" ht="14.25" customHeight="1" x14ac:dyDescent="0.25">
      <c r="A747" s="16">
        <v>0.39583333333333331</v>
      </c>
      <c r="B747" s="25"/>
      <c r="C747" s="36" t="s">
        <v>280</v>
      </c>
      <c r="D747" s="38" t="s">
        <v>281</v>
      </c>
      <c r="E747" s="23"/>
      <c r="F747" s="28"/>
    </row>
    <row r="748" spans="1:6" ht="14.25" customHeight="1" x14ac:dyDescent="0.25">
      <c r="A748" s="16">
        <v>0.41666666666666669</v>
      </c>
      <c r="B748" s="25"/>
      <c r="C748" s="26"/>
      <c r="D748" s="27"/>
      <c r="E748" s="23"/>
      <c r="F748" s="28"/>
    </row>
    <row r="749" spans="1:6" x14ac:dyDescent="0.25">
      <c r="A749" s="16">
        <v>0.4375</v>
      </c>
      <c r="B749" s="25"/>
      <c r="C749" s="26"/>
      <c r="D749" s="27"/>
      <c r="E749" s="23"/>
      <c r="F749" s="28"/>
    </row>
    <row r="750" spans="1:6" x14ac:dyDescent="0.25">
      <c r="A750" s="16">
        <v>0.45833333333333331</v>
      </c>
      <c r="B750" s="25"/>
      <c r="C750" s="26"/>
      <c r="D750" s="27"/>
      <c r="E750" s="23"/>
      <c r="F750" s="28"/>
    </row>
    <row r="751" spans="1:6" ht="18" x14ac:dyDescent="0.25">
      <c r="A751" s="16">
        <v>0.47916666666666669</v>
      </c>
      <c r="B751" s="25"/>
      <c r="C751" s="26"/>
      <c r="D751" s="35"/>
      <c r="E751" s="23"/>
      <c r="F751" s="25"/>
    </row>
    <row r="752" spans="1:6" x14ac:dyDescent="0.25">
      <c r="A752" s="16">
        <v>0.5</v>
      </c>
      <c r="B752" s="25"/>
      <c r="C752" s="25"/>
      <c r="D752" s="24"/>
      <c r="E752" s="25"/>
      <c r="F752" s="25"/>
    </row>
    <row r="753" spans="1:6" x14ac:dyDescent="0.25">
      <c r="A753" s="16">
        <v>0.52083333333333337</v>
      </c>
      <c r="B753" s="25"/>
      <c r="C753" s="25"/>
      <c r="D753" s="24"/>
      <c r="E753" s="25"/>
      <c r="F753" s="25"/>
    </row>
    <row r="754" spans="1:6" x14ac:dyDescent="0.25">
      <c r="A754" s="16">
        <v>4.1666666666666664E-2</v>
      </c>
      <c r="B754" s="25"/>
      <c r="C754" s="37" t="s">
        <v>282</v>
      </c>
      <c r="D754" s="39" t="s">
        <v>283</v>
      </c>
      <c r="E754" s="37" t="s">
        <v>284</v>
      </c>
      <c r="F754" s="28"/>
    </row>
    <row r="755" spans="1:6" x14ac:dyDescent="0.25">
      <c r="A755" s="16">
        <v>6.25E-2</v>
      </c>
      <c r="B755" s="25"/>
      <c r="C755" s="37" t="s">
        <v>282</v>
      </c>
      <c r="D755" s="39" t="s">
        <v>283</v>
      </c>
      <c r="E755" s="37" t="s">
        <v>284</v>
      </c>
      <c r="F755" s="28"/>
    </row>
    <row r="756" spans="1:6" x14ac:dyDescent="0.25">
      <c r="A756" s="16">
        <v>8.3333333333333329E-2</v>
      </c>
      <c r="B756" s="25"/>
      <c r="C756" s="37" t="s">
        <v>282</v>
      </c>
      <c r="D756" s="39" t="s">
        <v>283</v>
      </c>
      <c r="E756" s="37" t="s">
        <v>284</v>
      </c>
      <c r="F756" s="28"/>
    </row>
    <row r="757" spans="1:6" x14ac:dyDescent="0.25">
      <c r="A757" s="16">
        <v>0.10416666666666667</v>
      </c>
      <c r="B757" s="25"/>
      <c r="C757" s="37" t="s">
        <v>282</v>
      </c>
      <c r="D757" s="39" t="s">
        <v>283</v>
      </c>
      <c r="E757" s="37" t="s">
        <v>284</v>
      </c>
      <c r="F757" s="28"/>
    </row>
    <row r="758" spans="1:6" x14ac:dyDescent="0.25">
      <c r="A758" s="16">
        <v>0.125</v>
      </c>
      <c r="B758" s="25"/>
      <c r="C758" s="25"/>
      <c r="D758" s="28"/>
      <c r="E758" s="25"/>
      <c r="F758" s="28"/>
    </row>
    <row r="759" spans="1:6" x14ac:dyDescent="0.25">
      <c r="A759" s="16">
        <v>0.14583333333333334</v>
      </c>
      <c r="B759" s="25"/>
      <c r="C759" s="25"/>
      <c r="D759" s="28"/>
      <c r="E759" s="25"/>
      <c r="F759" s="28"/>
    </row>
    <row r="760" spans="1:6" ht="15.75" thickBot="1" x14ac:dyDescent="0.3">
      <c r="A760" s="22">
        <v>0.16666666666666666</v>
      </c>
      <c r="B760" s="25"/>
      <c r="C760" s="25"/>
      <c r="D760" s="28"/>
      <c r="E760" s="25"/>
      <c r="F760" s="28"/>
    </row>
    <row r="761" spans="1:6" x14ac:dyDescent="0.25">
      <c r="C761" s="32" t="s">
        <v>285</v>
      </c>
      <c r="D761" s="32" t="s">
        <v>285</v>
      </c>
      <c r="E761" s="32" t="s">
        <v>286</v>
      </c>
    </row>
    <row r="762" spans="1:6" ht="27" thickBot="1" x14ac:dyDescent="0.45">
      <c r="A762" s="20" t="s">
        <v>287</v>
      </c>
    </row>
    <row r="763" spans="1:6" ht="15.75" thickBot="1" x14ac:dyDescent="0.3">
      <c r="A763" s="113"/>
      <c r="B763" s="114" t="s">
        <v>153</v>
      </c>
      <c r="C763" s="114" t="s">
        <v>154</v>
      </c>
      <c r="D763" s="114" t="s">
        <v>155</v>
      </c>
      <c r="E763" s="114" t="s">
        <v>156</v>
      </c>
      <c r="F763" s="114" t="s">
        <v>157</v>
      </c>
    </row>
    <row r="764" spans="1:6" x14ac:dyDescent="0.25">
      <c r="A764" s="15">
        <v>0.33333333333333331</v>
      </c>
      <c r="B764" s="40"/>
      <c r="C764" s="40"/>
      <c r="D764" s="40"/>
      <c r="E764" s="34" t="s">
        <v>288</v>
      </c>
      <c r="F764" s="40"/>
    </row>
    <row r="765" spans="1:6" x14ac:dyDescent="0.25">
      <c r="A765" s="16">
        <v>0.35416666666666669</v>
      </c>
      <c r="B765" s="40"/>
      <c r="C765" s="40"/>
      <c r="D765" s="40"/>
      <c r="E765" s="34" t="s">
        <v>288</v>
      </c>
      <c r="F765" s="40"/>
    </row>
    <row r="766" spans="1:6" x14ac:dyDescent="0.25">
      <c r="A766" s="16">
        <v>0.375</v>
      </c>
      <c r="B766" s="40"/>
      <c r="C766" s="40"/>
      <c r="D766" s="40"/>
      <c r="E766" s="40"/>
      <c r="F766" s="40"/>
    </row>
    <row r="767" spans="1:6" ht="81" customHeight="1" x14ac:dyDescent="0.25">
      <c r="A767" s="16">
        <v>0.39583333333333331</v>
      </c>
      <c r="B767" s="40"/>
      <c r="C767" s="40"/>
      <c r="D767" s="40"/>
      <c r="E767" s="40"/>
      <c r="F767" s="40"/>
    </row>
    <row r="768" spans="1:6" ht="80.25" customHeight="1" x14ac:dyDescent="0.25">
      <c r="A768" s="16">
        <v>0.41666666666666669</v>
      </c>
      <c r="B768" s="40"/>
      <c r="C768" s="40"/>
      <c r="D768" s="40"/>
      <c r="E768" s="40"/>
      <c r="F768" s="40"/>
    </row>
    <row r="769" spans="1:6" x14ac:dyDescent="0.25">
      <c r="A769" s="16">
        <v>0.4375</v>
      </c>
      <c r="B769" s="40"/>
      <c r="C769" s="40"/>
      <c r="D769" s="40"/>
      <c r="E769" s="40"/>
      <c r="F769" s="40"/>
    </row>
    <row r="770" spans="1:6" x14ac:dyDescent="0.25">
      <c r="A770" s="16">
        <v>0.45833333333333331</v>
      </c>
      <c r="B770" s="40"/>
      <c r="C770" s="40"/>
      <c r="D770" s="40"/>
      <c r="E770" s="40"/>
      <c r="F770" s="40"/>
    </row>
    <row r="771" spans="1:6" x14ac:dyDescent="0.25">
      <c r="A771" s="16">
        <v>0.47916666666666669</v>
      </c>
      <c r="B771" s="40"/>
      <c r="C771" s="40"/>
      <c r="D771" s="40"/>
      <c r="E771" s="40"/>
      <c r="F771" s="40"/>
    </row>
    <row r="772" spans="1:6" x14ac:dyDescent="0.25">
      <c r="A772" s="16">
        <v>0.5</v>
      </c>
      <c r="B772" s="40"/>
      <c r="C772" s="40"/>
      <c r="D772" s="40"/>
      <c r="E772" s="40"/>
      <c r="F772" s="40"/>
    </row>
    <row r="773" spans="1:6" x14ac:dyDescent="0.25">
      <c r="A773" s="16">
        <v>0.52083333333333337</v>
      </c>
      <c r="B773" s="40"/>
      <c r="C773" s="40"/>
      <c r="D773" s="40"/>
      <c r="E773" s="40"/>
      <c r="F773" s="40"/>
    </row>
    <row r="774" spans="1:6" x14ac:dyDescent="0.25">
      <c r="A774" s="16">
        <v>4.1666666666666664E-2</v>
      </c>
      <c r="B774" s="40"/>
      <c r="C774" s="40"/>
      <c r="D774" s="40"/>
      <c r="E774" s="40"/>
      <c r="F774" s="40"/>
    </row>
    <row r="775" spans="1:6" x14ac:dyDescent="0.25">
      <c r="A775" s="16">
        <v>6.25E-2</v>
      </c>
      <c r="B775" s="40"/>
      <c r="C775" s="40"/>
      <c r="D775" s="40"/>
      <c r="E775" s="40"/>
      <c r="F775" s="40"/>
    </row>
    <row r="776" spans="1:6" x14ac:dyDescent="0.25">
      <c r="A776" s="16">
        <v>8.3333333333333329E-2</v>
      </c>
      <c r="B776" s="40"/>
      <c r="C776" s="40"/>
      <c r="D776" s="40"/>
      <c r="E776" s="40"/>
      <c r="F776" s="40"/>
    </row>
    <row r="777" spans="1:6" x14ac:dyDescent="0.25">
      <c r="A777" s="16">
        <v>0.10416666666666667</v>
      </c>
      <c r="B777" s="40"/>
      <c r="C777" s="40"/>
      <c r="D777" s="40"/>
      <c r="E777" s="40"/>
      <c r="F777" s="40"/>
    </row>
    <row r="778" spans="1:6" x14ac:dyDescent="0.25">
      <c r="A778" s="16">
        <v>0.125</v>
      </c>
      <c r="B778" s="40"/>
      <c r="C778" s="40"/>
      <c r="D778" s="40"/>
      <c r="E778" s="40"/>
      <c r="F778" s="40"/>
    </row>
    <row r="779" spans="1:6" x14ac:dyDescent="0.25">
      <c r="A779" s="16">
        <v>0.14583333333333334</v>
      </c>
      <c r="B779" s="40"/>
      <c r="C779" s="40"/>
      <c r="D779" s="40"/>
      <c r="E779" s="40"/>
      <c r="F779" s="40"/>
    </row>
    <row r="780" spans="1:6" ht="15.75" thickBot="1" x14ac:dyDescent="0.3">
      <c r="A780" s="22">
        <v>0.16666666666666666</v>
      </c>
      <c r="B780" s="40"/>
      <c r="C780" s="40"/>
      <c r="D780" s="40"/>
      <c r="E780" s="40"/>
      <c r="F780" s="40"/>
    </row>
    <row r="781" spans="1:6" x14ac:dyDescent="0.25">
      <c r="C781" s="1"/>
      <c r="E781" s="32" t="s">
        <v>289</v>
      </c>
    </row>
    <row r="782" spans="1:6" ht="27" thickBot="1" x14ac:dyDescent="0.45">
      <c r="A782" s="20" t="s">
        <v>290</v>
      </c>
    </row>
    <row r="783" spans="1:6" ht="15.75" thickBot="1" x14ac:dyDescent="0.3">
      <c r="A783" s="113"/>
      <c r="B783" s="114" t="s">
        <v>153</v>
      </c>
      <c r="C783" s="114" t="s">
        <v>154</v>
      </c>
      <c r="D783" s="114" t="s">
        <v>155</v>
      </c>
      <c r="E783" s="114" t="s">
        <v>156</v>
      </c>
      <c r="F783" s="114" t="s">
        <v>157</v>
      </c>
    </row>
    <row r="784" spans="1:6" x14ac:dyDescent="0.25">
      <c r="A784" s="15">
        <v>0.33333333333333331</v>
      </c>
      <c r="B784" s="40"/>
      <c r="C784" s="40"/>
      <c r="D784" s="21" t="s">
        <v>291</v>
      </c>
      <c r="E784" s="4" t="s">
        <v>292</v>
      </c>
      <c r="F784" s="40"/>
    </row>
    <row r="785" spans="1:6" x14ac:dyDescent="0.25">
      <c r="A785" s="16">
        <v>0.35416666666666669</v>
      </c>
      <c r="B785" s="40"/>
      <c r="C785" s="40"/>
      <c r="D785" s="21" t="s">
        <v>291</v>
      </c>
      <c r="E785" s="4" t="s">
        <v>292</v>
      </c>
      <c r="F785" s="40"/>
    </row>
    <row r="786" spans="1:6" ht="64.5" x14ac:dyDescent="0.25">
      <c r="A786" s="16">
        <v>0.375</v>
      </c>
      <c r="B786" s="40"/>
      <c r="C786" s="5" t="s">
        <v>293</v>
      </c>
      <c r="D786" s="21" t="s">
        <v>291</v>
      </c>
      <c r="E786" s="4" t="s">
        <v>292</v>
      </c>
      <c r="F786" s="40"/>
    </row>
    <row r="787" spans="1:6" ht="64.5" x14ac:dyDescent="0.25">
      <c r="A787" s="16">
        <v>0.39583333333333331</v>
      </c>
      <c r="B787" s="40"/>
      <c r="C787" s="5" t="s">
        <v>293</v>
      </c>
      <c r="D787" s="21" t="s">
        <v>291</v>
      </c>
      <c r="E787" s="4" t="s">
        <v>292</v>
      </c>
      <c r="F787" s="40"/>
    </row>
    <row r="788" spans="1:6" x14ac:dyDescent="0.25">
      <c r="A788" s="16">
        <v>0.41666666666666669</v>
      </c>
      <c r="B788" s="40"/>
      <c r="C788" s="40"/>
      <c r="D788" s="21" t="s">
        <v>294</v>
      </c>
      <c r="E788" s="4" t="s">
        <v>292</v>
      </c>
      <c r="F788" s="40"/>
    </row>
    <row r="789" spans="1:6" x14ac:dyDescent="0.25">
      <c r="A789" s="16">
        <v>0.4375</v>
      </c>
      <c r="B789" s="40"/>
      <c r="C789" s="40"/>
      <c r="D789" s="21" t="s">
        <v>294</v>
      </c>
      <c r="E789" s="4" t="s">
        <v>292</v>
      </c>
      <c r="F789" s="40"/>
    </row>
    <row r="790" spans="1:6" x14ac:dyDescent="0.25">
      <c r="A790" s="16">
        <v>0.45833333333333331</v>
      </c>
      <c r="B790" s="40"/>
      <c r="C790" s="40"/>
      <c r="D790" s="40"/>
      <c r="E790" s="40"/>
      <c r="F790" s="40"/>
    </row>
    <row r="791" spans="1:6" x14ac:dyDescent="0.25">
      <c r="A791" s="16">
        <v>0.47916666666666669</v>
      </c>
      <c r="B791" s="40"/>
      <c r="C791" s="40"/>
      <c r="D791" s="40"/>
      <c r="E791" s="40"/>
      <c r="F791" s="40"/>
    </row>
    <row r="792" spans="1:6" x14ac:dyDescent="0.25">
      <c r="A792" s="16">
        <v>0.5</v>
      </c>
      <c r="B792" s="40"/>
      <c r="C792" s="40"/>
      <c r="D792" s="40"/>
      <c r="E792" s="40"/>
      <c r="F792" s="40"/>
    </row>
    <row r="793" spans="1:6" x14ac:dyDescent="0.25">
      <c r="A793" s="16">
        <v>0.52083333333333337</v>
      </c>
      <c r="B793" s="40"/>
      <c r="C793" s="40"/>
      <c r="D793" s="40"/>
      <c r="E793" s="40"/>
      <c r="F793" s="40"/>
    </row>
    <row r="794" spans="1:6" x14ac:dyDescent="0.25">
      <c r="A794" s="16">
        <v>4.1666666666666664E-2</v>
      </c>
      <c r="B794" s="40"/>
      <c r="C794" s="40"/>
      <c r="D794" s="40"/>
      <c r="E794" s="4" t="s">
        <v>292</v>
      </c>
      <c r="F794" s="40"/>
    </row>
    <row r="795" spans="1:6" x14ac:dyDescent="0.25">
      <c r="A795" s="16">
        <v>6.25E-2</v>
      </c>
      <c r="B795" s="40"/>
      <c r="C795" s="40"/>
      <c r="D795" s="40"/>
      <c r="E795" s="4" t="s">
        <v>292</v>
      </c>
      <c r="F795" s="40"/>
    </row>
    <row r="796" spans="1:6" x14ac:dyDescent="0.25">
      <c r="A796" s="16">
        <v>8.3333333333333329E-2</v>
      </c>
      <c r="B796" s="40"/>
      <c r="C796" s="40"/>
      <c r="D796" s="40"/>
      <c r="E796" s="40"/>
      <c r="F796" s="40"/>
    </row>
    <row r="797" spans="1:6" x14ac:dyDescent="0.25">
      <c r="A797" s="16">
        <v>0.10416666666666667</v>
      </c>
      <c r="B797" s="40"/>
      <c r="C797" s="40"/>
      <c r="D797" s="40"/>
      <c r="E797" s="40"/>
      <c r="F797" s="40"/>
    </row>
    <row r="798" spans="1:6" x14ac:dyDescent="0.25">
      <c r="A798" s="16">
        <v>0.125</v>
      </c>
      <c r="B798" s="40"/>
      <c r="C798" s="40"/>
      <c r="D798" s="40"/>
      <c r="E798" s="40"/>
      <c r="F798" s="40"/>
    </row>
    <row r="799" spans="1:6" x14ac:dyDescent="0.25">
      <c r="A799" s="16">
        <v>0.14583333333333334</v>
      </c>
      <c r="B799" s="40"/>
      <c r="C799" s="40"/>
      <c r="D799" s="40"/>
      <c r="E799" s="40"/>
      <c r="F799" s="40"/>
    </row>
    <row r="800" spans="1:6" ht="15.75" thickBot="1" x14ac:dyDescent="0.3">
      <c r="A800" s="22">
        <v>0.16666666666666666</v>
      </c>
      <c r="B800" s="40"/>
      <c r="C800" s="40"/>
      <c r="D800" s="40"/>
      <c r="E800" s="40"/>
      <c r="F800" s="40"/>
    </row>
    <row r="801" spans="3:5" ht="26.25" x14ac:dyDescent="0.25">
      <c r="C801" s="1" t="s">
        <v>295</v>
      </c>
      <c r="D801" s="32" t="s">
        <v>296</v>
      </c>
      <c r="E801" s="32" t="s">
        <v>297</v>
      </c>
    </row>
    <row r="802" spans="3:5" x14ac:dyDescent="0.25">
      <c r="C802" s="1"/>
    </row>
  </sheetData>
  <sheetProtection algorithmName="SHA-512" hashValue="hUvNe5aq4Z/MsF022UasH5dFl92/5C9zSV+u5OyXgX2IlrvVp2JLb7kXlmoLkkJBSL9/Zez/eGlwGSMfSw0fMA==" saltValue="3zzsHc6+yiXIBUCULFCGbA==" spinCount="100000" sheet="1" objects="1" scenarios="1"/>
  <hyperlinks>
    <hyperlink ref="D2" r:id="rId1" xr:uid="{00000000-0004-0000-0000-000000000000}"/>
  </hyperlinks>
  <pageMargins left="0.7" right="0.7" top="0.75" bottom="0.75" header="0.3" footer="0.3"/>
  <pageSetup scale="10" fitToWidth="0" orientation="landscape" r:id="rId2"/>
  <rowBreaks count="7" manualBreakCount="7">
    <brk id="88" max="16383" man="1"/>
    <brk id="168" max="16383" man="1"/>
    <brk id="274" max="16383" man="1"/>
    <brk id="355" max="16383" man="1"/>
    <brk id="537" max="16383" man="1"/>
    <brk id="619" max="16383" man="1"/>
    <brk id="700" max="16383" man="1"/>
  </rowBreaks>
  <colBreaks count="1" manualBreakCount="1">
    <brk id="6" max="608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/>
  <dimension ref="A1:I14"/>
  <sheetViews>
    <sheetView zoomScale="60" zoomScaleNormal="60" workbookViewId="0">
      <selection activeCell="A6" sqref="A6"/>
    </sheetView>
  </sheetViews>
  <sheetFormatPr defaultColWidth="30.7109375" defaultRowHeight="50.1" customHeight="1" x14ac:dyDescent="0.25"/>
  <cols>
    <col min="1" max="1" width="40.42578125" customWidth="1"/>
  </cols>
  <sheetData>
    <row r="1" spans="1:9" ht="50.1" customHeight="1" x14ac:dyDescent="0.35">
      <c r="A1" s="496" t="s">
        <v>298</v>
      </c>
      <c r="B1" s="497"/>
      <c r="C1" s="497"/>
      <c r="D1" s="497"/>
      <c r="E1" s="497"/>
      <c r="F1" s="497"/>
      <c r="G1" s="497"/>
      <c r="H1" s="497"/>
      <c r="I1" s="498"/>
    </row>
    <row r="2" spans="1:9" ht="50.1" customHeight="1" x14ac:dyDescent="0.4">
      <c r="A2" s="276" t="s">
        <v>299</v>
      </c>
      <c r="B2" s="277" t="s">
        <v>300</v>
      </c>
      <c r="C2" s="278" t="s">
        <v>301</v>
      </c>
      <c r="D2" s="251" t="s">
        <v>302</v>
      </c>
      <c r="E2" s="251" t="s">
        <v>153</v>
      </c>
      <c r="F2" s="251" t="s">
        <v>154</v>
      </c>
      <c r="G2" s="251" t="s">
        <v>155</v>
      </c>
      <c r="H2" s="251" t="s">
        <v>156</v>
      </c>
      <c r="I2" s="251" t="s">
        <v>157</v>
      </c>
    </row>
    <row r="3" spans="1:9" ht="50.1" customHeight="1" x14ac:dyDescent="0.4">
      <c r="A3" s="270" t="s">
        <v>303</v>
      </c>
      <c r="B3" s="271" t="s">
        <v>304</v>
      </c>
      <c r="C3" s="271">
        <v>3063</v>
      </c>
      <c r="D3" s="275" t="s">
        <v>305</v>
      </c>
      <c r="E3" s="252" t="s">
        <v>306</v>
      </c>
      <c r="F3" s="252" t="s">
        <v>306</v>
      </c>
      <c r="G3" s="252" t="s">
        <v>306</v>
      </c>
      <c r="H3" s="252" t="s">
        <v>306</v>
      </c>
      <c r="I3" s="252" t="s">
        <v>306</v>
      </c>
    </row>
    <row r="4" spans="1:9" ht="50.1" customHeight="1" x14ac:dyDescent="0.3">
      <c r="A4" s="272" t="s">
        <v>307</v>
      </c>
      <c r="B4" s="273"/>
      <c r="C4" s="273"/>
      <c r="D4" s="275" t="s">
        <v>308</v>
      </c>
      <c r="E4" s="252" t="s">
        <v>306</v>
      </c>
      <c r="F4" s="252" t="s">
        <v>306</v>
      </c>
      <c r="G4" s="252" t="s">
        <v>306</v>
      </c>
      <c r="H4" s="252" t="s">
        <v>306</v>
      </c>
      <c r="I4" s="252" t="s">
        <v>306</v>
      </c>
    </row>
    <row r="5" spans="1:9" ht="50.1" customHeight="1" x14ac:dyDescent="0.3">
      <c r="A5" s="272" t="s">
        <v>309</v>
      </c>
      <c r="B5" s="273"/>
      <c r="C5" s="273"/>
      <c r="D5" s="275" t="s">
        <v>310</v>
      </c>
      <c r="E5" s="252" t="s">
        <v>306</v>
      </c>
      <c r="F5" s="252" t="s">
        <v>306</v>
      </c>
      <c r="G5" s="252" t="s">
        <v>306</v>
      </c>
      <c r="H5" s="252" t="s">
        <v>306</v>
      </c>
      <c r="I5" s="252" t="s">
        <v>306</v>
      </c>
    </row>
    <row r="6" spans="1:9" ht="50.1" customHeight="1" x14ac:dyDescent="0.3">
      <c r="A6" s="272" t="s">
        <v>311</v>
      </c>
      <c r="B6" s="273"/>
      <c r="C6" s="273"/>
      <c r="D6" s="275" t="s">
        <v>312</v>
      </c>
      <c r="E6" s="252" t="s">
        <v>306</v>
      </c>
      <c r="F6" s="252" t="s">
        <v>306</v>
      </c>
      <c r="G6" s="252" t="s">
        <v>306</v>
      </c>
      <c r="H6" s="252" t="s">
        <v>306</v>
      </c>
      <c r="I6" s="252" t="s">
        <v>306</v>
      </c>
    </row>
    <row r="7" spans="1:9" ht="50.1" customHeight="1" x14ac:dyDescent="0.3">
      <c r="A7" s="279" t="s">
        <v>313</v>
      </c>
      <c r="B7" s="274" t="s">
        <v>314</v>
      </c>
      <c r="C7" s="273"/>
      <c r="D7" s="275" t="s">
        <v>315</v>
      </c>
      <c r="E7" s="252" t="s">
        <v>306</v>
      </c>
      <c r="F7" s="252" t="s">
        <v>306</v>
      </c>
      <c r="G7" s="252" t="s">
        <v>306</v>
      </c>
      <c r="H7" s="252" t="s">
        <v>306</v>
      </c>
      <c r="I7" s="252" t="s">
        <v>306</v>
      </c>
    </row>
    <row r="8" spans="1:9" ht="50.1" customHeight="1" x14ac:dyDescent="0.3">
      <c r="A8" s="279" t="s">
        <v>316</v>
      </c>
      <c r="B8" s="274" t="s">
        <v>317</v>
      </c>
      <c r="C8" s="273"/>
      <c r="D8" s="275" t="s">
        <v>318</v>
      </c>
      <c r="E8" s="252" t="s">
        <v>306</v>
      </c>
      <c r="F8" s="252" t="s">
        <v>306</v>
      </c>
      <c r="G8" s="252" t="s">
        <v>306</v>
      </c>
      <c r="H8" s="252" t="s">
        <v>306</v>
      </c>
      <c r="I8" s="252" t="s">
        <v>306</v>
      </c>
    </row>
    <row r="9" spans="1:9" ht="50.1" customHeight="1" x14ac:dyDescent="0.3">
      <c r="A9" s="279" t="s">
        <v>319</v>
      </c>
      <c r="B9" s="274" t="s">
        <v>320</v>
      </c>
      <c r="C9" s="273"/>
      <c r="D9" s="275" t="s">
        <v>321</v>
      </c>
      <c r="E9" s="252" t="s">
        <v>306</v>
      </c>
      <c r="F9" s="252" t="s">
        <v>306</v>
      </c>
      <c r="G9" s="252" t="s">
        <v>306</v>
      </c>
      <c r="H9" s="252" t="s">
        <v>306</v>
      </c>
      <c r="I9" s="252" t="s">
        <v>306</v>
      </c>
    </row>
    <row r="10" spans="1:9" ht="50.1" customHeight="1" x14ac:dyDescent="0.3">
      <c r="A10" s="279" t="s">
        <v>322</v>
      </c>
      <c r="B10" s="274" t="s">
        <v>323</v>
      </c>
      <c r="C10" s="273"/>
      <c r="D10" s="275" t="s">
        <v>324</v>
      </c>
      <c r="E10" s="252" t="s">
        <v>306</v>
      </c>
      <c r="F10" s="252" t="s">
        <v>306</v>
      </c>
      <c r="G10" s="252" t="s">
        <v>306</v>
      </c>
      <c r="H10" s="252" t="s">
        <v>306</v>
      </c>
      <c r="I10" s="252" t="s">
        <v>306</v>
      </c>
    </row>
    <row r="11" spans="1:9" ht="50.1" customHeight="1" x14ac:dyDescent="0.3">
      <c r="A11" s="273"/>
      <c r="B11" s="273"/>
      <c r="C11" s="273"/>
      <c r="D11" s="275" t="s">
        <v>325</v>
      </c>
      <c r="E11" s="252" t="s">
        <v>306</v>
      </c>
      <c r="F11" s="252" t="s">
        <v>306</v>
      </c>
      <c r="G11" s="252" t="s">
        <v>306</v>
      </c>
      <c r="H11" s="252" t="s">
        <v>306</v>
      </c>
      <c r="I11" s="252" t="s">
        <v>306</v>
      </c>
    </row>
    <row r="12" spans="1:9" ht="50.1" customHeight="1" x14ac:dyDescent="0.25">
      <c r="D12" s="147"/>
    </row>
    <row r="13" spans="1:9" ht="50.1" customHeight="1" x14ac:dyDescent="0.25">
      <c r="D13" s="147"/>
    </row>
    <row r="14" spans="1:9" ht="50.1" customHeight="1" x14ac:dyDescent="0.25">
      <c r="D14" s="147"/>
    </row>
  </sheetData>
  <sheetProtection algorithmName="SHA-512" hashValue="1hC0eFlnx48y/Q1hpo7aFBWUOBpxJkFibVZKYTbcaVHO7gnJXEDFvLpdoN4bry4MNNoU0+ZIRoS/SvQHtD0rSA==" saltValue="cc0K4sAaDTSurXI721KCTA==" spinCount="100000" sheet="1" objects="1" scenarios="1"/>
  <mergeCells count="1">
    <mergeCell ref="A1:I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D7AC7-ADC1-4023-8B14-57B50E80D050}">
  <sheetPr codeName="Sheet3"/>
  <dimension ref="A1:X199"/>
  <sheetViews>
    <sheetView zoomScale="60" zoomScaleNormal="60" workbookViewId="0">
      <selection activeCell="A160" sqref="A160:I237"/>
    </sheetView>
  </sheetViews>
  <sheetFormatPr defaultRowHeight="15" x14ac:dyDescent="0.25"/>
  <cols>
    <col min="1" max="1" width="31.42578125" customWidth="1"/>
    <col min="2" max="2" width="43.42578125" customWidth="1"/>
    <col min="3" max="3" width="28.28515625" customWidth="1"/>
    <col min="4" max="4" width="22.85546875" customWidth="1"/>
    <col min="5" max="5" width="28.140625" customWidth="1"/>
    <col min="6" max="6" width="27" customWidth="1"/>
    <col min="7" max="7" width="23.85546875" customWidth="1"/>
    <col min="8" max="8" width="15.7109375" customWidth="1"/>
    <col min="9" max="9" width="36.7109375" customWidth="1"/>
    <col min="10" max="10" width="30.5703125" customWidth="1"/>
    <col min="11" max="11" width="35.42578125" customWidth="1"/>
    <col min="12" max="12" width="23.140625" customWidth="1"/>
    <col min="13" max="13" width="33.7109375" customWidth="1"/>
    <col min="14" max="15" width="15.7109375" customWidth="1"/>
    <col min="16" max="16" width="17.7109375" customWidth="1"/>
    <col min="17" max="17" width="22.85546875" customWidth="1"/>
    <col min="18" max="153" width="15.7109375" customWidth="1"/>
  </cols>
  <sheetData>
    <row r="1" spans="1:24" ht="35.1" customHeight="1" x14ac:dyDescent="0.4">
      <c r="A1" s="172" t="s">
        <v>326</v>
      </c>
      <c r="B1" s="500" t="s">
        <v>327</v>
      </c>
      <c r="C1" s="500"/>
      <c r="D1" s="174" t="s">
        <v>328</v>
      </c>
      <c r="E1" s="500" t="s">
        <v>329</v>
      </c>
      <c r="F1" s="500"/>
      <c r="G1" s="500"/>
      <c r="H1" s="500"/>
      <c r="I1" s="195"/>
      <c r="J1" s="194" t="s">
        <v>330</v>
      </c>
      <c r="K1" s="195"/>
      <c r="L1" s="195"/>
    </row>
    <row r="2" spans="1:24" ht="35.1" customHeight="1" x14ac:dyDescent="0.4">
      <c r="A2" s="173" t="s">
        <v>331</v>
      </c>
      <c r="B2" s="194" t="s">
        <v>332</v>
      </c>
      <c r="C2" s="194"/>
      <c r="D2" s="194"/>
      <c r="E2" s="500" t="s">
        <v>333</v>
      </c>
      <c r="F2" s="500"/>
      <c r="G2" s="500"/>
      <c r="H2" s="195"/>
      <c r="I2" s="195"/>
      <c r="J2" s="501" t="s">
        <v>334</v>
      </c>
      <c r="K2" s="501"/>
      <c r="L2" s="501"/>
      <c r="M2" s="501"/>
      <c r="N2" s="501"/>
      <c r="O2" s="501"/>
      <c r="P2" s="501"/>
      <c r="Q2" s="501"/>
    </row>
    <row r="3" spans="1:24" ht="35.1" customHeight="1" x14ac:dyDescent="0.35">
      <c r="N3" s="502"/>
      <c r="O3" s="502"/>
      <c r="U3" s="292"/>
    </row>
    <row r="4" spans="1:24" ht="35.1" customHeight="1" x14ac:dyDescent="0.4">
      <c r="B4" s="300"/>
      <c r="E4" s="309"/>
      <c r="K4" s="308"/>
      <c r="M4" s="327" t="s">
        <v>335</v>
      </c>
    </row>
    <row r="5" spans="1:24" ht="35.1" customHeight="1" x14ac:dyDescent="0.35">
      <c r="A5" s="330" t="s">
        <v>336</v>
      </c>
      <c r="B5" s="115" t="s">
        <v>337</v>
      </c>
      <c r="C5" s="115" t="s">
        <v>338</v>
      </c>
      <c r="D5" s="115" t="s">
        <v>339</v>
      </c>
      <c r="E5" s="115"/>
      <c r="F5" s="115"/>
      <c r="H5" s="329" t="s">
        <v>340</v>
      </c>
      <c r="I5" s="115" t="s">
        <v>341</v>
      </c>
      <c r="J5" s="115" t="s">
        <v>342</v>
      </c>
      <c r="K5" s="115" t="s">
        <v>339</v>
      </c>
      <c r="L5" s="115"/>
      <c r="M5" s="115"/>
    </row>
    <row r="6" spans="1:24" ht="35.1" customHeight="1" x14ac:dyDescent="0.3">
      <c r="A6" s="116"/>
      <c r="B6" s="117" t="s">
        <v>153</v>
      </c>
      <c r="C6" s="122" t="s">
        <v>154</v>
      </c>
      <c r="D6" s="122" t="s">
        <v>155</v>
      </c>
      <c r="E6" s="122" t="s">
        <v>156</v>
      </c>
      <c r="F6" s="122" t="s">
        <v>157</v>
      </c>
      <c r="H6" s="116"/>
      <c r="I6" s="117" t="s">
        <v>153</v>
      </c>
      <c r="J6" s="122" t="s">
        <v>154</v>
      </c>
      <c r="K6" s="122" t="s">
        <v>155</v>
      </c>
      <c r="L6" s="122" t="s">
        <v>156</v>
      </c>
      <c r="M6" s="122" t="s">
        <v>157</v>
      </c>
      <c r="N6" s="112"/>
      <c r="U6" s="112"/>
      <c r="V6" s="112"/>
      <c r="W6" s="112"/>
      <c r="X6" s="112"/>
    </row>
    <row r="7" spans="1:24" ht="35.1" customHeight="1" x14ac:dyDescent="0.25">
      <c r="A7" s="118" t="s">
        <v>343</v>
      </c>
      <c r="B7" s="262" t="s">
        <v>344</v>
      </c>
      <c r="C7" s="262" t="s">
        <v>344</v>
      </c>
      <c r="D7" s="211" t="s">
        <v>345</v>
      </c>
      <c r="E7" s="261" t="s">
        <v>346</v>
      </c>
      <c r="F7" s="211" t="s">
        <v>345</v>
      </c>
      <c r="H7" s="118" t="s">
        <v>343</v>
      </c>
      <c r="I7" s="211" t="s">
        <v>345</v>
      </c>
      <c r="J7" s="258"/>
      <c r="K7" s="399" t="s">
        <v>347</v>
      </c>
      <c r="L7" s="399" t="s">
        <v>347</v>
      </c>
      <c r="M7" s="324" t="s">
        <v>348</v>
      </c>
    </row>
    <row r="8" spans="1:24" ht="35.1" customHeight="1" x14ac:dyDescent="0.25">
      <c r="A8" s="118" t="s">
        <v>349</v>
      </c>
      <c r="B8" s="262" t="s">
        <v>344</v>
      </c>
      <c r="C8" s="262" t="s">
        <v>344</v>
      </c>
      <c r="D8" s="211" t="s">
        <v>350</v>
      </c>
      <c r="E8" s="261" t="s">
        <v>346</v>
      </c>
      <c r="F8" s="211" t="s">
        <v>350</v>
      </c>
      <c r="H8" s="118" t="s">
        <v>349</v>
      </c>
      <c r="I8" s="211" t="s">
        <v>350</v>
      </c>
      <c r="J8" s="260"/>
      <c r="K8" s="399" t="s">
        <v>347</v>
      </c>
      <c r="L8" s="399" t="s">
        <v>347</v>
      </c>
      <c r="M8" s="324" t="s">
        <v>348</v>
      </c>
    </row>
    <row r="9" spans="1:24" ht="35.1" customHeight="1" x14ac:dyDescent="0.25">
      <c r="A9" s="118" t="s">
        <v>305</v>
      </c>
      <c r="B9" s="262" t="s">
        <v>344</v>
      </c>
      <c r="C9" s="262" t="s">
        <v>344</v>
      </c>
      <c r="D9" s="211" t="s">
        <v>345</v>
      </c>
      <c r="E9" s="261" t="s">
        <v>346</v>
      </c>
      <c r="F9" s="211" t="s">
        <v>350</v>
      </c>
      <c r="H9" s="118" t="s">
        <v>305</v>
      </c>
      <c r="I9" s="211" t="s">
        <v>350</v>
      </c>
      <c r="J9" s="399" t="s">
        <v>347</v>
      </c>
      <c r="K9" s="399" t="s">
        <v>347</v>
      </c>
      <c r="L9" s="211" t="s">
        <v>347</v>
      </c>
      <c r="M9" s="324" t="s">
        <v>348</v>
      </c>
      <c r="V9" s="112"/>
    </row>
    <row r="10" spans="1:24" ht="35.1" customHeight="1" x14ac:dyDescent="0.25">
      <c r="A10" s="118" t="s">
        <v>308</v>
      </c>
      <c r="B10" s="262" t="s">
        <v>344</v>
      </c>
      <c r="C10" s="262" t="s">
        <v>344</v>
      </c>
      <c r="D10" s="211" t="s">
        <v>345</v>
      </c>
      <c r="E10" s="261" t="s">
        <v>346</v>
      </c>
      <c r="F10" s="211" t="s">
        <v>350</v>
      </c>
      <c r="H10" s="118" t="s">
        <v>308</v>
      </c>
      <c r="I10" s="211" t="s">
        <v>350</v>
      </c>
      <c r="J10" s="211" t="s">
        <v>348</v>
      </c>
      <c r="K10" s="399" t="s">
        <v>347</v>
      </c>
      <c r="L10" s="211" t="s">
        <v>347</v>
      </c>
      <c r="M10" s="324" t="s">
        <v>348</v>
      </c>
    </row>
    <row r="11" spans="1:24" ht="35.1" customHeight="1" x14ac:dyDescent="0.25">
      <c r="A11" s="118" t="s">
        <v>310</v>
      </c>
      <c r="B11" s="262" t="s">
        <v>344</v>
      </c>
      <c r="C11" s="262" t="s">
        <v>344</v>
      </c>
      <c r="D11" s="398" t="s">
        <v>351</v>
      </c>
      <c r="E11" s="261" t="s">
        <v>346</v>
      </c>
      <c r="F11" s="301" t="s">
        <v>351</v>
      </c>
      <c r="H11" s="118" t="s">
        <v>310</v>
      </c>
      <c r="I11" s="398" t="s">
        <v>351</v>
      </c>
      <c r="J11" s="211" t="s">
        <v>348</v>
      </c>
      <c r="L11" s="399" t="s">
        <v>347</v>
      </c>
      <c r="M11" s="211" t="s">
        <v>348</v>
      </c>
    </row>
    <row r="12" spans="1:24" ht="35.1" customHeight="1" x14ac:dyDescent="0.25">
      <c r="A12" s="118" t="s">
        <v>312</v>
      </c>
      <c r="B12" s="262" t="s">
        <v>344</v>
      </c>
      <c r="C12" s="262" t="s">
        <v>344</v>
      </c>
      <c r="D12" s="398" t="s">
        <v>351</v>
      </c>
      <c r="E12" s="261" t="s">
        <v>346</v>
      </c>
      <c r="F12" s="301" t="s">
        <v>351</v>
      </c>
      <c r="H12" s="118" t="s">
        <v>312</v>
      </c>
      <c r="I12" s="398" t="s">
        <v>351</v>
      </c>
      <c r="J12" s="211" t="s">
        <v>348</v>
      </c>
      <c r="L12" s="399" t="s">
        <v>347</v>
      </c>
      <c r="M12" s="211" t="s">
        <v>348</v>
      </c>
    </row>
    <row r="13" spans="1:24" ht="35.1" customHeight="1" x14ac:dyDescent="0.25">
      <c r="A13" s="118" t="s">
        <v>315</v>
      </c>
      <c r="B13" s="262" t="s">
        <v>344</v>
      </c>
      <c r="C13" s="262" t="s">
        <v>344</v>
      </c>
      <c r="D13" s="398" t="s">
        <v>351</v>
      </c>
      <c r="E13" s="301" t="s">
        <v>351</v>
      </c>
      <c r="F13" s="301" t="s">
        <v>351</v>
      </c>
      <c r="H13" s="118" t="s">
        <v>315</v>
      </c>
      <c r="I13" s="398" t="s">
        <v>351</v>
      </c>
      <c r="J13" s="211" t="s">
        <v>348</v>
      </c>
      <c r="K13" s="259"/>
      <c r="L13" s="399" t="s">
        <v>347</v>
      </c>
      <c r="M13" s="211" t="s">
        <v>348</v>
      </c>
    </row>
    <row r="14" spans="1:24" ht="35.1" customHeight="1" x14ac:dyDescent="0.25">
      <c r="A14" s="118" t="s">
        <v>352</v>
      </c>
      <c r="B14" s="262" t="s">
        <v>344</v>
      </c>
      <c r="C14" s="262" t="s">
        <v>344</v>
      </c>
      <c r="D14" s="398" t="s">
        <v>351</v>
      </c>
      <c r="E14" s="301" t="s">
        <v>351</v>
      </c>
      <c r="F14" s="301" t="s">
        <v>351</v>
      </c>
      <c r="H14" s="118" t="s">
        <v>352</v>
      </c>
      <c r="I14" s="398" t="s">
        <v>351</v>
      </c>
      <c r="J14" s="211" t="s">
        <v>348</v>
      </c>
      <c r="K14" s="259"/>
      <c r="L14" s="399" t="s">
        <v>347</v>
      </c>
      <c r="M14" s="211" t="s">
        <v>348</v>
      </c>
    </row>
    <row r="15" spans="1:24" ht="35.1" customHeight="1" x14ac:dyDescent="0.25">
      <c r="A15" s="118" t="s">
        <v>353</v>
      </c>
      <c r="B15" s="499" t="s">
        <v>354</v>
      </c>
      <c r="C15" s="499"/>
      <c r="D15" s="499"/>
      <c r="E15" s="499"/>
      <c r="F15" s="499"/>
      <c r="H15" s="118" t="s">
        <v>353</v>
      </c>
      <c r="I15" s="499" t="s">
        <v>354</v>
      </c>
      <c r="J15" s="499"/>
      <c r="K15" s="499"/>
      <c r="L15" s="499"/>
      <c r="M15" s="499"/>
    </row>
    <row r="16" spans="1:24" ht="35.1" customHeight="1" x14ac:dyDescent="0.25">
      <c r="A16" s="118" t="s">
        <v>355</v>
      </c>
      <c r="B16" s="499"/>
      <c r="C16" s="499"/>
      <c r="D16" s="499"/>
      <c r="E16" s="499"/>
      <c r="F16" s="499"/>
      <c r="H16" s="118" t="s">
        <v>355</v>
      </c>
      <c r="I16" s="499"/>
      <c r="J16" s="499"/>
      <c r="K16" s="499"/>
      <c r="L16" s="499"/>
      <c r="M16" s="499"/>
    </row>
    <row r="17" spans="1:17" ht="35.1" customHeight="1" x14ac:dyDescent="0.25">
      <c r="A17" s="118" t="s">
        <v>318</v>
      </c>
      <c r="B17" s="211" t="s">
        <v>345</v>
      </c>
      <c r="C17" s="299"/>
      <c r="D17" s="328" t="s">
        <v>346</v>
      </c>
      <c r="E17" s="413"/>
      <c r="F17" s="261" t="s">
        <v>346</v>
      </c>
      <c r="H17" s="118" t="s">
        <v>318</v>
      </c>
      <c r="I17" s="211" t="s">
        <v>348</v>
      </c>
      <c r="J17" s="211" t="s">
        <v>348</v>
      </c>
      <c r="K17" s="211" t="s">
        <v>350</v>
      </c>
      <c r="L17" s="292"/>
      <c r="M17" s="211" t="s">
        <v>356</v>
      </c>
    </row>
    <row r="18" spans="1:17" ht="35.1" customHeight="1" x14ac:dyDescent="0.25">
      <c r="A18" s="118" t="s">
        <v>321</v>
      </c>
      <c r="B18" s="211" t="s">
        <v>350</v>
      </c>
      <c r="C18" s="299"/>
      <c r="D18" s="328" t="s">
        <v>346</v>
      </c>
      <c r="E18" s="413"/>
      <c r="F18" s="261" t="s">
        <v>346</v>
      </c>
      <c r="H18" s="118" t="s">
        <v>321</v>
      </c>
      <c r="I18" s="211" t="s">
        <v>348</v>
      </c>
      <c r="J18" s="211" t="s">
        <v>348</v>
      </c>
      <c r="K18" s="211" t="s">
        <v>350</v>
      </c>
      <c r="L18" s="299"/>
      <c r="M18" s="211" t="s">
        <v>356</v>
      </c>
    </row>
    <row r="19" spans="1:17" ht="35.1" customHeight="1" x14ac:dyDescent="0.25">
      <c r="A19" s="118" t="s">
        <v>324</v>
      </c>
      <c r="B19" s="211" t="s">
        <v>350</v>
      </c>
      <c r="C19" s="299"/>
      <c r="D19" s="328" t="s">
        <v>346</v>
      </c>
      <c r="E19" s="413"/>
      <c r="F19" s="261" t="s">
        <v>346</v>
      </c>
      <c r="H19" s="118" t="s">
        <v>324</v>
      </c>
      <c r="I19" s="211" t="s">
        <v>348</v>
      </c>
      <c r="J19" s="211" t="s">
        <v>348</v>
      </c>
      <c r="K19" s="211" t="s">
        <v>350</v>
      </c>
      <c r="L19" s="258"/>
      <c r="M19" s="211" t="s">
        <v>356</v>
      </c>
    </row>
    <row r="20" spans="1:17" ht="35.1" customHeight="1" x14ac:dyDescent="0.25">
      <c r="A20" s="118" t="s">
        <v>325</v>
      </c>
      <c r="B20" s="213"/>
      <c r="C20" s="299"/>
      <c r="D20" s="328" t="s">
        <v>346</v>
      </c>
      <c r="E20" s="413"/>
      <c r="F20" s="261" t="s">
        <v>346</v>
      </c>
      <c r="H20" s="118" t="s">
        <v>325</v>
      </c>
      <c r="I20" s="211" t="s">
        <v>348</v>
      </c>
      <c r="J20" s="211" t="s">
        <v>348</v>
      </c>
      <c r="K20" s="211" t="s">
        <v>350</v>
      </c>
      <c r="L20" s="299"/>
      <c r="M20" s="211" t="s">
        <v>356</v>
      </c>
    </row>
    <row r="21" spans="1:17" ht="35.1" customHeight="1" x14ac:dyDescent="0.25">
      <c r="A21" s="118" t="s">
        <v>357</v>
      </c>
      <c r="B21" s="213"/>
      <c r="C21" s="262" t="s">
        <v>344</v>
      </c>
      <c r="D21" s="328" t="s">
        <v>346</v>
      </c>
      <c r="E21" s="413"/>
      <c r="F21" s="261" t="s">
        <v>346</v>
      </c>
      <c r="H21" s="118" t="s">
        <v>357</v>
      </c>
      <c r="I21" s="325" t="s">
        <v>348</v>
      </c>
      <c r="J21" s="211" t="s">
        <v>348</v>
      </c>
      <c r="K21" s="398" t="s">
        <v>351</v>
      </c>
      <c r="L21" s="299"/>
      <c r="M21" s="211" t="s">
        <v>356</v>
      </c>
    </row>
    <row r="22" spans="1:17" ht="35.1" customHeight="1" x14ac:dyDescent="0.25">
      <c r="A22" s="118" t="s">
        <v>358</v>
      </c>
      <c r="B22" s="213"/>
      <c r="C22" s="262" t="s">
        <v>344</v>
      </c>
      <c r="D22" s="328" t="s">
        <v>346</v>
      </c>
      <c r="E22" s="413"/>
      <c r="F22" s="261" t="s">
        <v>346</v>
      </c>
      <c r="H22" s="118" t="s">
        <v>358</v>
      </c>
      <c r="I22" s="325" t="s">
        <v>348</v>
      </c>
      <c r="J22" s="211" t="s">
        <v>348</v>
      </c>
      <c r="K22" s="398" t="s">
        <v>351</v>
      </c>
      <c r="L22" s="258"/>
      <c r="M22" s="211" t="s">
        <v>356</v>
      </c>
    </row>
    <row r="23" spans="1:17" ht="35.1" customHeight="1" x14ac:dyDescent="0.35">
      <c r="B23" s="309"/>
      <c r="I23" s="326" t="s">
        <v>359</v>
      </c>
      <c r="J23" s="502"/>
      <c r="K23" s="502"/>
      <c r="Q23" s="292"/>
    </row>
    <row r="24" spans="1:17" ht="35.1" customHeight="1" x14ac:dyDescent="0.25"/>
    <row r="25" spans="1:17" ht="35.1" customHeight="1" x14ac:dyDescent="0.25"/>
    <row r="26" spans="1:17" ht="35.1" customHeight="1" x14ac:dyDescent="0.25"/>
    <row r="27" spans="1:17" ht="35.1" customHeight="1" x14ac:dyDescent="0.25"/>
    <row r="28" spans="1:17" ht="35.1" customHeight="1" x14ac:dyDescent="0.25"/>
    <row r="29" spans="1:17" ht="35.1" customHeight="1" x14ac:dyDescent="0.25"/>
    <row r="30" spans="1:17" ht="35.1" customHeight="1" x14ac:dyDescent="0.25"/>
    <row r="31" spans="1:17" ht="35.1" customHeight="1" x14ac:dyDescent="0.25"/>
    <row r="32" spans="1:17" ht="84.75" customHeight="1" x14ac:dyDescent="0.25"/>
    <row r="33" ht="84" customHeight="1" x14ac:dyDescent="0.25"/>
    <row r="34" ht="75.75" customHeight="1" x14ac:dyDescent="0.25"/>
    <row r="35" ht="99" customHeight="1" x14ac:dyDescent="0.25"/>
    <row r="36" ht="35.1" customHeight="1" x14ac:dyDescent="0.25"/>
    <row r="37" ht="35.1" customHeight="1" x14ac:dyDescent="0.25"/>
    <row r="38" ht="35.1" customHeight="1" x14ac:dyDescent="0.25"/>
    <row r="39" ht="35.1" customHeight="1" x14ac:dyDescent="0.25"/>
    <row r="40" ht="58.5" customHeight="1" x14ac:dyDescent="0.25"/>
    <row r="41" ht="57" customHeight="1" x14ac:dyDescent="0.25"/>
    <row r="42" ht="57" customHeight="1" x14ac:dyDescent="0.25"/>
    <row r="43" ht="85.5" customHeight="1" x14ac:dyDescent="0.25"/>
    <row r="44" ht="35.1" customHeight="1" x14ac:dyDescent="0.25"/>
    <row r="45" ht="35.1" customHeight="1" x14ac:dyDescent="0.25"/>
    <row r="46" ht="35.1" customHeight="1" x14ac:dyDescent="0.25"/>
    <row r="47" ht="35.1" customHeight="1" x14ac:dyDescent="0.25"/>
    <row r="48" ht="35.1" customHeight="1" x14ac:dyDescent="0.25"/>
    <row r="49" ht="35.1" customHeight="1" x14ac:dyDescent="0.25"/>
    <row r="50" ht="66.75" customHeight="1" x14ac:dyDescent="0.25"/>
    <row r="51" ht="35.1" customHeight="1" x14ac:dyDescent="0.25"/>
    <row r="52" ht="35.1" customHeight="1" x14ac:dyDescent="0.25"/>
    <row r="53" ht="35.1" customHeight="1" x14ac:dyDescent="0.25"/>
    <row r="54" ht="35.1" customHeight="1" x14ac:dyDescent="0.25"/>
    <row r="55" ht="35.1" customHeight="1" x14ac:dyDescent="0.25"/>
    <row r="56" ht="35.1" customHeight="1" x14ac:dyDescent="0.25"/>
    <row r="57" ht="35.1" customHeight="1" x14ac:dyDescent="0.25"/>
    <row r="58" ht="35.1" customHeight="1" x14ac:dyDescent="0.25"/>
    <row r="59" ht="35.1" customHeight="1" x14ac:dyDescent="0.25"/>
    <row r="60" ht="35.1" customHeight="1" x14ac:dyDescent="0.25"/>
    <row r="61" ht="35.1" customHeight="1" x14ac:dyDescent="0.25"/>
    <row r="62" ht="35.1" customHeight="1" x14ac:dyDescent="0.25"/>
    <row r="63" ht="35.1" customHeight="1" x14ac:dyDescent="0.25"/>
    <row r="64" ht="35.1" customHeight="1" x14ac:dyDescent="0.25"/>
    <row r="65" ht="35.1" customHeight="1" x14ac:dyDescent="0.25"/>
    <row r="66" ht="35.1" customHeight="1" x14ac:dyDescent="0.25"/>
    <row r="67" ht="35.1" customHeight="1" x14ac:dyDescent="0.25"/>
    <row r="68" ht="35.1" customHeight="1" x14ac:dyDescent="0.25"/>
    <row r="69" ht="35.1" customHeight="1" x14ac:dyDescent="0.25"/>
    <row r="70" ht="35.1" customHeight="1" x14ac:dyDescent="0.25"/>
    <row r="71" ht="35.1" customHeight="1" x14ac:dyDescent="0.25"/>
    <row r="72" ht="35.1" customHeight="1" x14ac:dyDescent="0.25"/>
    <row r="73" ht="35.1" customHeight="1" x14ac:dyDescent="0.25"/>
    <row r="74" ht="35.1" customHeight="1" x14ac:dyDescent="0.25"/>
    <row r="75" ht="35.1" customHeight="1" x14ac:dyDescent="0.25"/>
    <row r="76" ht="35.1" customHeight="1" x14ac:dyDescent="0.25"/>
    <row r="77" ht="35.1" customHeight="1" x14ac:dyDescent="0.25"/>
    <row r="78" ht="35.1" customHeight="1" x14ac:dyDescent="0.25"/>
    <row r="79" ht="35.1" customHeight="1" x14ac:dyDescent="0.25"/>
    <row r="80" ht="35.1" customHeight="1" x14ac:dyDescent="0.25"/>
    <row r="81" ht="35.1" customHeight="1" x14ac:dyDescent="0.25"/>
    <row r="82" ht="35.1" customHeight="1" x14ac:dyDescent="0.25"/>
    <row r="83" ht="35.1" customHeight="1" x14ac:dyDescent="0.25"/>
    <row r="84" ht="35.1" customHeight="1" x14ac:dyDescent="0.25"/>
    <row r="85" ht="35.1" customHeight="1" x14ac:dyDescent="0.25"/>
    <row r="86" ht="35.1" customHeight="1" x14ac:dyDescent="0.25"/>
    <row r="87" ht="35.1" customHeight="1" x14ac:dyDescent="0.25"/>
    <row r="88" ht="35.1" customHeight="1" x14ac:dyDescent="0.25"/>
    <row r="89" ht="35.1" customHeight="1" x14ac:dyDescent="0.25"/>
    <row r="90" ht="35.1" customHeight="1" x14ac:dyDescent="0.25"/>
    <row r="91" ht="35.1" customHeight="1" x14ac:dyDescent="0.25"/>
    <row r="92" ht="35.1" customHeight="1" x14ac:dyDescent="0.25"/>
    <row r="93" ht="35.1" customHeight="1" x14ac:dyDescent="0.25"/>
    <row r="94" ht="35.1" customHeight="1" x14ac:dyDescent="0.25"/>
    <row r="95" ht="35.1" customHeight="1" x14ac:dyDescent="0.25"/>
    <row r="96" ht="35.1" customHeight="1" x14ac:dyDescent="0.25"/>
    <row r="97" ht="35.1" customHeight="1" x14ac:dyDescent="0.25"/>
    <row r="98" ht="35.1" customHeight="1" x14ac:dyDescent="0.25"/>
    <row r="99" ht="35.1" customHeight="1" x14ac:dyDescent="0.25"/>
    <row r="100" ht="35.1" customHeight="1" x14ac:dyDescent="0.25"/>
    <row r="101" ht="35.1" customHeight="1" x14ac:dyDescent="0.25"/>
    <row r="102" ht="35.1" customHeight="1" x14ac:dyDescent="0.25"/>
    <row r="103" ht="35.1" customHeight="1" x14ac:dyDescent="0.25"/>
    <row r="104" ht="35.1" customHeight="1" x14ac:dyDescent="0.25"/>
    <row r="105" ht="39.950000000000003" customHeight="1" x14ac:dyDescent="0.25"/>
    <row r="160" spans="1:6" x14ac:dyDescent="0.25">
      <c r="A160" s="284" t="s">
        <v>360</v>
      </c>
      <c r="B160" s="115" t="s">
        <v>361</v>
      </c>
      <c r="C160" s="115" t="s">
        <v>362</v>
      </c>
      <c r="D160" s="115" t="s">
        <v>339</v>
      </c>
      <c r="E160" s="115"/>
      <c r="F160" s="115"/>
    </row>
    <row r="161" spans="1:6" ht="18.75" x14ac:dyDescent="0.3">
      <c r="A161" s="331" t="s">
        <v>363</v>
      </c>
      <c r="B161" s="117" t="s">
        <v>153</v>
      </c>
      <c r="C161" s="122" t="s">
        <v>154</v>
      </c>
      <c r="D161" s="122" t="s">
        <v>155</v>
      </c>
      <c r="E161" s="122" t="s">
        <v>156</v>
      </c>
      <c r="F161" s="122" t="s">
        <v>157</v>
      </c>
    </row>
    <row r="162" spans="1:6" ht="18" x14ac:dyDescent="0.25">
      <c r="A162" s="118" t="s">
        <v>343</v>
      </c>
      <c r="B162" s="299"/>
      <c r="C162" s="299"/>
      <c r="D162" s="260"/>
      <c r="E162" s="260"/>
      <c r="F162" s="213"/>
    </row>
    <row r="163" spans="1:6" ht="18" x14ac:dyDescent="0.25">
      <c r="A163" s="118" t="s">
        <v>349</v>
      </c>
      <c r="B163" s="299"/>
      <c r="C163" s="299"/>
      <c r="D163" s="260"/>
      <c r="E163" s="260"/>
      <c r="F163" s="213"/>
    </row>
    <row r="164" spans="1:6" ht="18" x14ac:dyDescent="0.25">
      <c r="A164" s="118" t="s">
        <v>305</v>
      </c>
      <c r="B164" s="299"/>
      <c r="C164" s="299"/>
      <c r="D164" s="260"/>
      <c r="E164" s="260"/>
      <c r="F164" s="213"/>
    </row>
    <row r="165" spans="1:6" ht="18" x14ac:dyDescent="0.25">
      <c r="A165" s="118" t="s">
        <v>308</v>
      </c>
      <c r="B165" s="299"/>
      <c r="C165" s="299"/>
      <c r="D165" s="260"/>
      <c r="E165" s="260"/>
      <c r="F165" s="213"/>
    </row>
    <row r="166" spans="1:6" ht="18" x14ac:dyDescent="0.25">
      <c r="A166" s="118" t="s">
        <v>310</v>
      </c>
      <c r="B166" s="299"/>
      <c r="C166" s="299"/>
      <c r="D166" s="260"/>
      <c r="E166" s="260"/>
      <c r="F166" s="213"/>
    </row>
    <row r="167" spans="1:6" ht="18" x14ac:dyDescent="0.25">
      <c r="A167" s="118" t="s">
        <v>312</v>
      </c>
      <c r="B167" s="299"/>
      <c r="C167" s="299"/>
      <c r="D167" s="260"/>
      <c r="E167" s="260"/>
      <c r="F167" s="213"/>
    </row>
    <row r="168" spans="1:6" ht="18" x14ac:dyDescent="0.25">
      <c r="A168" s="118" t="s">
        <v>315</v>
      </c>
      <c r="B168" s="299"/>
      <c r="C168" s="299"/>
      <c r="D168" s="260"/>
      <c r="E168" s="260"/>
      <c r="F168" s="213"/>
    </row>
    <row r="169" spans="1:6" ht="18" x14ac:dyDescent="0.25">
      <c r="A169" s="118" t="s">
        <v>352</v>
      </c>
      <c r="B169" s="299"/>
      <c r="C169" s="299"/>
      <c r="D169" s="260"/>
      <c r="E169" s="260"/>
      <c r="F169" s="213"/>
    </row>
    <row r="170" spans="1:6" ht="18" x14ac:dyDescent="0.25">
      <c r="A170" s="118" t="s">
        <v>353</v>
      </c>
      <c r="B170" s="499" t="s">
        <v>354</v>
      </c>
      <c r="C170" s="499"/>
      <c r="D170" s="499"/>
      <c r="E170" s="499"/>
      <c r="F170" s="499"/>
    </row>
    <row r="171" spans="1:6" ht="18" x14ac:dyDescent="0.25">
      <c r="A171" s="118" t="s">
        <v>355</v>
      </c>
      <c r="B171" s="499"/>
      <c r="C171" s="499"/>
      <c r="D171" s="499"/>
      <c r="E171" s="499"/>
      <c r="F171" s="499"/>
    </row>
    <row r="172" spans="1:6" ht="18" x14ac:dyDescent="0.25">
      <c r="A172" s="118" t="s">
        <v>318</v>
      </c>
      <c r="B172" s="299"/>
      <c r="C172" s="299"/>
      <c r="D172" s="260"/>
      <c r="E172" s="260"/>
      <c r="F172" s="213"/>
    </row>
    <row r="173" spans="1:6" ht="18" x14ac:dyDescent="0.25">
      <c r="A173" s="118" t="s">
        <v>321</v>
      </c>
      <c r="B173" s="299"/>
      <c r="C173" s="299"/>
      <c r="D173" s="260"/>
      <c r="E173" s="260"/>
      <c r="F173" s="213"/>
    </row>
    <row r="174" spans="1:6" ht="18" x14ac:dyDescent="0.25">
      <c r="A174" s="118" t="s">
        <v>324</v>
      </c>
      <c r="B174" s="299"/>
      <c r="C174" s="299"/>
      <c r="D174" s="260"/>
      <c r="E174" s="260"/>
      <c r="F174" s="213"/>
    </row>
    <row r="175" spans="1:6" ht="18" x14ac:dyDescent="0.25">
      <c r="A175" s="118" t="s">
        <v>325</v>
      </c>
      <c r="B175" s="299"/>
      <c r="C175" s="299"/>
      <c r="D175" s="260"/>
      <c r="E175" s="260"/>
      <c r="F175" s="213"/>
    </row>
    <row r="176" spans="1:6" ht="18" x14ac:dyDescent="0.25">
      <c r="A176" s="118" t="s">
        <v>357</v>
      </c>
      <c r="B176" s="299"/>
      <c r="C176" s="299"/>
      <c r="D176" s="260"/>
      <c r="E176" s="260"/>
      <c r="F176" s="213"/>
    </row>
    <row r="177" spans="1:6" ht="18" x14ac:dyDescent="0.25">
      <c r="A177" s="118" t="s">
        <v>358</v>
      </c>
      <c r="B177" s="299"/>
      <c r="C177" s="299"/>
      <c r="D177" s="260"/>
      <c r="E177" s="260"/>
      <c r="F177" s="213"/>
    </row>
    <row r="182" spans="1:6" ht="15.75" x14ac:dyDescent="0.25">
      <c r="A182" s="123" t="s">
        <v>364</v>
      </c>
      <c r="B182" s="124" t="s">
        <v>6</v>
      </c>
      <c r="C182" s="124" t="s">
        <v>365</v>
      </c>
      <c r="D182" s="124" t="s">
        <v>339</v>
      </c>
      <c r="E182" s="124"/>
      <c r="F182" s="124"/>
    </row>
    <row r="183" spans="1:6" ht="18.75" x14ac:dyDescent="0.3">
      <c r="A183" s="116"/>
      <c r="B183" s="117" t="s">
        <v>153</v>
      </c>
      <c r="C183" s="117" t="s">
        <v>154</v>
      </c>
      <c r="D183" s="117" t="s">
        <v>155</v>
      </c>
      <c r="E183" s="117" t="s">
        <v>156</v>
      </c>
      <c r="F183" s="117" t="s">
        <v>157</v>
      </c>
    </row>
    <row r="184" spans="1:6" ht="60" x14ac:dyDescent="0.25">
      <c r="A184" s="118" t="s">
        <v>343</v>
      </c>
      <c r="B184" s="150" t="s">
        <v>366</v>
      </c>
      <c r="C184" s="150" t="s">
        <v>366</v>
      </c>
      <c r="D184" s="150" t="s">
        <v>366</v>
      </c>
      <c r="E184" s="150" t="s">
        <v>366</v>
      </c>
      <c r="F184" s="150" t="s">
        <v>366</v>
      </c>
    </row>
    <row r="185" spans="1:6" ht="60" x14ac:dyDescent="0.25">
      <c r="A185" s="118" t="s">
        <v>349</v>
      </c>
      <c r="B185" s="150" t="s">
        <v>366</v>
      </c>
      <c r="C185" s="150" t="s">
        <v>366</v>
      </c>
      <c r="D185" s="150" t="s">
        <v>366</v>
      </c>
      <c r="E185" s="150" t="s">
        <v>366</v>
      </c>
      <c r="F185" s="150" t="s">
        <v>366</v>
      </c>
    </row>
    <row r="186" spans="1:6" ht="60" x14ac:dyDescent="0.25">
      <c r="A186" s="118" t="s">
        <v>305</v>
      </c>
      <c r="B186" s="150" t="s">
        <v>366</v>
      </c>
      <c r="C186" s="150" t="s">
        <v>366</v>
      </c>
      <c r="D186" s="150" t="s">
        <v>366</v>
      </c>
      <c r="E186" s="150" t="s">
        <v>366</v>
      </c>
      <c r="F186" s="150" t="s">
        <v>366</v>
      </c>
    </row>
    <row r="187" spans="1:6" ht="60" x14ac:dyDescent="0.25">
      <c r="A187" s="118" t="s">
        <v>308</v>
      </c>
      <c r="B187" s="150" t="s">
        <v>366</v>
      </c>
      <c r="C187" s="150" t="s">
        <v>366</v>
      </c>
      <c r="D187" s="150" t="s">
        <v>366</v>
      </c>
      <c r="E187" s="150" t="s">
        <v>366</v>
      </c>
      <c r="F187" s="150" t="s">
        <v>366</v>
      </c>
    </row>
    <row r="188" spans="1:6" ht="18" x14ac:dyDescent="0.25">
      <c r="A188" s="118" t="s">
        <v>310</v>
      </c>
      <c r="B188" s="161" t="s">
        <v>367</v>
      </c>
      <c r="C188" s="162" t="s">
        <v>368</v>
      </c>
      <c r="D188" s="162" t="s">
        <v>368</v>
      </c>
      <c r="E188" s="162" t="s">
        <v>368</v>
      </c>
      <c r="F188" s="162" t="s">
        <v>368</v>
      </c>
    </row>
    <row r="189" spans="1:6" ht="18" x14ac:dyDescent="0.25">
      <c r="A189" s="118" t="s">
        <v>312</v>
      </c>
      <c r="B189" s="161" t="s">
        <v>367</v>
      </c>
      <c r="C189" s="162" t="s">
        <v>368</v>
      </c>
      <c r="D189" s="162" t="s">
        <v>368</v>
      </c>
      <c r="E189" s="162" t="s">
        <v>368</v>
      </c>
      <c r="F189" s="162" t="s">
        <v>368</v>
      </c>
    </row>
    <row r="190" spans="1:6" ht="60" x14ac:dyDescent="0.25">
      <c r="A190" s="118" t="s">
        <v>315</v>
      </c>
      <c r="B190" s="161" t="s">
        <v>367</v>
      </c>
      <c r="C190" s="150" t="s">
        <v>366</v>
      </c>
      <c r="D190" s="150" t="s">
        <v>366</v>
      </c>
      <c r="E190" s="150" t="s">
        <v>366</v>
      </c>
      <c r="F190" s="150" t="s">
        <v>366</v>
      </c>
    </row>
    <row r="191" spans="1:6" ht="60" x14ac:dyDescent="0.25">
      <c r="A191" s="118" t="s">
        <v>352</v>
      </c>
      <c r="B191" s="161" t="s">
        <v>367</v>
      </c>
      <c r="C191" s="150" t="s">
        <v>366</v>
      </c>
      <c r="D191" s="150" t="s">
        <v>366</v>
      </c>
      <c r="E191" s="150" t="s">
        <v>366</v>
      </c>
      <c r="F191" s="150" t="s">
        <v>366</v>
      </c>
    </row>
    <row r="192" spans="1:6" ht="18" x14ac:dyDescent="0.25">
      <c r="A192" s="118" t="s">
        <v>353</v>
      </c>
      <c r="B192" s="499" t="s">
        <v>354</v>
      </c>
      <c r="C192" s="499"/>
      <c r="D192" s="499"/>
      <c r="E192" s="499"/>
      <c r="F192" s="499"/>
    </row>
    <row r="193" spans="1:6" ht="18" x14ac:dyDescent="0.25">
      <c r="A193" s="118" t="s">
        <v>355</v>
      </c>
      <c r="B193" s="499"/>
      <c r="C193" s="499"/>
      <c r="D193" s="499"/>
      <c r="E193" s="499"/>
      <c r="F193" s="499"/>
    </row>
    <row r="194" spans="1:6" ht="18" x14ac:dyDescent="0.25">
      <c r="A194" s="118" t="s">
        <v>318</v>
      </c>
      <c r="B194" s="163" t="s">
        <v>369</v>
      </c>
      <c r="C194" s="163" t="s">
        <v>369</v>
      </c>
      <c r="D194" s="163" t="s">
        <v>369</v>
      </c>
      <c r="E194" s="163" t="s">
        <v>369</v>
      </c>
      <c r="F194" s="163" t="s">
        <v>369</v>
      </c>
    </row>
    <row r="195" spans="1:6" ht="18" x14ac:dyDescent="0.25">
      <c r="A195" s="118" t="s">
        <v>321</v>
      </c>
      <c r="B195" s="163" t="s">
        <v>369</v>
      </c>
      <c r="C195" s="163" t="s">
        <v>369</v>
      </c>
      <c r="D195" s="163" t="s">
        <v>369</v>
      </c>
      <c r="E195" s="163" t="s">
        <v>369</v>
      </c>
      <c r="F195" s="163" t="s">
        <v>369</v>
      </c>
    </row>
    <row r="196" spans="1:6" ht="45" x14ac:dyDescent="0.25">
      <c r="A196" s="118" t="s">
        <v>324</v>
      </c>
      <c r="B196" s="150" t="s">
        <v>366</v>
      </c>
      <c r="C196" s="150" t="s">
        <v>366</v>
      </c>
      <c r="D196" s="161" t="s">
        <v>370</v>
      </c>
      <c r="E196" s="150" t="s">
        <v>366</v>
      </c>
      <c r="F196" s="150" t="s">
        <v>366</v>
      </c>
    </row>
    <row r="197" spans="1:6" ht="45" x14ac:dyDescent="0.25">
      <c r="A197" s="118" t="s">
        <v>325</v>
      </c>
      <c r="B197" s="150" t="s">
        <v>366</v>
      </c>
      <c r="C197" s="150" t="s">
        <v>366</v>
      </c>
      <c r="D197" s="161" t="s">
        <v>370</v>
      </c>
      <c r="E197" s="156" t="s">
        <v>371</v>
      </c>
      <c r="F197" s="150" t="s">
        <v>366</v>
      </c>
    </row>
    <row r="198" spans="1:6" ht="45" x14ac:dyDescent="0.25">
      <c r="A198" s="118" t="s">
        <v>357</v>
      </c>
      <c r="B198" s="150" t="s">
        <v>366</v>
      </c>
      <c r="C198" s="150" t="s">
        <v>366</v>
      </c>
      <c r="D198" s="161" t="s">
        <v>370</v>
      </c>
      <c r="E198" s="156" t="s">
        <v>371</v>
      </c>
      <c r="F198" s="150" t="s">
        <v>366</v>
      </c>
    </row>
    <row r="199" spans="1:6" ht="45" x14ac:dyDescent="0.25">
      <c r="A199" s="118" t="s">
        <v>358</v>
      </c>
      <c r="B199" s="150" t="s">
        <v>366</v>
      </c>
      <c r="C199" s="150" t="s">
        <v>366</v>
      </c>
      <c r="D199" s="161" t="s">
        <v>370</v>
      </c>
      <c r="E199" s="150" t="s">
        <v>366</v>
      </c>
      <c r="F199" s="150" t="s">
        <v>366</v>
      </c>
    </row>
  </sheetData>
  <mergeCells count="11">
    <mergeCell ref="N2:Q2"/>
    <mergeCell ref="J2:M2"/>
    <mergeCell ref="J23:K23"/>
    <mergeCell ref="N3:O3"/>
    <mergeCell ref="I15:M16"/>
    <mergeCell ref="B170:F171"/>
    <mergeCell ref="B1:C1"/>
    <mergeCell ref="B192:F193"/>
    <mergeCell ref="E2:G2"/>
    <mergeCell ref="E1:H1"/>
    <mergeCell ref="B15:F1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141E7-B914-4BB2-AD30-C7170ABE7A92}">
  <sheetPr codeName="Sheet8"/>
  <dimension ref="A1:AC105"/>
  <sheetViews>
    <sheetView zoomScale="40" zoomScaleNormal="40" zoomScaleSheetLayoutView="10" workbookViewId="0">
      <selection activeCell="L25" sqref="L25"/>
    </sheetView>
  </sheetViews>
  <sheetFormatPr defaultRowHeight="21" x14ac:dyDescent="0.35"/>
  <cols>
    <col min="1" max="1" width="19.7109375" style="216" customWidth="1"/>
    <col min="2" max="2" width="30.42578125" style="216" customWidth="1"/>
    <col min="3" max="3" width="38.28515625" style="216" customWidth="1"/>
    <col min="4" max="4" width="39.7109375" style="216" customWidth="1"/>
    <col min="5" max="5" width="27.28515625" style="216" customWidth="1"/>
    <col min="6" max="6" width="37.42578125" style="216" customWidth="1"/>
    <col min="7" max="7" width="34.5703125" style="216" customWidth="1"/>
    <col min="8" max="8" width="26.28515625" style="216" customWidth="1"/>
    <col min="9" max="9" width="42.85546875" style="216" customWidth="1"/>
    <col min="10" max="10" width="33.140625" style="216" customWidth="1"/>
    <col min="11" max="11" width="32.140625" style="216" customWidth="1"/>
    <col min="12" max="12" width="35.140625" style="216" customWidth="1"/>
    <col min="13" max="13" width="42" style="216" customWidth="1"/>
    <col min="14" max="14" width="15.7109375" style="216" customWidth="1"/>
    <col min="15" max="15" width="23.42578125" style="216" customWidth="1"/>
    <col min="16" max="17" width="31.42578125" style="216" customWidth="1"/>
    <col min="18" max="18" width="32.28515625" style="216" customWidth="1"/>
    <col min="19" max="19" width="48.85546875" style="216" customWidth="1"/>
    <col min="20" max="20" width="32" style="216" customWidth="1"/>
    <col min="21" max="21" width="15.7109375" style="216" customWidth="1"/>
    <col min="22" max="22" width="20.7109375" style="216" customWidth="1"/>
    <col min="23" max="23" width="33.5703125" style="216" customWidth="1"/>
    <col min="24" max="24" width="24.28515625" style="216" customWidth="1"/>
    <col min="25" max="25" width="31.140625" style="216" customWidth="1"/>
    <col min="26" max="26" width="23.7109375" style="216" customWidth="1"/>
    <col min="27" max="153" width="15.7109375" style="216" customWidth="1"/>
    <col min="154" max="16384" width="9.140625" style="216"/>
  </cols>
  <sheetData>
    <row r="1" spans="1:29" ht="35.1" customHeight="1" x14ac:dyDescent="0.35">
      <c r="A1" s="215" t="s">
        <v>326</v>
      </c>
      <c r="B1" s="509" t="s">
        <v>686</v>
      </c>
      <c r="C1" s="509"/>
      <c r="G1" s="317" t="s">
        <v>328</v>
      </c>
      <c r="H1" s="201" t="s">
        <v>687</v>
      </c>
      <c r="I1" s="201"/>
      <c r="P1" s="201" t="s">
        <v>330</v>
      </c>
      <c r="Q1" s="201"/>
      <c r="R1" s="217"/>
      <c r="S1" s="217"/>
      <c r="T1" s="217"/>
      <c r="U1" s="217"/>
      <c r="V1" s="217"/>
    </row>
    <row r="2" spans="1:29" ht="35.1" customHeight="1" x14ac:dyDescent="0.4">
      <c r="A2" s="218" t="s">
        <v>331</v>
      </c>
      <c r="B2" s="201" t="s">
        <v>688</v>
      </c>
      <c r="C2" s="201"/>
      <c r="E2" s="315"/>
      <c r="G2" s="201" t="s">
        <v>689</v>
      </c>
      <c r="H2" s="201"/>
      <c r="I2" s="201"/>
      <c r="J2" s="217"/>
      <c r="K2" s="217"/>
      <c r="L2" s="217"/>
      <c r="M2" s="217"/>
      <c r="N2" s="217"/>
      <c r="P2" s="510" t="s">
        <v>334</v>
      </c>
      <c r="Q2" s="510"/>
      <c r="R2" s="510"/>
      <c r="S2" s="510"/>
    </row>
    <row r="3" spans="1:29" ht="35.1" customHeight="1" x14ac:dyDescent="0.35"/>
    <row r="4" spans="1:29" ht="35.1" customHeight="1" x14ac:dyDescent="0.5">
      <c r="I4" s="370" t="s">
        <v>690</v>
      </c>
      <c r="K4" s="316"/>
      <c r="M4" s="306"/>
      <c r="P4" s="312"/>
      <c r="S4" s="313"/>
      <c r="T4" s="306"/>
    </row>
    <row r="5" spans="1:29" ht="35.1" customHeight="1" x14ac:dyDescent="0.35">
      <c r="A5" s="219" t="s">
        <v>691</v>
      </c>
      <c r="B5" s="219" t="s">
        <v>692</v>
      </c>
      <c r="C5" s="219" t="s">
        <v>693</v>
      </c>
      <c r="D5" s="219" t="s">
        <v>694</v>
      </c>
      <c r="E5" s="219"/>
      <c r="F5" s="219"/>
      <c r="H5" s="219" t="s">
        <v>695</v>
      </c>
      <c r="I5" s="219" t="s">
        <v>696</v>
      </c>
      <c r="J5" s="219" t="s">
        <v>697</v>
      </c>
      <c r="K5" s="219" t="s">
        <v>698</v>
      </c>
      <c r="L5" s="219"/>
      <c r="M5" s="219"/>
      <c r="O5" s="219" t="s">
        <v>699</v>
      </c>
      <c r="P5" s="219" t="s">
        <v>700</v>
      </c>
      <c r="Q5" s="219" t="s">
        <v>701</v>
      </c>
      <c r="R5" s="219" t="s">
        <v>702</v>
      </c>
      <c r="S5" s="219"/>
      <c r="T5" s="219"/>
      <c r="V5" s="219" t="s">
        <v>703</v>
      </c>
      <c r="W5" s="219" t="s">
        <v>704</v>
      </c>
      <c r="X5" s="219" t="s">
        <v>705</v>
      </c>
      <c r="Y5" s="219" t="s">
        <v>706</v>
      </c>
      <c r="Z5" s="219"/>
      <c r="AA5" s="219"/>
    </row>
    <row r="6" spans="1:29" ht="35.1" customHeight="1" x14ac:dyDescent="0.35">
      <c r="A6" s="220"/>
      <c r="B6" s="221" t="s">
        <v>153</v>
      </c>
      <c r="C6" s="221" t="s">
        <v>154</v>
      </c>
      <c r="D6" s="221" t="s">
        <v>155</v>
      </c>
      <c r="E6" s="221" t="s">
        <v>156</v>
      </c>
      <c r="F6" s="221" t="s">
        <v>157</v>
      </c>
      <c r="H6" s="220"/>
      <c r="I6" s="221" t="s">
        <v>153</v>
      </c>
      <c r="J6" s="221" t="s">
        <v>154</v>
      </c>
      <c r="K6" s="221" t="s">
        <v>155</v>
      </c>
      <c r="L6" s="221" t="s">
        <v>156</v>
      </c>
      <c r="M6" s="221" t="s">
        <v>157</v>
      </c>
      <c r="N6" s="222"/>
      <c r="O6" s="220"/>
      <c r="P6" s="221" t="s">
        <v>153</v>
      </c>
      <c r="Q6" s="221" t="s">
        <v>154</v>
      </c>
      <c r="R6" s="221" t="s">
        <v>155</v>
      </c>
      <c r="S6" s="221" t="s">
        <v>156</v>
      </c>
      <c r="T6" s="221" t="s">
        <v>157</v>
      </c>
      <c r="U6" s="222"/>
      <c r="V6" s="220"/>
      <c r="W6" s="221" t="s">
        <v>153</v>
      </c>
      <c r="X6" s="221" t="s">
        <v>154</v>
      </c>
      <c r="Y6" s="221" t="s">
        <v>155</v>
      </c>
      <c r="Z6" s="221" t="s">
        <v>156</v>
      </c>
      <c r="AA6" s="221" t="s">
        <v>157</v>
      </c>
      <c r="AB6" s="222"/>
      <c r="AC6" s="222"/>
    </row>
    <row r="7" spans="1:29" ht="48" customHeight="1" x14ac:dyDescent="0.4">
      <c r="A7" s="223" t="s">
        <v>343</v>
      </c>
      <c r="B7" s="288"/>
      <c r="C7" s="365" t="s">
        <v>707</v>
      </c>
      <c r="D7" s="365" t="s">
        <v>707</v>
      </c>
      <c r="E7" s="314"/>
      <c r="F7" s="365" t="s">
        <v>707</v>
      </c>
      <c r="H7" s="223" t="s">
        <v>343</v>
      </c>
      <c r="I7" s="255"/>
      <c r="J7" s="255"/>
      <c r="K7" s="318"/>
      <c r="L7" s="255"/>
      <c r="M7" s="255"/>
      <c r="O7" s="223" t="s">
        <v>343</v>
      </c>
      <c r="P7" s="254"/>
      <c r="Q7" s="374" t="s">
        <v>708</v>
      </c>
      <c r="R7" s="289"/>
      <c r="S7" s="255"/>
      <c r="T7" s="263" t="s">
        <v>709</v>
      </c>
      <c r="V7" s="223" t="s">
        <v>343</v>
      </c>
      <c r="W7" s="364" t="s">
        <v>710</v>
      </c>
      <c r="X7" s="365" t="s">
        <v>710</v>
      </c>
      <c r="Y7" s="365" t="s">
        <v>710</v>
      </c>
      <c r="Z7" s="365" t="s">
        <v>711</v>
      </c>
      <c r="AA7" s="255"/>
    </row>
    <row r="8" spans="1:29" ht="48" customHeight="1" x14ac:dyDescent="0.4">
      <c r="A8" s="223" t="s">
        <v>349</v>
      </c>
      <c r="B8" s="288"/>
      <c r="C8" s="365" t="s">
        <v>707</v>
      </c>
      <c r="D8" s="365" t="s">
        <v>707</v>
      </c>
      <c r="E8" s="255"/>
      <c r="F8" s="365" t="s">
        <v>707</v>
      </c>
      <c r="H8" s="223" t="s">
        <v>349</v>
      </c>
      <c r="I8" s="255"/>
      <c r="J8" s="255"/>
      <c r="K8" s="318"/>
      <c r="L8" s="255"/>
      <c r="M8" s="255"/>
      <c r="O8" s="223" t="s">
        <v>349</v>
      </c>
      <c r="P8" s="254"/>
      <c r="Q8" s="374" t="s">
        <v>708</v>
      </c>
      <c r="R8" s="289"/>
      <c r="S8" s="373" t="s">
        <v>350</v>
      </c>
      <c r="T8" s="263" t="s">
        <v>709</v>
      </c>
      <c r="V8" s="223" t="s">
        <v>349</v>
      </c>
      <c r="W8" s="364" t="s">
        <v>710</v>
      </c>
      <c r="X8" s="365" t="s">
        <v>710</v>
      </c>
      <c r="Y8" s="365" t="s">
        <v>710</v>
      </c>
      <c r="Z8" s="365" t="s">
        <v>711</v>
      </c>
      <c r="AA8" s="255"/>
    </row>
    <row r="9" spans="1:29" ht="48" customHeight="1" x14ac:dyDescent="0.4">
      <c r="A9" s="223" t="s">
        <v>305</v>
      </c>
      <c r="B9" s="288"/>
      <c r="C9" s="365" t="s">
        <v>707</v>
      </c>
      <c r="D9" s="365" t="s">
        <v>707</v>
      </c>
      <c r="E9" s="255"/>
      <c r="F9" s="365" t="s">
        <v>707</v>
      </c>
      <c r="H9" s="223" t="s">
        <v>305</v>
      </c>
      <c r="I9" s="255"/>
      <c r="J9" s="255"/>
      <c r="K9" s="318"/>
      <c r="L9" s="255"/>
      <c r="M9" s="255"/>
      <c r="O9" s="223" t="s">
        <v>305</v>
      </c>
      <c r="P9" s="254"/>
      <c r="Q9" s="255"/>
      <c r="R9" s="289"/>
      <c r="S9" s="373" t="s">
        <v>350</v>
      </c>
      <c r="T9" s="263" t="s">
        <v>709</v>
      </c>
      <c r="V9" s="223" t="s">
        <v>305</v>
      </c>
      <c r="W9" s="364" t="s">
        <v>710</v>
      </c>
      <c r="X9" s="365" t="s">
        <v>710</v>
      </c>
      <c r="Y9" s="365" t="s">
        <v>710</v>
      </c>
      <c r="Z9" s="365" t="s">
        <v>711</v>
      </c>
      <c r="AA9" s="255"/>
    </row>
    <row r="10" spans="1:29" ht="48" customHeight="1" x14ac:dyDescent="0.4">
      <c r="A10" s="223" t="s">
        <v>308</v>
      </c>
      <c r="B10" s="288"/>
      <c r="C10" s="365" t="s">
        <v>707</v>
      </c>
      <c r="D10" s="365" t="s">
        <v>707</v>
      </c>
      <c r="E10" s="255"/>
      <c r="F10" s="365" t="s">
        <v>707</v>
      </c>
      <c r="H10" s="223" t="s">
        <v>308</v>
      </c>
      <c r="I10" s="255"/>
      <c r="J10" s="255"/>
      <c r="K10" s="318"/>
      <c r="L10" s="255"/>
      <c r="M10" s="255"/>
      <c r="O10" s="223" t="s">
        <v>308</v>
      </c>
      <c r="P10" s="254"/>
      <c r="Q10" s="255"/>
      <c r="R10" s="289"/>
      <c r="S10" s="373" t="s">
        <v>350</v>
      </c>
      <c r="T10" s="263" t="s">
        <v>709</v>
      </c>
      <c r="V10" s="223" t="s">
        <v>308</v>
      </c>
      <c r="W10" s="364" t="s">
        <v>710</v>
      </c>
      <c r="X10" s="365" t="s">
        <v>710</v>
      </c>
      <c r="Y10" s="365" t="s">
        <v>710</v>
      </c>
      <c r="Z10" s="365" t="s">
        <v>711</v>
      </c>
      <c r="AA10" s="255"/>
    </row>
    <row r="11" spans="1:29" ht="48" customHeight="1" x14ac:dyDescent="0.4">
      <c r="A11" s="223" t="s">
        <v>712</v>
      </c>
      <c r="B11" s="288"/>
      <c r="C11" s="365" t="s">
        <v>707</v>
      </c>
      <c r="D11" s="365" t="s">
        <v>707</v>
      </c>
      <c r="E11" s="255"/>
      <c r="F11" s="365" t="s">
        <v>707</v>
      </c>
      <c r="H11" s="223" t="s">
        <v>712</v>
      </c>
      <c r="I11" s="255"/>
      <c r="J11" s="320" t="s">
        <v>713</v>
      </c>
      <c r="K11" s="318"/>
      <c r="L11" s="255"/>
      <c r="M11" s="255"/>
      <c r="O11" s="223" t="s">
        <v>712</v>
      </c>
      <c r="P11" s="254"/>
      <c r="Q11" s="255"/>
      <c r="R11" s="289"/>
      <c r="S11" s="373" t="s">
        <v>350</v>
      </c>
      <c r="T11" s="263" t="s">
        <v>709</v>
      </c>
      <c r="V11" s="223" t="s">
        <v>712</v>
      </c>
      <c r="W11" s="364" t="s">
        <v>710</v>
      </c>
      <c r="X11" s="365" t="s">
        <v>710</v>
      </c>
      <c r="Y11" s="365" t="s">
        <v>710</v>
      </c>
      <c r="Z11" s="365" t="s">
        <v>711</v>
      </c>
      <c r="AA11" s="255"/>
    </row>
    <row r="12" spans="1:29" ht="48" customHeight="1" x14ac:dyDescent="0.4">
      <c r="A12" s="223" t="s">
        <v>714</v>
      </c>
      <c r="B12" s="288"/>
      <c r="C12" s="365" t="s">
        <v>707</v>
      </c>
      <c r="D12" s="365" t="s">
        <v>707</v>
      </c>
      <c r="E12" s="255"/>
      <c r="F12" s="365" t="s">
        <v>707</v>
      </c>
      <c r="H12" s="223" t="s">
        <v>714</v>
      </c>
      <c r="I12" s="255"/>
      <c r="J12" s="320" t="s">
        <v>713</v>
      </c>
      <c r="K12" s="320" t="s">
        <v>713</v>
      </c>
      <c r="L12" s="255"/>
      <c r="M12" s="255"/>
      <c r="O12" s="223" t="s">
        <v>714</v>
      </c>
      <c r="P12" s="254"/>
      <c r="Q12" s="255"/>
      <c r="R12" s="289"/>
      <c r="S12" s="255"/>
      <c r="T12" s="263" t="s">
        <v>709</v>
      </c>
      <c r="V12" s="223" t="s">
        <v>714</v>
      </c>
      <c r="W12" s="364" t="s">
        <v>710</v>
      </c>
      <c r="X12" s="365" t="s">
        <v>710</v>
      </c>
      <c r="Y12" s="365" t="s">
        <v>710</v>
      </c>
      <c r="Z12" s="365" t="s">
        <v>711</v>
      </c>
      <c r="AA12" s="255"/>
    </row>
    <row r="13" spans="1:29" ht="48" customHeight="1" x14ac:dyDescent="0.4">
      <c r="A13" s="223" t="s">
        <v>715</v>
      </c>
      <c r="B13" s="288"/>
      <c r="C13" s="365" t="s">
        <v>707</v>
      </c>
      <c r="D13" s="365" t="s">
        <v>707</v>
      </c>
      <c r="E13" s="255"/>
      <c r="F13" s="365" t="s">
        <v>707</v>
      </c>
      <c r="H13" s="223" t="s">
        <v>715</v>
      </c>
      <c r="I13" s="255"/>
      <c r="J13" s="255"/>
      <c r="K13" s="320" t="s">
        <v>713</v>
      </c>
      <c r="L13" s="255"/>
      <c r="M13" s="255"/>
      <c r="O13" s="223" t="s">
        <v>715</v>
      </c>
      <c r="P13" s="254"/>
      <c r="Q13" s="255"/>
      <c r="R13" s="289"/>
      <c r="S13" s="255"/>
      <c r="T13" s="263" t="s">
        <v>709</v>
      </c>
      <c r="V13" s="223" t="s">
        <v>715</v>
      </c>
      <c r="W13" s="364" t="s">
        <v>710</v>
      </c>
      <c r="X13" s="365" t="s">
        <v>710</v>
      </c>
      <c r="Y13" s="365" t="s">
        <v>710</v>
      </c>
      <c r="Z13" s="365" t="s">
        <v>711</v>
      </c>
      <c r="AA13" s="255"/>
    </row>
    <row r="14" spans="1:29" ht="48" customHeight="1" x14ac:dyDescent="0.4">
      <c r="A14" s="223" t="s">
        <v>716</v>
      </c>
      <c r="B14" s="356"/>
      <c r="C14" s="367" t="s">
        <v>707</v>
      </c>
      <c r="D14" s="367" t="s">
        <v>707</v>
      </c>
      <c r="E14" s="357"/>
      <c r="F14" s="367" t="s">
        <v>707</v>
      </c>
      <c r="H14" s="223" t="s">
        <v>716</v>
      </c>
      <c r="I14" s="357"/>
      <c r="J14" s="357"/>
      <c r="K14" s="357"/>
      <c r="L14" s="320" t="s">
        <v>713</v>
      </c>
      <c r="M14" s="357"/>
      <c r="O14" s="223" t="s">
        <v>716</v>
      </c>
      <c r="P14" s="360"/>
      <c r="Q14" s="357"/>
      <c r="R14" s="361"/>
      <c r="S14" s="357"/>
      <c r="T14" s="371" t="s">
        <v>709</v>
      </c>
      <c r="V14" s="223" t="s">
        <v>716</v>
      </c>
      <c r="W14" s="366" t="s">
        <v>710</v>
      </c>
      <c r="X14" s="367" t="s">
        <v>710</v>
      </c>
      <c r="Y14" s="367" t="s">
        <v>710</v>
      </c>
      <c r="Z14" s="367" t="s">
        <v>711</v>
      </c>
      <c r="AA14" s="357"/>
    </row>
    <row r="15" spans="1:29" ht="45" customHeight="1" x14ac:dyDescent="0.35">
      <c r="A15" s="355" t="s">
        <v>353</v>
      </c>
      <c r="B15" s="503" t="s">
        <v>354</v>
      </c>
      <c r="C15" s="504"/>
      <c r="D15" s="504"/>
      <c r="E15" s="504"/>
      <c r="F15" s="505"/>
      <c r="H15" s="355" t="s">
        <v>353</v>
      </c>
      <c r="I15" s="503" t="s">
        <v>354</v>
      </c>
      <c r="J15" s="504"/>
      <c r="K15" s="504"/>
      <c r="L15" s="504"/>
      <c r="M15" s="505"/>
      <c r="O15" s="355" t="s">
        <v>353</v>
      </c>
      <c r="P15" s="503" t="s">
        <v>354</v>
      </c>
      <c r="Q15" s="504"/>
      <c r="R15" s="504"/>
      <c r="S15" s="504"/>
      <c r="T15" s="505"/>
      <c r="V15" s="355" t="s">
        <v>353</v>
      </c>
      <c r="W15" s="503" t="s">
        <v>354</v>
      </c>
      <c r="X15" s="504"/>
      <c r="Y15" s="504"/>
      <c r="Z15" s="504"/>
      <c r="AA15" s="505"/>
    </row>
    <row r="16" spans="1:29" ht="54.75" customHeight="1" x14ac:dyDescent="0.35">
      <c r="A16" s="355" t="s">
        <v>355</v>
      </c>
      <c r="B16" s="506"/>
      <c r="C16" s="507"/>
      <c r="D16" s="507"/>
      <c r="E16" s="507"/>
      <c r="F16" s="508"/>
      <c r="H16" s="355" t="s">
        <v>355</v>
      </c>
      <c r="I16" s="506"/>
      <c r="J16" s="507"/>
      <c r="K16" s="507"/>
      <c r="L16" s="507"/>
      <c r="M16" s="508"/>
      <c r="O16" s="355" t="s">
        <v>355</v>
      </c>
      <c r="P16" s="506"/>
      <c r="Q16" s="507"/>
      <c r="R16" s="507"/>
      <c r="S16" s="507"/>
      <c r="T16" s="508"/>
      <c r="V16" s="355" t="s">
        <v>355</v>
      </c>
      <c r="W16" s="506"/>
      <c r="X16" s="507"/>
      <c r="Y16" s="507"/>
      <c r="Z16" s="507"/>
      <c r="AA16" s="508"/>
    </row>
    <row r="17" spans="1:27" ht="48" customHeight="1" x14ac:dyDescent="0.4">
      <c r="A17" s="223" t="s">
        <v>318</v>
      </c>
      <c r="B17" s="372" t="s">
        <v>711</v>
      </c>
      <c r="C17" s="375" t="s">
        <v>707</v>
      </c>
      <c r="D17" s="375" t="s">
        <v>707</v>
      </c>
      <c r="E17" s="514"/>
      <c r="F17" s="375" t="s">
        <v>707</v>
      </c>
      <c r="H17" s="223" t="s">
        <v>318</v>
      </c>
      <c r="I17" s="368" t="s">
        <v>717</v>
      </c>
      <c r="J17" s="359"/>
      <c r="K17" s="359"/>
      <c r="L17" s="359"/>
      <c r="M17" s="359"/>
      <c r="O17" s="223" t="s">
        <v>318</v>
      </c>
      <c r="P17" s="362"/>
      <c r="Q17" s="511"/>
      <c r="R17" s="519" t="s">
        <v>350</v>
      </c>
      <c r="S17" s="362"/>
      <c r="T17" s="358" t="s">
        <v>709</v>
      </c>
      <c r="V17" s="223" t="s">
        <v>318</v>
      </c>
      <c r="W17" s="359"/>
      <c r="X17" s="372" t="s">
        <v>718</v>
      </c>
      <c r="Y17" s="372" t="s">
        <v>718</v>
      </c>
      <c r="Z17" s="363"/>
      <c r="AA17" s="359"/>
    </row>
    <row r="18" spans="1:27" ht="48" customHeight="1" x14ac:dyDescent="0.4">
      <c r="A18" s="223" t="s">
        <v>321</v>
      </c>
      <c r="B18" s="364" t="s">
        <v>711</v>
      </c>
      <c r="C18" s="376" t="s">
        <v>707</v>
      </c>
      <c r="D18" s="376" t="s">
        <v>707</v>
      </c>
      <c r="E18" s="515"/>
      <c r="F18" s="376" t="s">
        <v>707</v>
      </c>
      <c r="H18" s="223" t="s">
        <v>321</v>
      </c>
      <c r="I18" s="369" t="s">
        <v>717</v>
      </c>
      <c r="J18" s="255"/>
      <c r="K18" s="255"/>
      <c r="L18" s="255"/>
      <c r="M18" s="255"/>
      <c r="O18" s="223" t="s">
        <v>321</v>
      </c>
      <c r="P18" s="288"/>
      <c r="Q18" s="512"/>
      <c r="R18" s="518"/>
      <c r="S18" s="288"/>
      <c r="T18" s="263" t="s">
        <v>709</v>
      </c>
      <c r="V18" s="223" t="s">
        <v>321</v>
      </c>
      <c r="W18" s="255"/>
      <c r="X18" s="364" t="s">
        <v>718</v>
      </c>
      <c r="Y18" s="364" t="s">
        <v>718</v>
      </c>
      <c r="Z18" s="256"/>
      <c r="AA18" s="255"/>
    </row>
    <row r="19" spans="1:27" ht="48" customHeight="1" x14ac:dyDescent="0.4">
      <c r="A19" s="223" t="s">
        <v>324</v>
      </c>
      <c r="B19" s="364" t="s">
        <v>711</v>
      </c>
      <c r="C19" s="376" t="s">
        <v>707</v>
      </c>
      <c r="D19" s="376" t="s">
        <v>707</v>
      </c>
      <c r="E19" s="516"/>
      <c r="F19" s="376" t="s">
        <v>707</v>
      </c>
      <c r="H19" s="223" t="s">
        <v>324</v>
      </c>
      <c r="I19" s="369" t="s">
        <v>717</v>
      </c>
      <c r="J19" s="255"/>
      <c r="K19" s="255"/>
      <c r="L19" s="255"/>
      <c r="M19" s="255"/>
      <c r="O19" s="223" t="s">
        <v>324</v>
      </c>
      <c r="P19" s="288"/>
      <c r="Q19" s="517" t="s">
        <v>350</v>
      </c>
      <c r="R19" s="517" t="s">
        <v>350</v>
      </c>
      <c r="S19" s="255"/>
      <c r="T19" s="263" t="s">
        <v>709</v>
      </c>
      <c r="V19" s="223" t="s">
        <v>324</v>
      </c>
      <c r="W19" s="255"/>
      <c r="X19" s="364" t="s">
        <v>718</v>
      </c>
      <c r="Y19" s="364" t="s">
        <v>718</v>
      </c>
      <c r="Z19" s="257"/>
      <c r="AA19" s="255"/>
    </row>
    <row r="20" spans="1:27" ht="48" customHeight="1" x14ac:dyDescent="0.4">
      <c r="A20" s="223" t="s">
        <v>325</v>
      </c>
      <c r="B20" s="364" t="s">
        <v>711</v>
      </c>
      <c r="C20" s="376" t="s">
        <v>707</v>
      </c>
      <c r="D20" s="376" t="s">
        <v>707</v>
      </c>
      <c r="E20" s="515"/>
      <c r="F20" s="376" t="s">
        <v>707</v>
      </c>
      <c r="H20" s="223" t="s">
        <v>325</v>
      </c>
      <c r="I20" s="369" t="s">
        <v>717</v>
      </c>
      <c r="J20" s="255"/>
      <c r="K20" s="255"/>
      <c r="L20" s="255"/>
      <c r="M20" s="255"/>
      <c r="O20" s="223" t="s">
        <v>325</v>
      </c>
      <c r="P20" s="288"/>
      <c r="Q20" s="518"/>
      <c r="R20" s="518"/>
      <c r="S20" s="255"/>
      <c r="T20" s="263" t="s">
        <v>709</v>
      </c>
      <c r="V20" s="223" t="s">
        <v>325</v>
      </c>
      <c r="W20" s="255"/>
      <c r="X20" s="364" t="s">
        <v>718</v>
      </c>
      <c r="Y20" s="364" t="s">
        <v>718</v>
      </c>
      <c r="Z20" s="257"/>
      <c r="AA20" s="255"/>
    </row>
    <row r="21" spans="1:27" ht="48" customHeight="1" x14ac:dyDescent="0.4">
      <c r="A21" s="223" t="s">
        <v>357</v>
      </c>
      <c r="B21" s="377"/>
      <c r="C21" s="376" t="s">
        <v>707</v>
      </c>
      <c r="D21" s="376" t="s">
        <v>707</v>
      </c>
      <c r="E21" s="378"/>
      <c r="F21" s="376" t="s">
        <v>707</v>
      </c>
      <c r="H21" s="223" t="s">
        <v>357</v>
      </c>
      <c r="I21" s="369" t="s">
        <v>717</v>
      </c>
      <c r="J21" s="255"/>
      <c r="K21" s="320" t="s">
        <v>713</v>
      </c>
      <c r="L21" s="255"/>
      <c r="M21" s="255"/>
      <c r="O21" s="223" t="s">
        <v>357</v>
      </c>
      <c r="P21" s="288"/>
      <c r="Q21" s="517" t="s">
        <v>350</v>
      </c>
      <c r="R21" s="289"/>
      <c r="S21" s="255"/>
      <c r="T21" s="263" t="s">
        <v>709</v>
      </c>
      <c r="V21" s="223" t="s">
        <v>357</v>
      </c>
      <c r="W21" s="255"/>
      <c r="X21" s="364" t="s">
        <v>718</v>
      </c>
      <c r="Y21" s="364" t="s">
        <v>718</v>
      </c>
      <c r="Z21" s="255"/>
      <c r="AA21" s="255"/>
    </row>
    <row r="22" spans="1:27" ht="48" customHeight="1" x14ac:dyDescent="0.4">
      <c r="A22" s="223" t="s">
        <v>358</v>
      </c>
      <c r="B22" s="377"/>
      <c r="C22" s="376" t="s">
        <v>707</v>
      </c>
      <c r="D22" s="376" t="s">
        <v>707</v>
      </c>
      <c r="E22" s="378"/>
      <c r="F22" s="376" t="s">
        <v>707</v>
      </c>
      <c r="H22" s="223" t="s">
        <v>358</v>
      </c>
      <c r="I22" s="369" t="s">
        <v>717</v>
      </c>
      <c r="J22" s="255"/>
      <c r="K22" s="320" t="s">
        <v>713</v>
      </c>
      <c r="L22" s="255"/>
      <c r="M22" s="255"/>
      <c r="O22" s="223" t="s">
        <v>358</v>
      </c>
      <c r="P22" s="255"/>
      <c r="Q22" s="518"/>
      <c r="R22" s="289"/>
      <c r="S22" s="255"/>
      <c r="T22" s="263" t="s">
        <v>709</v>
      </c>
      <c r="V22" s="223" t="s">
        <v>358</v>
      </c>
      <c r="W22" s="255"/>
      <c r="X22" s="364" t="s">
        <v>718</v>
      </c>
      <c r="Y22" s="364" t="s">
        <v>718</v>
      </c>
      <c r="Z22" s="255"/>
      <c r="AA22" s="255"/>
    </row>
    <row r="23" spans="1:27" ht="35.1" customHeight="1" x14ac:dyDescent="0.35"/>
    <row r="24" spans="1:27" ht="35.1" customHeight="1" x14ac:dyDescent="0.35"/>
    <row r="25" spans="1:27" ht="35.1" customHeight="1" x14ac:dyDescent="0.35"/>
    <row r="26" spans="1:27" ht="90" customHeight="1" x14ac:dyDescent="0.35">
      <c r="A26" s="230" t="s">
        <v>719</v>
      </c>
      <c r="B26" s="231" t="s">
        <v>720</v>
      </c>
      <c r="C26" s="231" t="s">
        <v>721</v>
      </c>
      <c r="D26" s="231" t="s">
        <v>722</v>
      </c>
      <c r="E26" s="231"/>
      <c r="F26" s="231"/>
      <c r="H26" s="230" t="s">
        <v>723</v>
      </c>
      <c r="I26" s="231" t="s">
        <v>724</v>
      </c>
      <c r="J26" s="231" t="s">
        <v>725</v>
      </c>
      <c r="K26" s="231" t="s">
        <v>726</v>
      </c>
      <c r="L26" s="231"/>
      <c r="M26" s="231"/>
    </row>
    <row r="27" spans="1:27" ht="35.1" customHeight="1" x14ac:dyDescent="0.35">
      <c r="A27" s="220"/>
      <c r="B27" s="221" t="s">
        <v>153</v>
      </c>
      <c r="C27" s="221" t="s">
        <v>154</v>
      </c>
      <c r="D27" s="221" t="s">
        <v>155</v>
      </c>
      <c r="E27" s="221" t="s">
        <v>156</v>
      </c>
      <c r="F27" s="221" t="s">
        <v>157</v>
      </c>
      <c r="H27" s="220"/>
      <c r="I27" s="221" t="s">
        <v>153</v>
      </c>
      <c r="J27" s="221" t="s">
        <v>154</v>
      </c>
      <c r="K27" s="221" t="s">
        <v>155</v>
      </c>
      <c r="L27" s="221" t="s">
        <v>156</v>
      </c>
      <c r="M27" s="221" t="s">
        <v>157</v>
      </c>
    </row>
    <row r="28" spans="1:27" ht="177" customHeight="1" x14ac:dyDescent="0.35">
      <c r="A28" s="223" t="s">
        <v>343</v>
      </c>
      <c r="B28" s="246" t="s">
        <v>727</v>
      </c>
      <c r="C28" s="225"/>
      <c r="D28" s="232"/>
      <c r="E28" s="225"/>
      <c r="F28" s="233" t="s">
        <v>728</v>
      </c>
      <c r="H28" s="223" t="s">
        <v>343</v>
      </c>
      <c r="I28" s="229"/>
      <c r="J28" s="224" t="s">
        <v>729</v>
      </c>
      <c r="K28" s="226"/>
      <c r="L28" s="248" t="s">
        <v>730</v>
      </c>
      <c r="M28" s="225"/>
    </row>
    <row r="29" spans="1:27" ht="140.25" customHeight="1" x14ac:dyDescent="0.35">
      <c r="A29" s="223" t="s">
        <v>349</v>
      </c>
      <c r="B29" s="246" t="s">
        <v>727</v>
      </c>
      <c r="C29" s="225"/>
      <c r="D29" s="232"/>
      <c r="E29" s="225"/>
      <c r="F29" s="233" t="s">
        <v>728</v>
      </c>
      <c r="H29" s="223" t="s">
        <v>349</v>
      </c>
      <c r="I29" s="229"/>
      <c r="J29" s="224" t="s">
        <v>729</v>
      </c>
      <c r="K29" s="226"/>
      <c r="L29" s="248" t="s">
        <v>731</v>
      </c>
      <c r="M29" s="225"/>
    </row>
    <row r="30" spans="1:27" ht="140.25" customHeight="1" x14ac:dyDescent="0.35">
      <c r="A30" s="223" t="s">
        <v>305</v>
      </c>
      <c r="B30" s="247" t="s">
        <v>732</v>
      </c>
      <c r="C30" s="225"/>
      <c r="D30" s="232"/>
      <c r="E30" s="234" t="s">
        <v>733</v>
      </c>
      <c r="F30" s="233" t="s">
        <v>728</v>
      </c>
      <c r="H30" s="223" t="s">
        <v>305</v>
      </c>
      <c r="I30" s="229"/>
      <c r="J30" s="224" t="s">
        <v>729</v>
      </c>
      <c r="K30" s="225"/>
      <c r="L30" s="248" t="s">
        <v>731</v>
      </c>
      <c r="M30" s="225"/>
    </row>
    <row r="31" spans="1:27" ht="168.75" customHeight="1" x14ac:dyDescent="0.35">
      <c r="A31" s="223" t="s">
        <v>308</v>
      </c>
      <c r="B31" s="247" t="s">
        <v>734</v>
      </c>
      <c r="C31" s="225"/>
      <c r="D31" s="232"/>
      <c r="E31" s="234" t="s">
        <v>733</v>
      </c>
      <c r="F31" s="233" t="s">
        <v>728</v>
      </c>
      <c r="H31" s="223" t="s">
        <v>308</v>
      </c>
      <c r="I31" s="229"/>
      <c r="J31" s="224" t="s">
        <v>729</v>
      </c>
      <c r="K31" s="225"/>
      <c r="L31" s="248" t="s">
        <v>731</v>
      </c>
      <c r="M31" s="225"/>
    </row>
    <row r="32" spans="1:27" ht="171.75" customHeight="1" x14ac:dyDescent="0.35">
      <c r="A32" s="223" t="s">
        <v>310</v>
      </c>
      <c r="B32" s="227" t="s">
        <v>734</v>
      </c>
      <c r="C32" s="235" t="s">
        <v>735</v>
      </c>
      <c r="D32" s="232"/>
      <c r="E32" s="224" t="s">
        <v>736</v>
      </c>
      <c r="F32" s="233" t="s">
        <v>728</v>
      </c>
      <c r="H32" s="223" t="s">
        <v>310</v>
      </c>
      <c r="I32" s="224" t="s">
        <v>737</v>
      </c>
      <c r="J32" s="236" t="s">
        <v>738</v>
      </c>
      <c r="K32" s="235" t="s">
        <v>739</v>
      </c>
      <c r="L32" s="248" t="s">
        <v>740</v>
      </c>
      <c r="M32" s="224" t="s">
        <v>741</v>
      </c>
    </row>
    <row r="33" spans="1:13" ht="169.5" customHeight="1" x14ac:dyDescent="0.35">
      <c r="A33" s="223" t="s">
        <v>312</v>
      </c>
      <c r="B33" s="227" t="s">
        <v>734</v>
      </c>
      <c r="C33" s="235" t="s">
        <v>735</v>
      </c>
      <c r="D33" s="232"/>
      <c r="E33" s="224" t="s">
        <v>736</v>
      </c>
      <c r="F33" s="225"/>
      <c r="H33" s="223" t="s">
        <v>312</v>
      </c>
      <c r="I33" s="224" t="s">
        <v>737</v>
      </c>
      <c r="J33" s="236" t="s">
        <v>738</v>
      </c>
      <c r="K33" s="235" t="s">
        <v>739</v>
      </c>
      <c r="L33" s="248" t="s">
        <v>740</v>
      </c>
      <c r="M33" s="224" t="s">
        <v>741</v>
      </c>
    </row>
    <row r="34" spans="1:13" ht="141.75" customHeight="1" x14ac:dyDescent="0.35">
      <c r="A34" s="223" t="s">
        <v>315</v>
      </c>
      <c r="B34" s="224" t="s">
        <v>742</v>
      </c>
      <c r="C34" s="235" t="s">
        <v>735</v>
      </c>
      <c r="D34" s="232"/>
      <c r="E34" s="225"/>
      <c r="F34" s="225"/>
      <c r="H34" s="223" t="s">
        <v>315</v>
      </c>
      <c r="I34" s="229"/>
      <c r="J34" s="236" t="s">
        <v>738</v>
      </c>
      <c r="K34" s="235" t="s">
        <v>739</v>
      </c>
      <c r="L34" s="248" t="s">
        <v>740</v>
      </c>
      <c r="M34" s="224" t="s">
        <v>743</v>
      </c>
    </row>
    <row r="35" spans="1:13" ht="111.75" customHeight="1" x14ac:dyDescent="0.35">
      <c r="A35" s="223" t="s">
        <v>352</v>
      </c>
      <c r="B35" s="224" t="s">
        <v>742</v>
      </c>
      <c r="C35" s="235" t="s">
        <v>735</v>
      </c>
      <c r="D35" s="224" t="s">
        <v>744</v>
      </c>
      <c r="E35" s="225"/>
      <c r="F35" s="228" t="s">
        <v>370</v>
      </c>
      <c r="H35" s="223" t="s">
        <v>352</v>
      </c>
      <c r="I35" s="229"/>
      <c r="J35" s="236" t="s">
        <v>738</v>
      </c>
      <c r="K35" s="235" t="s">
        <v>739</v>
      </c>
      <c r="L35" s="248" t="s">
        <v>740</v>
      </c>
      <c r="M35" s="224" t="s">
        <v>743</v>
      </c>
    </row>
    <row r="36" spans="1:13" ht="89.25" customHeight="1" x14ac:dyDescent="0.35">
      <c r="A36" s="223" t="s">
        <v>353</v>
      </c>
      <c r="B36" s="513" t="s">
        <v>354</v>
      </c>
      <c r="C36" s="513"/>
      <c r="D36" s="513"/>
      <c r="E36" s="513"/>
      <c r="F36" s="513"/>
      <c r="H36" s="223" t="s">
        <v>353</v>
      </c>
      <c r="I36" s="513" t="s">
        <v>354</v>
      </c>
      <c r="J36" s="513"/>
      <c r="K36" s="513"/>
      <c r="L36" s="513"/>
      <c r="M36" s="513"/>
    </row>
    <row r="37" spans="1:13" ht="96.75" customHeight="1" x14ac:dyDescent="0.35">
      <c r="A37" s="223" t="s">
        <v>355</v>
      </c>
      <c r="B37" s="513"/>
      <c r="C37" s="513"/>
      <c r="D37" s="513"/>
      <c r="E37" s="513"/>
      <c r="F37" s="513"/>
      <c r="H37" s="223" t="s">
        <v>355</v>
      </c>
      <c r="I37" s="513"/>
      <c r="J37" s="513"/>
      <c r="K37" s="513"/>
      <c r="L37" s="513"/>
      <c r="M37" s="513"/>
    </row>
    <row r="38" spans="1:13" ht="87.75" customHeight="1" x14ac:dyDescent="0.35">
      <c r="A38" s="223" t="s">
        <v>318</v>
      </c>
      <c r="B38" s="226"/>
      <c r="C38" s="225"/>
      <c r="D38" s="232"/>
      <c r="E38" s="220"/>
      <c r="F38" s="237"/>
      <c r="H38" s="223" t="s">
        <v>318</v>
      </c>
      <c r="I38" s="224" t="s">
        <v>745</v>
      </c>
      <c r="J38" s="224" t="s">
        <v>746</v>
      </c>
      <c r="K38" s="225"/>
      <c r="L38" s="225"/>
      <c r="M38" s="225"/>
    </row>
    <row r="39" spans="1:13" ht="153.75" customHeight="1" x14ac:dyDescent="0.35">
      <c r="A39" s="223" t="s">
        <v>321</v>
      </c>
      <c r="B39" s="226"/>
      <c r="C39" s="225"/>
      <c r="D39" s="232"/>
      <c r="E39" s="226"/>
      <c r="F39" s="237"/>
      <c r="H39" s="223" t="s">
        <v>321</v>
      </c>
      <c r="I39" s="224" t="s">
        <v>745</v>
      </c>
      <c r="J39" s="224" t="s">
        <v>746</v>
      </c>
      <c r="K39" s="224" t="s">
        <v>747</v>
      </c>
      <c r="L39" s="225" t="s">
        <v>500</v>
      </c>
      <c r="M39" s="225"/>
    </row>
    <row r="40" spans="1:13" ht="111.75" customHeight="1" x14ac:dyDescent="0.35">
      <c r="A40" s="223" t="s">
        <v>324</v>
      </c>
      <c r="B40" s="226"/>
      <c r="C40" s="226"/>
      <c r="D40" s="232"/>
      <c r="E40" s="224" t="s">
        <v>742</v>
      </c>
      <c r="F40" s="225"/>
      <c r="H40" s="223" t="s">
        <v>324</v>
      </c>
      <c r="I40" s="224" t="s">
        <v>745</v>
      </c>
      <c r="J40" s="224" t="s">
        <v>748</v>
      </c>
      <c r="K40" s="224" t="s">
        <v>749</v>
      </c>
      <c r="L40" s="225"/>
      <c r="M40" s="225"/>
    </row>
    <row r="41" spans="1:13" ht="96.75" customHeight="1" x14ac:dyDescent="0.35">
      <c r="A41" s="223" t="s">
        <v>325</v>
      </c>
      <c r="B41" s="226"/>
      <c r="C41" s="226"/>
      <c r="D41" s="232"/>
      <c r="E41" s="224" t="s">
        <v>742</v>
      </c>
      <c r="F41" s="225"/>
      <c r="H41" s="223" t="s">
        <v>325</v>
      </c>
      <c r="I41" s="224" t="s">
        <v>745</v>
      </c>
      <c r="J41" s="224" t="s">
        <v>748</v>
      </c>
      <c r="K41" s="224" t="s">
        <v>749</v>
      </c>
      <c r="L41" s="225"/>
      <c r="M41" s="225"/>
    </row>
    <row r="42" spans="1:13" ht="66" customHeight="1" x14ac:dyDescent="0.35">
      <c r="A42" s="223" t="s">
        <v>357</v>
      </c>
      <c r="B42" s="225"/>
      <c r="C42" s="238" t="s">
        <v>750</v>
      </c>
      <c r="D42" s="224" t="s">
        <v>751</v>
      </c>
      <c r="E42" s="226"/>
      <c r="F42" s="225"/>
      <c r="H42" s="223" t="s">
        <v>357</v>
      </c>
      <c r="I42" s="224" t="s">
        <v>752</v>
      </c>
      <c r="J42" s="226"/>
      <c r="K42" s="226"/>
      <c r="L42" s="224" t="s">
        <v>753</v>
      </c>
      <c r="M42" s="225"/>
    </row>
    <row r="43" spans="1:13" ht="70.5" customHeight="1" x14ac:dyDescent="0.35">
      <c r="A43" s="223" t="s">
        <v>358</v>
      </c>
      <c r="B43" s="220"/>
      <c r="C43" s="238" t="s">
        <v>750</v>
      </c>
      <c r="D43" s="220"/>
      <c r="E43" s="220"/>
      <c r="F43" s="220"/>
      <c r="H43" s="223" t="s">
        <v>358</v>
      </c>
      <c r="I43" s="224" t="s">
        <v>752</v>
      </c>
      <c r="J43" s="226"/>
      <c r="K43" s="228"/>
      <c r="L43" s="224" t="s">
        <v>753</v>
      </c>
      <c r="M43" s="225"/>
    </row>
    <row r="44" spans="1:13" ht="35.1" customHeight="1" x14ac:dyDescent="0.35"/>
    <row r="45" spans="1:13" ht="35.1" customHeight="1" x14ac:dyDescent="0.35"/>
    <row r="46" spans="1:13" ht="35.1" customHeight="1" x14ac:dyDescent="0.35"/>
    <row r="47" spans="1:13" ht="35.1" customHeight="1" x14ac:dyDescent="0.35"/>
    <row r="48" spans="1:13" ht="35.1" customHeight="1" x14ac:dyDescent="0.35">
      <c r="A48" s="239" t="s">
        <v>754</v>
      </c>
      <c r="B48" s="240" t="s">
        <v>361</v>
      </c>
      <c r="C48" s="240" t="s">
        <v>362</v>
      </c>
      <c r="D48" s="240" t="s">
        <v>339</v>
      </c>
      <c r="E48" s="240"/>
      <c r="F48" s="240"/>
    </row>
    <row r="49" spans="1:6" ht="35.1" customHeight="1" x14ac:dyDescent="0.35">
      <c r="A49" s="220"/>
      <c r="B49" s="221" t="s">
        <v>153</v>
      </c>
      <c r="C49" s="221" t="s">
        <v>154</v>
      </c>
      <c r="D49" s="221" t="s">
        <v>155</v>
      </c>
      <c r="E49" s="221" t="s">
        <v>156</v>
      </c>
      <c r="F49" s="221" t="s">
        <v>157</v>
      </c>
    </row>
    <row r="50" spans="1:6" ht="35.1" customHeight="1" x14ac:dyDescent="0.35">
      <c r="A50" s="223" t="s">
        <v>343</v>
      </c>
      <c r="B50" s="232"/>
      <c r="C50" s="241" t="s">
        <v>755</v>
      </c>
      <c r="D50" s="241" t="s">
        <v>755</v>
      </c>
      <c r="E50" s="241" t="s">
        <v>755</v>
      </c>
      <c r="F50" s="225"/>
    </row>
    <row r="51" spans="1:6" ht="35.1" customHeight="1" x14ac:dyDescent="0.35">
      <c r="A51" s="223" t="s">
        <v>349</v>
      </c>
      <c r="B51" s="232"/>
      <c r="C51" s="241" t="s">
        <v>755</v>
      </c>
      <c r="D51" s="241" t="s">
        <v>755</v>
      </c>
      <c r="E51" s="241" t="s">
        <v>755</v>
      </c>
      <c r="F51" s="232"/>
    </row>
    <row r="52" spans="1:6" ht="35.1" customHeight="1" x14ac:dyDescent="0.35">
      <c r="A52" s="223" t="s">
        <v>305</v>
      </c>
      <c r="B52" s="232"/>
      <c r="C52" s="241" t="s">
        <v>755</v>
      </c>
      <c r="D52" s="241" t="s">
        <v>755</v>
      </c>
      <c r="E52" s="241" t="s">
        <v>755</v>
      </c>
      <c r="F52" s="232"/>
    </row>
    <row r="53" spans="1:6" ht="35.1" customHeight="1" x14ac:dyDescent="0.35">
      <c r="A53" s="223" t="s">
        <v>308</v>
      </c>
      <c r="B53" s="232"/>
      <c r="C53" s="241" t="s">
        <v>755</v>
      </c>
      <c r="D53" s="241" t="s">
        <v>755</v>
      </c>
      <c r="E53" s="241" t="s">
        <v>755</v>
      </c>
      <c r="F53" s="232"/>
    </row>
    <row r="54" spans="1:6" ht="35.1" customHeight="1" x14ac:dyDescent="0.35">
      <c r="A54" s="223" t="s">
        <v>310</v>
      </c>
      <c r="B54" s="232"/>
      <c r="C54" s="241" t="s">
        <v>755</v>
      </c>
      <c r="D54" s="241" t="s">
        <v>755</v>
      </c>
      <c r="E54" s="241" t="s">
        <v>755</v>
      </c>
      <c r="F54" s="232"/>
    </row>
    <row r="55" spans="1:6" ht="35.1" customHeight="1" x14ac:dyDescent="0.35">
      <c r="A55" s="223" t="s">
        <v>312</v>
      </c>
      <c r="B55" s="232"/>
      <c r="C55" s="241" t="s">
        <v>755</v>
      </c>
      <c r="D55" s="241" t="s">
        <v>755</v>
      </c>
      <c r="E55" s="241" t="s">
        <v>755</v>
      </c>
      <c r="F55" s="232"/>
    </row>
    <row r="56" spans="1:6" ht="35.1" customHeight="1" x14ac:dyDescent="0.35">
      <c r="A56" s="223" t="s">
        <v>315</v>
      </c>
      <c r="B56" s="232"/>
      <c r="C56" s="241" t="s">
        <v>755</v>
      </c>
      <c r="D56" s="241" t="s">
        <v>755</v>
      </c>
      <c r="E56" s="241" t="s">
        <v>755</v>
      </c>
      <c r="F56" s="232"/>
    </row>
    <row r="57" spans="1:6" ht="35.1" customHeight="1" x14ac:dyDescent="0.35">
      <c r="A57" s="223" t="s">
        <v>352</v>
      </c>
      <c r="B57" s="220"/>
      <c r="C57" s="220"/>
      <c r="D57" s="220"/>
      <c r="E57" s="220"/>
      <c r="F57" s="220"/>
    </row>
    <row r="58" spans="1:6" ht="35.1" customHeight="1" x14ac:dyDescent="0.35">
      <c r="A58" s="223" t="s">
        <v>353</v>
      </c>
      <c r="B58" s="513" t="s">
        <v>354</v>
      </c>
      <c r="C58" s="513"/>
      <c r="D58" s="513"/>
      <c r="E58" s="513"/>
      <c r="F58" s="513"/>
    </row>
    <row r="59" spans="1:6" ht="35.1" customHeight="1" x14ac:dyDescent="0.35">
      <c r="A59" s="223" t="s">
        <v>355</v>
      </c>
      <c r="B59" s="513"/>
      <c r="C59" s="513"/>
      <c r="D59" s="513"/>
      <c r="E59" s="513"/>
      <c r="F59" s="513"/>
    </row>
    <row r="60" spans="1:6" ht="35.1" customHeight="1" x14ac:dyDescent="0.35">
      <c r="A60" s="223" t="s">
        <v>318</v>
      </c>
      <c r="B60" s="232"/>
      <c r="C60" s="241" t="s">
        <v>755</v>
      </c>
      <c r="D60" s="241" t="s">
        <v>755</v>
      </c>
      <c r="E60" s="241" t="s">
        <v>755</v>
      </c>
      <c r="F60" s="225"/>
    </row>
    <row r="61" spans="1:6" ht="35.1" customHeight="1" x14ac:dyDescent="0.35">
      <c r="A61" s="223" t="s">
        <v>321</v>
      </c>
      <c r="B61" s="232"/>
      <c r="C61" s="241" t="s">
        <v>755</v>
      </c>
      <c r="D61" s="241" t="s">
        <v>755</v>
      </c>
      <c r="E61" s="241" t="s">
        <v>755</v>
      </c>
      <c r="F61" s="225"/>
    </row>
    <row r="62" spans="1:6" ht="35.1" customHeight="1" x14ac:dyDescent="0.35">
      <c r="A62" s="223" t="s">
        <v>324</v>
      </c>
      <c r="B62" s="232"/>
      <c r="C62" s="241" t="s">
        <v>755</v>
      </c>
      <c r="D62" s="241" t="s">
        <v>755</v>
      </c>
      <c r="E62" s="241" t="s">
        <v>755</v>
      </c>
      <c r="F62" s="225"/>
    </row>
    <row r="63" spans="1:6" ht="35.1" customHeight="1" x14ac:dyDescent="0.35">
      <c r="A63" s="223" t="s">
        <v>325</v>
      </c>
      <c r="B63" s="232"/>
      <c r="C63" s="241" t="s">
        <v>755</v>
      </c>
      <c r="D63" s="241" t="s">
        <v>755</v>
      </c>
      <c r="E63" s="241" t="s">
        <v>755</v>
      </c>
      <c r="F63" s="225"/>
    </row>
    <row r="64" spans="1:6" ht="35.1" customHeight="1" x14ac:dyDescent="0.35">
      <c r="A64" s="223" t="s">
        <v>357</v>
      </c>
      <c r="B64" s="232"/>
      <c r="C64" s="241" t="s">
        <v>755</v>
      </c>
      <c r="D64" s="241" t="s">
        <v>755</v>
      </c>
      <c r="E64" s="241" t="s">
        <v>755</v>
      </c>
      <c r="F64" s="225"/>
    </row>
    <row r="65" spans="1:6" ht="35.1" customHeight="1" x14ac:dyDescent="0.35">
      <c r="A65" s="223" t="s">
        <v>358</v>
      </c>
      <c r="B65" s="232"/>
      <c r="C65" s="241" t="s">
        <v>755</v>
      </c>
      <c r="D65" s="241" t="s">
        <v>755</v>
      </c>
      <c r="E65" s="241" t="s">
        <v>755</v>
      </c>
      <c r="F65" s="225"/>
    </row>
    <row r="66" spans="1:6" ht="35.1" customHeight="1" x14ac:dyDescent="0.35">
      <c r="D66" s="249"/>
    </row>
    <row r="67" spans="1:6" ht="35.1" customHeight="1" x14ac:dyDescent="0.35"/>
    <row r="68" spans="1:6" ht="35.1" customHeight="1" x14ac:dyDescent="0.35"/>
    <row r="69" spans="1:6" ht="35.1" customHeight="1" x14ac:dyDescent="0.35"/>
    <row r="70" spans="1:6" ht="35.1" customHeight="1" x14ac:dyDescent="0.35"/>
    <row r="71" spans="1:6" ht="35.1" customHeight="1" x14ac:dyDescent="0.35"/>
    <row r="72" spans="1:6" ht="35.1" customHeight="1" x14ac:dyDescent="0.35"/>
    <row r="73" spans="1:6" ht="35.1" customHeight="1" x14ac:dyDescent="0.35"/>
    <row r="74" spans="1:6" ht="35.1" customHeight="1" x14ac:dyDescent="0.35"/>
    <row r="75" spans="1:6" ht="35.1" customHeight="1" x14ac:dyDescent="0.35"/>
    <row r="76" spans="1:6" ht="35.1" customHeight="1" x14ac:dyDescent="0.35"/>
    <row r="77" spans="1:6" ht="35.1" customHeight="1" x14ac:dyDescent="0.35"/>
    <row r="78" spans="1:6" ht="35.1" customHeight="1" x14ac:dyDescent="0.35"/>
    <row r="79" spans="1:6" ht="35.1" customHeight="1" x14ac:dyDescent="0.35"/>
    <row r="80" spans="1:6" ht="35.1" customHeight="1" x14ac:dyDescent="0.35"/>
    <row r="81" ht="35.1" customHeight="1" x14ac:dyDescent="0.35"/>
    <row r="82" ht="35.1" customHeight="1" x14ac:dyDescent="0.35"/>
    <row r="83" ht="35.1" customHeight="1" x14ac:dyDescent="0.35"/>
    <row r="84" ht="35.1" customHeight="1" x14ac:dyDescent="0.35"/>
    <row r="85" ht="35.1" customHeight="1" x14ac:dyDescent="0.35"/>
    <row r="86" ht="35.1" customHeight="1" x14ac:dyDescent="0.35"/>
    <row r="87" ht="35.1" customHeight="1" x14ac:dyDescent="0.35"/>
    <row r="88" ht="35.1" customHeight="1" x14ac:dyDescent="0.35"/>
    <row r="89" ht="35.1" customHeight="1" x14ac:dyDescent="0.35"/>
    <row r="90" ht="35.1" customHeight="1" x14ac:dyDescent="0.35"/>
    <row r="91" ht="35.1" customHeight="1" x14ac:dyDescent="0.35"/>
    <row r="92" ht="35.1" customHeight="1" x14ac:dyDescent="0.35"/>
    <row r="93" ht="35.1" customHeight="1" x14ac:dyDescent="0.35"/>
    <row r="94" ht="35.1" customHeight="1" x14ac:dyDescent="0.35"/>
    <row r="95" ht="35.1" customHeight="1" x14ac:dyDescent="0.35"/>
    <row r="96" ht="35.1" customHeight="1" x14ac:dyDescent="0.35"/>
    <row r="97" ht="35.1" customHeight="1" x14ac:dyDescent="0.35"/>
    <row r="98" ht="35.1" customHeight="1" x14ac:dyDescent="0.35"/>
    <row r="99" ht="35.1" customHeight="1" x14ac:dyDescent="0.35"/>
    <row r="100" ht="35.1" customHeight="1" x14ac:dyDescent="0.35"/>
    <row r="101" ht="35.1" customHeight="1" x14ac:dyDescent="0.35"/>
    <row r="102" ht="35.1" customHeight="1" x14ac:dyDescent="0.35"/>
    <row r="103" ht="35.1" customHeight="1" x14ac:dyDescent="0.35"/>
    <row r="104" ht="35.1" customHeight="1" x14ac:dyDescent="0.35"/>
    <row r="105" ht="39.950000000000003" customHeight="1" x14ac:dyDescent="0.35"/>
  </sheetData>
  <mergeCells count="16">
    <mergeCell ref="W15:AA16"/>
    <mergeCell ref="B1:C1"/>
    <mergeCell ref="P2:S2"/>
    <mergeCell ref="Q17:Q18"/>
    <mergeCell ref="B58:F59"/>
    <mergeCell ref="B36:F37"/>
    <mergeCell ref="I36:M37"/>
    <mergeCell ref="I15:M16"/>
    <mergeCell ref="E17:E18"/>
    <mergeCell ref="E19:E20"/>
    <mergeCell ref="Q21:Q22"/>
    <mergeCell ref="Q19:Q20"/>
    <mergeCell ref="R17:R18"/>
    <mergeCell ref="R19:R20"/>
    <mergeCell ref="P15:T16"/>
    <mergeCell ref="B15:F16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0E164-74C0-4849-9622-D7052028EDB1}">
  <dimension ref="A1:AQ369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9.7109375" style="620" bestFit="1" customWidth="1"/>
    <col min="2" max="2" width="20.5703125" style="494" bestFit="1" customWidth="1"/>
    <col min="3" max="3" width="18" style="494" bestFit="1" customWidth="1"/>
    <col min="4" max="4" width="21.140625" style="494" bestFit="1" customWidth="1"/>
    <col min="5" max="5" width="24" style="627" bestFit="1" customWidth="1"/>
    <col min="6" max="6" width="29" style="627" bestFit="1" customWidth="1"/>
    <col min="7" max="7" width="24.85546875" style="494" bestFit="1" customWidth="1"/>
    <col min="8" max="8" width="18.140625" style="494" bestFit="1" customWidth="1"/>
    <col min="9" max="9" width="30.42578125" style="628" bestFit="1" customWidth="1"/>
    <col min="10" max="10" width="25.140625" style="494" bestFit="1" customWidth="1"/>
    <col min="11" max="11" width="34.7109375" style="632" bestFit="1" customWidth="1"/>
    <col min="12" max="12" width="34.140625" style="632" bestFit="1" customWidth="1"/>
    <col min="13" max="13" width="38.42578125" style="494" bestFit="1" customWidth="1"/>
    <col min="14" max="14" width="33.42578125" style="494" bestFit="1" customWidth="1"/>
    <col min="15" max="15" width="33.5703125" style="494" bestFit="1" customWidth="1"/>
    <col min="16" max="16" width="34.42578125" style="494" bestFit="1" customWidth="1"/>
    <col min="17" max="17" width="30.28515625" style="628" bestFit="1" customWidth="1"/>
    <col min="18" max="18" width="30" style="628" bestFit="1" customWidth="1"/>
    <col min="19" max="19" width="23.85546875" style="629" bestFit="1" customWidth="1"/>
    <col min="20" max="20" width="22.5703125" style="629" bestFit="1" customWidth="1"/>
    <col min="21" max="21" width="23.140625" style="494" bestFit="1" customWidth="1"/>
    <col min="22" max="22" width="27.140625" style="494" bestFit="1" customWidth="1"/>
    <col min="23" max="23" width="27.7109375" style="494" bestFit="1" customWidth="1"/>
    <col min="24" max="24" width="21.85546875" style="494" bestFit="1" customWidth="1"/>
    <col min="25" max="25" width="25" style="494" bestFit="1" customWidth="1"/>
    <col min="26" max="26" width="22.42578125" style="494" bestFit="1" customWidth="1"/>
    <col min="27" max="27" width="21.85546875" style="494" bestFit="1" customWidth="1"/>
    <col min="28" max="28" width="17.7109375" style="494" bestFit="1" customWidth="1"/>
    <col min="29" max="29" width="18.7109375" style="494" bestFit="1" customWidth="1"/>
    <col min="30" max="30" width="23.28515625" style="625" bestFit="1" customWidth="1"/>
    <col min="31" max="31" width="23.28515625" style="627" bestFit="1" customWidth="1"/>
    <col min="32" max="32" width="16.42578125" style="623" bestFit="1" customWidth="1"/>
    <col min="33" max="33" width="20.42578125" style="494" bestFit="1" customWidth="1"/>
    <col min="34" max="34" width="20.140625" style="494" bestFit="1" customWidth="1"/>
    <col min="35" max="35" width="25.5703125" style="625" bestFit="1" customWidth="1"/>
    <col min="36" max="36" width="24.7109375" style="627" bestFit="1" customWidth="1"/>
    <col min="37" max="37" width="17.7109375" style="623" bestFit="1" customWidth="1"/>
    <col min="38" max="38" width="21.7109375" style="627" bestFit="1" customWidth="1"/>
    <col min="39" max="39" width="18.5703125" style="494" bestFit="1" customWidth="1"/>
    <col min="40" max="40" width="21.7109375" style="625" bestFit="1" customWidth="1"/>
    <col min="41" max="41" width="23.140625" style="627" bestFit="1" customWidth="1"/>
    <col min="42" max="42" width="17.42578125" style="623" bestFit="1" customWidth="1"/>
    <col min="43" max="43" width="20.28515625" style="627" bestFit="1" customWidth="1"/>
    <col min="44" max="16384" width="9.140625" style="494"/>
  </cols>
  <sheetData>
    <row r="1" spans="1:43" s="495" customFormat="1" ht="15.75" x14ac:dyDescent="0.25">
      <c r="A1" s="619" t="s">
        <v>1093</v>
      </c>
      <c r="B1" s="495" t="s">
        <v>872</v>
      </c>
      <c r="C1" s="495" t="s">
        <v>971</v>
      </c>
      <c r="D1" s="495" t="s">
        <v>978</v>
      </c>
      <c r="E1" s="626" t="s">
        <v>1088</v>
      </c>
      <c r="F1" s="626" t="s">
        <v>1089</v>
      </c>
      <c r="G1" s="495" t="s">
        <v>886</v>
      </c>
      <c r="H1" s="495" t="s">
        <v>1094</v>
      </c>
      <c r="I1" s="633" t="s">
        <v>1103</v>
      </c>
      <c r="J1" s="495" t="s">
        <v>1104</v>
      </c>
      <c r="K1" s="631" t="s">
        <v>1100</v>
      </c>
      <c r="L1" s="631" t="s">
        <v>1097</v>
      </c>
      <c r="M1" s="495" t="s">
        <v>1098</v>
      </c>
      <c r="N1" s="495" t="s">
        <v>1101</v>
      </c>
      <c r="O1" s="495" t="s">
        <v>1099</v>
      </c>
      <c r="P1" s="495" t="s">
        <v>1102</v>
      </c>
      <c r="Q1" s="633" t="s">
        <v>1095</v>
      </c>
      <c r="R1" s="633" t="s">
        <v>1096</v>
      </c>
      <c r="S1" s="630" t="s">
        <v>1069</v>
      </c>
      <c r="T1" s="630" t="s">
        <v>1070</v>
      </c>
      <c r="U1" s="495" t="s">
        <v>905</v>
      </c>
      <c r="V1" s="619" t="s">
        <v>1087</v>
      </c>
      <c r="W1" s="495" t="s">
        <v>874</v>
      </c>
      <c r="X1" s="495" t="s">
        <v>875</v>
      </c>
      <c r="Y1" s="495" t="s">
        <v>876</v>
      </c>
      <c r="Z1" s="495" t="s">
        <v>877</v>
      </c>
      <c r="AA1" s="495" t="s">
        <v>878</v>
      </c>
      <c r="AB1" s="495" t="s">
        <v>873</v>
      </c>
      <c r="AC1" s="495" t="s">
        <v>888</v>
      </c>
      <c r="AD1" s="624" t="s">
        <v>889</v>
      </c>
      <c r="AE1" s="626" t="s">
        <v>1090</v>
      </c>
      <c r="AF1" s="622" t="s">
        <v>891</v>
      </c>
      <c r="AG1" s="495" t="s">
        <v>959</v>
      </c>
      <c r="AH1" s="495" t="s">
        <v>892</v>
      </c>
      <c r="AI1" s="624" t="s">
        <v>893</v>
      </c>
      <c r="AJ1" s="626" t="s">
        <v>1092</v>
      </c>
      <c r="AK1" s="622" t="s">
        <v>897</v>
      </c>
      <c r="AL1" s="626" t="s">
        <v>958</v>
      </c>
      <c r="AM1" s="495" t="s">
        <v>898</v>
      </c>
      <c r="AN1" s="624" t="s">
        <v>900</v>
      </c>
      <c r="AO1" s="626" t="s">
        <v>1091</v>
      </c>
      <c r="AP1" s="622" t="s">
        <v>940</v>
      </c>
      <c r="AQ1" s="619" t="s">
        <v>957</v>
      </c>
    </row>
    <row r="2" spans="1:43" x14ac:dyDescent="0.25">
      <c r="A2" s="625">
        <v>1</v>
      </c>
      <c r="B2" s="494" t="s">
        <v>929</v>
      </c>
      <c r="C2" s="625">
        <v>120</v>
      </c>
      <c r="D2" s="494" t="s">
        <v>930</v>
      </c>
      <c r="E2" s="627">
        <v>9540609</v>
      </c>
      <c r="F2" s="627">
        <v>29835</v>
      </c>
      <c r="S2" s="629">
        <f t="shared" ref="S2:S65" si="0">TIME(LEFT(U2,2),RIGHT(U2,2),"00")</f>
        <v>0.33333333333333331</v>
      </c>
      <c r="T2" s="629">
        <f t="shared" ref="T2:T65" si="1">S2+(TIME("00","30","00"))</f>
        <v>0.35416666666666663</v>
      </c>
      <c r="U2" s="494" t="s">
        <v>906</v>
      </c>
      <c r="V2" s="620" t="str">
        <f>Combined_tables[[#This Row],[TimeSlot_Start_text]]</f>
        <v>0800</v>
      </c>
      <c r="W2" s="621" t="s">
        <v>380</v>
      </c>
      <c r="X2" s="621" t="s">
        <v>344</v>
      </c>
      <c r="Y2" s="621" t="s">
        <v>381</v>
      </c>
      <c r="Z2" s="621" t="s">
        <v>346</v>
      </c>
      <c r="AA2" s="621" t="s">
        <v>381</v>
      </c>
      <c r="AB2" s="494" t="s">
        <v>1083</v>
      </c>
      <c r="AC2" s="494" t="s">
        <v>933</v>
      </c>
      <c r="AD2" s="625" t="s">
        <v>934</v>
      </c>
      <c r="AE2" s="627">
        <v>29849</v>
      </c>
      <c r="AF2" s="623" t="s">
        <v>936</v>
      </c>
      <c r="AG2" s="627">
        <v>7089643999</v>
      </c>
      <c r="AH2" s="494" t="s">
        <v>332</v>
      </c>
      <c r="AI2" s="625" t="s">
        <v>937</v>
      </c>
      <c r="AJ2" s="627">
        <v>29711</v>
      </c>
      <c r="AM2" s="494" t="s">
        <v>786</v>
      </c>
      <c r="AN2" s="625" t="s">
        <v>901</v>
      </c>
      <c r="AO2" s="627">
        <v>22230</v>
      </c>
      <c r="AP2" s="623" t="s">
        <v>882</v>
      </c>
      <c r="AQ2" s="627">
        <v>7089327433</v>
      </c>
    </row>
    <row r="3" spans="1:43" x14ac:dyDescent="0.25">
      <c r="A3" s="625">
        <v>2</v>
      </c>
      <c r="B3" s="494" t="s">
        <v>929</v>
      </c>
      <c r="C3" s="625">
        <v>120</v>
      </c>
      <c r="D3" s="494" t="s">
        <v>930</v>
      </c>
      <c r="E3" s="627">
        <v>9540609</v>
      </c>
      <c r="F3" s="627">
        <v>29835</v>
      </c>
      <c r="S3" s="629">
        <f t="shared" si="0"/>
        <v>0.35416666666666669</v>
      </c>
      <c r="T3" s="629">
        <f t="shared" si="1"/>
        <v>0.375</v>
      </c>
      <c r="U3" s="494" t="s">
        <v>907</v>
      </c>
      <c r="V3" s="620" t="str">
        <f>Combined_tables[[#This Row],[TimeSlot_Start_text]]</f>
        <v>0830</v>
      </c>
      <c r="W3" s="621" t="s">
        <v>344</v>
      </c>
      <c r="X3" s="621" t="s">
        <v>344</v>
      </c>
      <c r="Y3" s="621" t="s">
        <v>381</v>
      </c>
      <c r="Z3" s="621" t="s">
        <v>346</v>
      </c>
      <c r="AA3" s="621" t="s">
        <v>381</v>
      </c>
      <c r="AB3" s="494" t="s">
        <v>1084</v>
      </c>
      <c r="AC3" s="494" t="s">
        <v>933</v>
      </c>
      <c r="AD3" s="625" t="s">
        <v>934</v>
      </c>
      <c r="AE3" s="627">
        <v>29849</v>
      </c>
      <c r="AF3" s="623" t="s">
        <v>936</v>
      </c>
      <c r="AG3" s="627">
        <v>7089643999</v>
      </c>
      <c r="AH3" s="494" t="s">
        <v>332</v>
      </c>
      <c r="AI3" s="625" t="s">
        <v>937</v>
      </c>
      <c r="AJ3" s="627">
        <v>29711</v>
      </c>
      <c r="AM3" s="494" t="s">
        <v>786</v>
      </c>
      <c r="AN3" s="625" t="s">
        <v>901</v>
      </c>
      <c r="AO3" s="627">
        <v>22230</v>
      </c>
      <c r="AP3" s="623" t="s">
        <v>882</v>
      </c>
      <c r="AQ3" s="627">
        <v>7089327433</v>
      </c>
    </row>
    <row r="4" spans="1:43" x14ac:dyDescent="0.25">
      <c r="A4" s="625">
        <v>3</v>
      </c>
      <c r="B4" s="494" t="s">
        <v>929</v>
      </c>
      <c r="C4" s="625">
        <v>120</v>
      </c>
      <c r="D4" s="494" t="s">
        <v>930</v>
      </c>
      <c r="E4" s="627">
        <v>9540609</v>
      </c>
      <c r="F4" s="627">
        <v>29835</v>
      </c>
      <c r="S4" s="629">
        <f t="shared" si="0"/>
        <v>0.375</v>
      </c>
      <c r="T4" s="629">
        <f t="shared" si="1"/>
        <v>0.39583333333333331</v>
      </c>
      <c r="U4" s="494" t="s">
        <v>908</v>
      </c>
      <c r="V4" s="620" t="str">
        <f>Combined_tables[[#This Row],[TimeSlot_Start_text]]</f>
        <v>0900</v>
      </c>
      <c r="W4" s="621" t="s">
        <v>344</v>
      </c>
      <c r="X4" s="621" t="s">
        <v>344</v>
      </c>
      <c r="Y4" s="621" t="s">
        <v>381</v>
      </c>
      <c r="Z4" s="621" t="s">
        <v>346</v>
      </c>
      <c r="AA4" s="621" t="s">
        <v>381</v>
      </c>
      <c r="AB4" s="494" t="s">
        <v>1085</v>
      </c>
      <c r="AC4" s="494" t="s">
        <v>933</v>
      </c>
      <c r="AD4" s="625" t="s">
        <v>934</v>
      </c>
      <c r="AE4" s="627">
        <v>29849</v>
      </c>
      <c r="AF4" s="623" t="s">
        <v>936</v>
      </c>
      <c r="AG4" s="627">
        <v>7089643999</v>
      </c>
      <c r="AH4" s="494" t="s">
        <v>332</v>
      </c>
      <c r="AI4" s="625" t="s">
        <v>937</v>
      </c>
      <c r="AJ4" s="627">
        <v>29711</v>
      </c>
      <c r="AM4" s="494" t="s">
        <v>786</v>
      </c>
      <c r="AN4" s="625" t="s">
        <v>901</v>
      </c>
      <c r="AO4" s="627">
        <v>22230</v>
      </c>
      <c r="AP4" s="623" t="s">
        <v>882</v>
      </c>
      <c r="AQ4" s="627">
        <v>7089327433</v>
      </c>
    </row>
    <row r="5" spans="1:43" x14ac:dyDescent="0.25">
      <c r="A5" s="625">
        <v>4</v>
      </c>
      <c r="B5" s="494" t="s">
        <v>929</v>
      </c>
      <c r="C5" s="625">
        <v>120</v>
      </c>
      <c r="D5" s="494" t="s">
        <v>930</v>
      </c>
      <c r="E5" s="627">
        <v>9540609</v>
      </c>
      <c r="F5" s="627">
        <v>29835</v>
      </c>
      <c r="S5" s="629">
        <f t="shared" si="0"/>
        <v>0.39583333333333331</v>
      </c>
      <c r="T5" s="629">
        <f t="shared" si="1"/>
        <v>0.41666666666666663</v>
      </c>
      <c r="U5" s="494" t="s">
        <v>909</v>
      </c>
      <c r="V5" s="620" t="str">
        <f>Combined_tables[[#This Row],[TimeSlot_Start_text]]</f>
        <v>0930</v>
      </c>
      <c r="W5" s="621" t="s">
        <v>344</v>
      </c>
      <c r="X5" s="621" t="s">
        <v>344</v>
      </c>
      <c r="Y5" s="621" t="s">
        <v>381</v>
      </c>
      <c r="Z5" s="621" t="s">
        <v>346</v>
      </c>
      <c r="AA5" s="621" t="s">
        <v>381</v>
      </c>
      <c r="AB5" s="494" t="s">
        <v>1086</v>
      </c>
      <c r="AC5" s="494" t="s">
        <v>933</v>
      </c>
      <c r="AD5" s="625" t="s">
        <v>934</v>
      </c>
      <c r="AE5" s="627">
        <v>29849</v>
      </c>
      <c r="AF5" s="623" t="s">
        <v>936</v>
      </c>
      <c r="AG5" s="627">
        <v>7089643999</v>
      </c>
      <c r="AH5" s="494" t="s">
        <v>332</v>
      </c>
      <c r="AI5" s="625" t="s">
        <v>937</v>
      </c>
      <c r="AJ5" s="627">
        <v>29711</v>
      </c>
      <c r="AM5" s="494" t="s">
        <v>786</v>
      </c>
      <c r="AN5" s="625" t="s">
        <v>901</v>
      </c>
      <c r="AO5" s="627">
        <v>22230</v>
      </c>
      <c r="AP5" s="623" t="s">
        <v>882</v>
      </c>
      <c r="AQ5" s="627">
        <v>7089327433</v>
      </c>
    </row>
    <row r="6" spans="1:43" x14ac:dyDescent="0.25">
      <c r="A6" s="625">
        <v>5</v>
      </c>
      <c r="B6" s="494" t="s">
        <v>929</v>
      </c>
      <c r="C6" s="625">
        <v>120</v>
      </c>
      <c r="D6" s="494" t="s">
        <v>930</v>
      </c>
      <c r="E6" s="627">
        <v>9540609</v>
      </c>
      <c r="F6" s="627">
        <v>29835</v>
      </c>
      <c r="S6" s="629">
        <f t="shared" si="0"/>
        <v>0.41666666666666669</v>
      </c>
      <c r="T6" s="629">
        <f t="shared" si="1"/>
        <v>0.4375</v>
      </c>
      <c r="U6" s="494" t="s">
        <v>910</v>
      </c>
      <c r="V6" s="620" t="str">
        <f>Combined_tables[[#This Row],[TimeSlot_Start_text]]</f>
        <v>1000</v>
      </c>
      <c r="W6" s="621" t="s">
        <v>344</v>
      </c>
      <c r="X6" s="621" t="s">
        <v>344</v>
      </c>
      <c r="Y6" s="621" t="s">
        <v>380</v>
      </c>
      <c r="Z6" s="621"/>
      <c r="AA6" s="621" t="s">
        <v>380</v>
      </c>
      <c r="AB6" s="494" t="s">
        <v>1073</v>
      </c>
      <c r="AC6" s="494" t="s">
        <v>933</v>
      </c>
      <c r="AD6" s="625" t="s">
        <v>934</v>
      </c>
      <c r="AE6" s="627">
        <v>29849</v>
      </c>
      <c r="AF6" s="623" t="s">
        <v>936</v>
      </c>
      <c r="AG6" s="627">
        <v>7089643999</v>
      </c>
      <c r="AH6" s="494" t="s">
        <v>332</v>
      </c>
      <c r="AI6" s="625" t="s">
        <v>937</v>
      </c>
      <c r="AJ6" s="627">
        <v>29711</v>
      </c>
      <c r="AM6" s="494" t="s">
        <v>786</v>
      </c>
      <c r="AN6" s="625" t="s">
        <v>901</v>
      </c>
      <c r="AO6" s="627">
        <v>22230</v>
      </c>
      <c r="AP6" s="623" t="s">
        <v>882</v>
      </c>
      <c r="AQ6" s="627">
        <v>7089327433</v>
      </c>
    </row>
    <row r="7" spans="1:43" x14ac:dyDescent="0.25">
      <c r="A7" s="625">
        <v>6</v>
      </c>
      <c r="B7" s="494" t="s">
        <v>929</v>
      </c>
      <c r="C7" s="625">
        <v>120</v>
      </c>
      <c r="D7" s="494" t="s">
        <v>930</v>
      </c>
      <c r="E7" s="627">
        <v>9540609</v>
      </c>
      <c r="F7" s="627">
        <v>29835</v>
      </c>
      <c r="S7" s="629">
        <f t="shared" si="0"/>
        <v>0.4375</v>
      </c>
      <c r="T7" s="629">
        <f t="shared" si="1"/>
        <v>0.45833333333333331</v>
      </c>
      <c r="U7" s="494" t="s">
        <v>911</v>
      </c>
      <c r="V7" s="620" t="str">
        <f>Combined_tables[[#This Row],[TimeSlot_Start_text]]</f>
        <v>1030</v>
      </c>
      <c r="W7" s="621" t="s">
        <v>344</v>
      </c>
      <c r="X7" s="621" t="s">
        <v>344</v>
      </c>
      <c r="Y7" s="621"/>
      <c r="Z7" s="621"/>
      <c r="AA7" s="621"/>
      <c r="AB7" s="494" t="s">
        <v>1074</v>
      </c>
      <c r="AC7" s="494" t="s">
        <v>933</v>
      </c>
      <c r="AD7" s="625" t="s">
        <v>934</v>
      </c>
      <c r="AE7" s="627">
        <v>29849</v>
      </c>
      <c r="AF7" s="623" t="s">
        <v>936</v>
      </c>
      <c r="AG7" s="627">
        <v>7089643999</v>
      </c>
      <c r="AH7" s="494" t="s">
        <v>332</v>
      </c>
      <c r="AI7" s="625" t="s">
        <v>937</v>
      </c>
      <c r="AJ7" s="627">
        <v>29711</v>
      </c>
      <c r="AM7" s="494" t="s">
        <v>786</v>
      </c>
      <c r="AN7" s="625" t="s">
        <v>901</v>
      </c>
      <c r="AO7" s="627">
        <v>22230</v>
      </c>
      <c r="AP7" s="623" t="s">
        <v>882</v>
      </c>
      <c r="AQ7" s="627">
        <v>7089327433</v>
      </c>
    </row>
    <row r="8" spans="1:43" x14ac:dyDescent="0.25">
      <c r="A8" s="625">
        <v>7</v>
      </c>
      <c r="B8" s="494" t="s">
        <v>929</v>
      </c>
      <c r="C8" s="625">
        <v>120</v>
      </c>
      <c r="D8" s="494" t="s">
        <v>930</v>
      </c>
      <c r="E8" s="627">
        <v>9540609</v>
      </c>
      <c r="F8" s="627">
        <v>29835</v>
      </c>
      <c r="S8" s="629">
        <f t="shared" si="0"/>
        <v>0.45833333333333331</v>
      </c>
      <c r="T8" s="629">
        <f t="shared" si="1"/>
        <v>0.47916666666666663</v>
      </c>
      <c r="U8" s="494" t="s">
        <v>912</v>
      </c>
      <c r="V8" s="620" t="str">
        <f>Combined_tables[[#This Row],[TimeSlot_Start_text]]</f>
        <v>1100</v>
      </c>
      <c r="W8" s="621" t="s">
        <v>344</v>
      </c>
      <c r="X8" s="621" t="s">
        <v>344</v>
      </c>
      <c r="Y8" s="621"/>
      <c r="Z8" s="621" t="s">
        <v>380</v>
      </c>
      <c r="AA8" s="621" t="s">
        <v>380</v>
      </c>
      <c r="AB8" s="494" t="s">
        <v>1076</v>
      </c>
      <c r="AC8" s="494" t="s">
        <v>933</v>
      </c>
      <c r="AD8" s="625" t="s">
        <v>934</v>
      </c>
      <c r="AE8" s="627">
        <v>29849</v>
      </c>
      <c r="AF8" s="623" t="s">
        <v>936</v>
      </c>
      <c r="AG8" s="627">
        <v>7089643999</v>
      </c>
      <c r="AH8" s="494" t="s">
        <v>332</v>
      </c>
      <c r="AI8" s="625" t="s">
        <v>937</v>
      </c>
      <c r="AJ8" s="627">
        <v>29711</v>
      </c>
      <c r="AM8" s="494" t="s">
        <v>786</v>
      </c>
      <c r="AN8" s="625" t="s">
        <v>901</v>
      </c>
      <c r="AO8" s="627">
        <v>22230</v>
      </c>
      <c r="AP8" s="623" t="s">
        <v>882</v>
      </c>
      <c r="AQ8" s="627">
        <v>7089327433</v>
      </c>
    </row>
    <row r="9" spans="1:43" x14ac:dyDescent="0.25">
      <c r="A9" s="625">
        <v>8</v>
      </c>
      <c r="B9" s="494" t="s">
        <v>929</v>
      </c>
      <c r="C9" s="625">
        <v>120</v>
      </c>
      <c r="D9" s="494" t="s">
        <v>930</v>
      </c>
      <c r="E9" s="627">
        <v>9540609</v>
      </c>
      <c r="F9" s="627">
        <v>29835</v>
      </c>
      <c r="S9" s="629">
        <f t="shared" si="0"/>
        <v>0.47916666666666669</v>
      </c>
      <c r="T9" s="629">
        <f t="shared" si="1"/>
        <v>0.5</v>
      </c>
      <c r="U9" s="494" t="s">
        <v>913</v>
      </c>
      <c r="V9" s="620" t="str">
        <f>Combined_tables[[#This Row],[TimeSlot_Start_text]]</f>
        <v>1130</v>
      </c>
      <c r="W9" s="621" t="s">
        <v>344</v>
      </c>
      <c r="X9" s="621" t="s">
        <v>344</v>
      </c>
      <c r="Y9" s="621"/>
      <c r="Z9" s="621"/>
      <c r="AA9" s="621"/>
      <c r="AB9" s="494" t="s">
        <v>1075</v>
      </c>
      <c r="AC9" s="494" t="s">
        <v>933</v>
      </c>
      <c r="AD9" s="625" t="s">
        <v>934</v>
      </c>
      <c r="AE9" s="627">
        <v>29849</v>
      </c>
      <c r="AF9" s="623" t="s">
        <v>936</v>
      </c>
      <c r="AG9" s="627">
        <v>7089643999</v>
      </c>
      <c r="AH9" s="494" t="s">
        <v>332</v>
      </c>
      <c r="AI9" s="625" t="s">
        <v>937</v>
      </c>
      <c r="AJ9" s="627">
        <v>29711</v>
      </c>
      <c r="AM9" s="494" t="s">
        <v>786</v>
      </c>
      <c r="AN9" s="625" t="s">
        <v>901</v>
      </c>
      <c r="AO9" s="627">
        <v>22230</v>
      </c>
      <c r="AP9" s="623" t="s">
        <v>882</v>
      </c>
      <c r="AQ9" s="627">
        <v>7089327433</v>
      </c>
    </row>
    <row r="10" spans="1:43" x14ac:dyDescent="0.25">
      <c r="A10" s="625">
        <v>9</v>
      </c>
      <c r="B10" s="494" t="s">
        <v>929</v>
      </c>
      <c r="C10" s="625">
        <v>120</v>
      </c>
      <c r="D10" s="494" t="s">
        <v>930</v>
      </c>
      <c r="E10" s="627">
        <v>9540609</v>
      </c>
      <c r="F10" s="627">
        <v>29835</v>
      </c>
      <c r="S10" s="629">
        <f t="shared" si="0"/>
        <v>0.5</v>
      </c>
      <c r="T10" s="629">
        <f t="shared" si="1"/>
        <v>0.52083333333333337</v>
      </c>
      <c r="U10" s="494" t="s">
        <v>914</v>
      </c>
      <c r="V10" s="620" t="str">
        <f>Combined_tables[[#This Row],[TimeSlot_Start_text]]</f>
        <v>1200</v>
      </c>
      <c r="W10" s="621" t="s">
        <v>354</v>
      </c>
      <c r="X10" s="621" t="s">
        <v>354</v>
      </c>
      <c r="Y10" s="621" t="s">
        <v>354</v>
      </c>
      <c r="Z10" s="621" t="s">
        <v>354</v>
      </c>
      <c r="AA10" s="621" t="s">
        <v>354</v>
      </c>
      <c r="AB10" s="494" t="s">
        <v>1077</v>
      </c>
      <c r="AC10" s="494" t="s">
        <v>933</v>
      </c>
      <c r="AD10" s="625" t="s">
        <v>934</v>
      </c>
      <c r="AE10" s="627">
        <v>29849</v>
      </c>
      <c r="AF10" s="623" t="s">
        <v>936</v>
      </c>
      <c r="AG10" s="627">
        <v>7089643999</v>
      </c>
      <c r="AH10" s="494" t="s">
        <v>332</v>
      </c>
      <c r="AI10" s="625" t="s">
        <v>937</v>
      </c>
      <c r="AJ10" s="627">
        <v>29711</v>
      </c>
      <c r="AM10" s="494" t="s">
        <v>786</v>
      </c>
      <c r="AN10" s="625" t="s">
        <v>901</v>
      </c>
      <c r="AO10" s="627">
        <v>22230</v>
      </c>
      <c r="AP10" s="623" t="s">
        <v>882</v>
      </c>
      <c r="AQ10" s="627">
        <v>7089327433</v>
      </c>
    </row>
    <row r="11" spans="1:43" x14ac:dyDescent="0.25">
      <c r="A11" s="625">
        <v>10</v>
      </c>
      <c r="B11" s="494" t="s">
        <v>929</v>
      </c>
      <c r="C11" s="625">
        <v>120</v>
      </c>
      <c r="D11" s="494" t="s">
        <v>930</v>
      </c>
      <c r="E11" s="627">
        <v>9540609</v>
      </c>
      <c r="F11" s="627">
        <v>29835</v>
      </c>
      <c r="S11" s="629">
        <f t="shared" si="0"/>
        <v>0.52083333333333337</v>
      </c>
      <c r="T11" s="629">
        <f t="shared" si="1"/>
        <v>0.54166666666666674</v>
      </c>
      <c r="U11" s="494" t="s">
        <v>915</v>
      </c>
      <c r="V11" s="620" t="str">
        <f>Combined_tables[[#This Row],[TimeSlot_Start_text]]</f>
        <v>1230</v>
      </c>
      <c r="W11" s="621" t="s">
        <v>354</v>
      </c>
      <c r="X11" s="621" t="s">
        <v>354</v>
      </c>
      <c r="Y11" s="621" t="s">
        <v>354</v>
      </c>
      <c r="Z11" s="621" t="s">
        <v>354</v>
      </c>
      <c r="AA11" s="621" t="s">
        <v>354</v>
      </c>
      <c r="AB11" s="494" t="s">
        <v>1078</v>
      </c>
      <c r="AC11" s="494" t="s">
        <v>933</v>
      </c>
      <c r="AD11" s="625" t="s">
        <v>934</v>
      </c>
      <c r="AE11" s="627">
        <v>29849</v>
      </c>
      <c r="AF11" s="623" t="s">
        <v>936</v>
      </c>
      <c r="AG11" s="627">
        <v>7089643999</v>
      </c>
      <c r="AH11" s="494" t="s">
        <v>332</v>
      </c>
      <c r="AI11" s="625" t="s">
        <v>937</v>
      </c>
      <c r="AJ11" s="627">
        <v>29711</v>
      </c>
      <c r="AM11" s="494" t="s">
        <v>786</v>
      </c>
      <c r="AN11" s="625" t="s">
        <v>901</v>
      </c>
      <c r="AO11" s="627">
        <v>22230</v>
      </c>
      <c r="AP11" s="623" t="s">
        <v>882</v>
      </c>
      <c r="AQ11" s="627">
        <v>7089327433</v>
      </c>
    </row>
    <row r="12" spans="1:43" x14ac:dyDescent="0.25">
      <c r="A12" s="625">
        <v>11</v>
      </c>
      <c r="B12" s="494" t="s">
        <v>929</v>
      </c>
      <c r="C12" s="625">
        <v>120</v>
      </c>
      <c r="D12" s="494" t="s">
        <v>930</v>
      </c>
      <c r="E12" s="627">
        <v>9540609</v>
      </c>
      <c r="F12" s="627">
        <v>29835</v>
      </c>
      <c r="S12" s="629">
        <f t="shared" si="0"/>
        <v>0.54166666666666663</v>
      </c>
      <c r="T12" s="629">
        <f t="shared" si="1"/>
        <v>0.5625</v>
      </c>
      <c r="U12" s="494" t="s">
        <v>916</v>
      </c>
      <c r="V12" s="620" t="str">
        <f>Combined_tables[[#This Row],[TimeSlot_Start_text]]</f>
        <v>1300</v>
      </c>
      <c r="W12" s="621" t="s">
        <v>381</v>
      </c>
      <c r="X12" s="621"/>
      <c r="Y12" s="621" t="s">
        <v>346</v>
      </c>
      <c r="Z12" s="621"/>
      <c r="AA12" s="621" t="s">
        <v>346</v>
      </c>
      <c r="AB12" s="494" t="s">
        <v>1071</v>
      </c>
      <c r="AC12" s="494" t="s">
        <v>933</v>
      </c>
      <c r="AD12" s="625" t="s">
        <v>934</v>
      </c>
      <c r="AE12" s="627">
        <v>29849</v>
      </c>
      <c r="AF12" s="623" t="s">
        <v>936</v>
      </c>
      <c r="AG12" s="627">
        <v>7089643999</v>
      </c>
      <c r="AH12" s="494" t="s">
        <v>332</v>
      </c>
      <c r="AI12" s="625" t="s">
        <v>937</v>
      </c>
      <c r="AJ12" s="627">
        <v>29711</v>
      </c>
      <c r="AM12" s="494" t="s">
        <v>786</v>
      </c>
      <c r="AN12" s="625" t="s">
        <v>901</v>
      </c>
      <c r="AO12" s="627">
        <v>22230</v>
      </c>
      <c r="AP12" s="623" t="s">
        <v>882</v>
      </c>
      <c r="AQ12" s="627">
        <v>7089327433</v>
      </c>
    </row>
    <row r="13" spans="1:43" x14ac:dyDescent="0.25">
      <c r="A13" s="625">
        <v>12</v>
      </c>
      <c r="B13" s="494" t="s">
        <v>929</v>
      </c>
      <c r="C13" s="625">
        <v>120</v>
      </c>
      <c r="D13" s="494" t="s">
        <v>930</v>
      </c>
      <c r="E13" s="627">
        <v>9540609</v>
      </c>
      <c r="F13" s="627">
        <v>29835</v>
      </c>
      <c r="S13" s="629">
        <f t="shared" si="0"/>
        <v>0.5625</v>
      </c>
      <c r="T13" s="629">
        <f t="shared" si="1"/>
        <v>0.58333333333333337</v>
      </c>
      <c r="U13" s="494" t="s">
        <v>917</v>
      </c>
      <c r="V13" s="620" t="str">
        <f>Combined_tables[[#This Row],[TimeSlot_Start_text]]</f>
        <v>1330</v>
      </c>
      <c r="W13" s="621" t="s">
        <v>381</v>
      </c>
      <c r="X13" s="621"/>
      <c r="Y13" s="621" t="s">
        <v>346</v>
      </c>
      <c r="Z13" s="621"/>
      <c r="AA13" s="621" t="s">
        <v>346</v>
      </c>
      <c r="AB13" s="494" t="s">
        <v>1072</v>
      </c>
      <c r="AC13" s="494" t="s">
        <v>933</v>
      </c>
      <c r="AD13" s="625" t="s">
        <v>934</v>
      </c>
      <c r="AE13" s="627">
        <v>29849</v>
      </c>
      <c r="AF13" s="623" t="s">
        <v>936</v>
      </c>
      <c r="AG13" s="627">
        <v>7089643999</v>
      </c>
      <c r="AH13" s="494" t="s">
        <v>332</v>
      </c>
      <c r="AI13" s="625" t="s">
        <v>937</v>
      </c>
      <c r="AJ13" s="627">
        <v>29711</v>
      </c>
      <c r="AM13" s="494" t="s">
        <v>786</v>
      </c>
      <c r="AN13" s="625" t="s">
        <v>901</v>
      </c>
      <c r="AO13" s="627">
        <v>22230</v>
      </c>
      <c r="AP13" s="623" t="s">
        <v>882</v>
      </c>
      <c r="AQ13" s="627">
        <v>7089327433</v>
      </c>
    </row>
    <row r="14" spans="1:43" x14ac:dyDescent="0.25">
      <c r="A14" s="625">
        <v>13</v>
      </c>
      <c r="B14" s="494" t="s">
        <v>929</v>
      </c>
      <c r="C14" s="625">
        <v>120</v>
      </c>
      <c r="D14" s="494" t="s">
        <v>930</v>
      </c>
      <c r="E14" s="627">
        <v>9540609</v>
      </c>
      <c r="F14" s="627">
        <v>29835</v>
      </c>
      <c r="S14" s="629">
        <f t="shared" si="0"/>
        <v>0.58333333333333337</v>
      </c>
      <c r="T14" s="629">
        <f t="shared" si="1"/>
        <v>0.60416666666666674</v>
      </c>
      <c r="U14" s="494" t="s">
        <v>918</v>
      </c>
      <c r="V14" s="620" t="str">
        <f>Combined_tables[[#This Row],[TimeSlot_Start_text]]</f>
        <v>1400</v>
      </c>
      <c r="W14" s="621" t="s">
        <v>381</v>
      </c>
      <c r="X14" s="621"/>
      <c r="Y14" s="621" t="s">
        <v>346</v>
      </c>
      <c r="Z14" s="621"/>
      <c r="AA14" s="621" t="s">
        <v>346</v>
      </c>
      <c r="AB14" s="494" t="s">
        <v>1079</v>
      </c>
      <c r="AC14" s="494" t="s">
        <v>933</v>
      </c>
      <c r="AD14" s="625" t="s">
        <v>934</v>
      </c>
      <c r="AE14" s="627">
        <v>29849</v>
      </c>
      <c r="AF14" s="623" t="s">
        <v>936</v>
      </c>
      <c r="AG14" s="627">
        <v>7089643999</v>
      </c>
      <c r="AH14" s="494" t="s">
        <v>332</v>
      </c>
      <c r="AI14" s="625" t="s">
        <v>937</v>
      </c>
      <c r="AJ14" s="627">
        <v>29711</v>
      </c>
      <c r="AM14" s="494" t="s">
        <v>786</v>
      </c>
      <c r="AN14" s="625" t="s">
        <v>901</v>
      </c>
      <c r="AO14" s="627">
        <v>22230</v>
      </c>
      <c r="AP14" s="623" t="s">
        <v>882</v>
      </c>
      <c r="AQ14" s="627">
        <v>7089327433</v>
      </c>
    </row>
    <row r="15" spans="1:43" x14ac:dyDescent="0.25">
      <c r="A15" s="625">
        <v>14</v>
      </c>
      <c r="B15" s="494" t="s">
        <v>929</v>
      </c>
      <c r="C15" s="625">
        <v>120</v>
      </c>
      <c r="D15" s="494" t="s">
        <v>930</v>
      </c>
      <c r="E15" s="627">
        <v>9540609</v>
      </c>
      <c r="F15" s="627">
        <v>29835</v>
      </c>
      <c r="S15" s="629">
        <f t="shared" si="0"/>
        <v>0.60416666666666663</v>
      </c>
      <c r="T15" s="629">
        <f t="shared" si="1"/>
        <v>0.625</v>
      </c>
      <c r="U15" s="494" t="s">
        <v>919</v>
      </c>
      <c r="V15" s="620" t="str">
        <f>Combined_tables[[#This Row],[TimeSlot_Start_text]]</f>
        <v>1430</v>
      </c>
      <c r="W15" s="621"/>
      <c r="X15" s="621"/>
      <c r="Y15" s="621" t="s">
        <v>346</v>
      </c>
      <c r="Z15" s="621"/>
      <c r="AA15" s="621" t="s">
        <v>346</v>
      </c>
      <c r="AB15" s="494" t="s">
        <v>1080</v>
      </c>
      <c r="AC15" s="494" t="s">
        <v>933</v>
      </c>
      <c r="AD15" s="625" t="s">
        <v>934</v>
      </c>
      <c r="AE15" s="627">
        <v>29849</v>
      </c>
      <c r="AF15" s="623" t="s">
        <v>936</v>
      </c>
      <c r="AG15" s="627">
        <v>7089643999</v>
      </c>
      <c r="AH15" s="494" t="s">
        <v>332</v>
      </c>
      <c r="AI15" s="625" t="s">
        <v>937</v>
      </c>
      <c r="AJ15" s="627">
        <v>29711</v>
      </c>
      <c r="AM15" s="494" t="s">
        <v>786</v>
      </c>
      <c r="AN15" s="625" t="s">
        <v>901</v>
      </c>
      <c r="AO15" s="627">
        <v>22230</v>
      </c>
      <c r="AP15" s="623" t="s">
        <v>882</v>
      </c>
      <c r="AQ15" s="627">
        <v>7089327433</v>
      </c>
    </row>
    <row r="16" spans="1:43" x14ac:dyDescent="0.25">
      <c r="A16" s="625">
        <v>15</v>
      </c>
      <c r="B16" s="494" t="s">
        <v>929</v>
      </c>
      <c r="C16" s="625">
        <v>120</v>
      </c>
      <c r="D16" s="494" t="s">
        <v>930</v>
      </c>
      <c r="E16" s="627">
        <v>9540609</v>
      </c>
      <c r="F16" s="627">
        <v>29835</v>
      </c>
      <c r="S16" s="629">
        <f t="shared" si="0"/>
        <v>0.625</v>
      </c>
      <c r="T16" s="629">
        <f t="shared" si="1"/>
        <v>0.64583333333333337</v>
      </c>
      <c r="U16" s="494" t="s">
        <v>920</v>
      </c>
      <c r="V16" s="620" t="str">
        <f>Combined_tables[[#This Row],[TimeSlot_Start_text]]</f>
        <v>1500</v>
      </c>
      <c r="W16" s="621"/>
      <c r="X16" s="621" t="s">
        <v>344</v>
      </c>
      <c r="Y16" s="621" t="s">
        <v>346</v>
      </c>
      <c r="Z16" s="621"/>
      <c r="AA16" s="621" t="s">
        <v>346</v>
      </c>
      <c r="AB16" s="494" t="s">
        <v>1081</v>
      </c>
      <c r="AC16" s="494" t="s">
        <v>933</v>
      </c>
      <c r="AD16" s="625" t="s">
        <v>934</v>
      </c>
      <c r="AE16" s="627">
        <v>29849</v>
      </c>
      <c r="AF16" s="623" t="s">
        <v>936</v>
      </c>
      <c r="AG16" s="627">
        <v>7089643999</v>
      </c>
      <c r="AH16" s="494" t="s">
        <v>332</v>
      </c>
      <c r="AI16" s="625" t="s">
        <v>937</v>
      </c>
      <c r="AJ16" s="627">
        <v>29711</v>
      </c>
      <c r="AM16" s="494" t="s">
        <v>786</v>
      </c>
      <c r="AN16" s="625" t="s">
        <v>901</v>
      </c>
      <c r="AO16" s="627">
        <v>22230</v>
      </c>
      <c r="AP16" s="623" t="s">
        <v>882</v>
      </c>
      <c r="AQ16" s="627">
        <v>7089327433</v>
      </c>
    </row>
    <row r="17" spans="1:43" x14ac:dyDescent="0.25">
      <c r="A17" s="625">
        <v>16</v>
      </c>
      <c r="B17" s="494" t="s">
        <v>929</v>
      </c>
      <c r="C17" s="625">
        <v>120</v>
      </c>
      <c r="D17" s="494" t="s">
        <v>930</v>
      </c>
      <c r="E17" s="627">
        <v>9540609</v>
      </c>
      <c r="F17" s="627">
        <v>29835</v>
      </c>
      <c r="S17" s="629">
        <f t="shared" si="0"/>
        <v>0.64583333333333337</v>
      </c>
      <c r="T17" s="629">
        <f t="shared" si="1"/>
        <v>0.66666666666666674</v>
      </c>
      <c r="U17" s="494" t="s">
        <v>921</v>
      </c>
      <c r="V17" s="620" t="str">
        <f>Combined_tables[[#This Row],[TimeSlot_Start_text]]</f>
        <v>1530</v>
      </c>
      <c r="W17" s="621"/>
      <c r="X17" s="621"/>
      <c r="Y17" s="621"/>
      <c r="Z17" s="621"/>
      <c r="AA17" s="621"/>
      <c r="AB17" s="494" t="s">
        <v>1082</v>
      </c>
      <c r="AC17" s="494" t="s">
        <v>933</v>
      </c>
      <c r="AD17" s="625" t="s">
        <v>934</v>
      </c>
      <c r="AE17" s="627">
        <v>29849</v>
      </c>
      <c r="AF17" s="623" t="s">
        <v>936</v>
      </c>
      <c r="AG17" s="627">
        <v>7089643999</v>
      </c>
      <c r="AH17" s="494" t="s">
        <v>332</v>
      </c>
      <c r="AI17" s="625" t="s">
        <v>937</v>
      </c>
      <c r="AJ17" s="627">
        <v>29711</v>
      </c>
      <c r="AM17" s="494" t="s">
        <v>786</v>
      </c>
      <c r="AN17" s="625" t="s">
        <v>901</v>
      </c>
      <c r="AO17" s="627">
        <v>22230</v>
      </c>
      <c r="AP17" s="623" t="s">
        <v>882</v>
      </c>
      <c r="AQ17" s="627">
        <v>7089327433</v>
      </c>
    </row>
    <row r="18" spans="1:43" x14ac:dyDescent="0.25">
      <c r="A18" s="625">
        <v>17</v>
      </c>
      <c r="B18" s="494" t="s">
        <v>929</v>
      </c>
      <c r="C18" s="625">
        <v>121</v>
      </c>
      <c r="D18" s="494" t="s">
        <v>941</v>
      </c>
      <c r="E18" s="627">
        <v>9504610</v>
      </c>
      <c r="F18" s="627">
        <v>29809</v>
      </c>
      <c r="S18" s="629">
        <f t="shared" si="0"/>
        <v>0.33333333333333331</v>
      </c>
      <c r="T18" s="629">
        <f t="shared" si="1"/>
        <v>0.35416666666666663</v>
      </c>
      <c r="U18" s="494" t="s">
        <v>906</v>
      </c>
      <c r="V18" s="620" t="str">
        <f>Combined_tables[[#This Row],[TimeSlot_Start_text]]</f>
        <v>0800</v>
      </c>
      <c r="W18" s="621" t="s">
        <v>381</v>
      </c>
      <c r="X18" s="621"/>
      <c r="Y18" s="621" t="s">
        <v>347</v>
      </c>
      <c r="Z18" s="621" t="s">
        <v>347</v>
      </c>
      <c r="AA18" s="621" t="s">
        <v>348</v>
      </c>
      <c r="AB18" s="494" t="s">
        <v>1083</v>
      </c>
      <c r="AC18" s="494" t="s">
        <v>933</v>
      </c>
      <c r="AD18" s="625" t="s">
        <v>934</v>
      </c>
      <c r="AE18" s="627">
        <v>29849</v>
      </c>
      <c r="AF18" s="623" t="s">
        <v>936</v>
      </c>
      <c r="AG18" s="627">
        <v>7089643999</v>
      </c>
      <c r="AH18" s="494" t="s">
        <v>332</v>
      </c>
      <c r="AI18" s="625" t="s">
        <v>937</v>
      </c>
      <c r="AJ18" s="627">
        <v>29711</v>
      </c>
      <c r="AM18" s="494" t="s">
        <v>786</v>
      </c>
      <c r="AN18" s="625" t="s">
        <v>901</v>
      </c>
      <c r="AO18" s="627">
        <v>22230</v>
      </c>
      <c r="AP18" s="623" t="s">
        <v>882</v>
      </c>
      <c r="AQ18" s="627">
        <v>7089327433</v>
      </c>
    </row>
    <row r="19" spans="1:43" x14ac:dyDescent="0.25">
      <c r="A19" s="625">
        <v>18</v>
      </c>
      <c r="B19" s="494" t="s">
        <v>929</v>
      </c>
      <c r="C19" s="625">
        <v>121</v>
      </c>
      <c r="D19" s="494" t="s">
        <v>941</v>
      </c>
      <c r="E19" s="627">
        <v>9504610</v>
      </c>
      <c r="F19" s="627">
        <v>29809</v>
      </c>
      <c r="S19" s="629">
        <f t="shared" si="0"/>
        <v>0.35416666666666669</v>
      </c>
      <c r="T19" s="629">
        <f t="shared" si="1"/>
        <v>0.375</v>
      </c>
      <c r="U19" s="494" t="s">
        <v>907</v>
      </c>
      <c r="V19" s="620" t="str">
        <f>Combined_tables[[#This Row],[TimeSlot_Start_text]]</f>
        <v>0830</v>
      </c>
      <c r="W19" s="621" t="s">
        <v>381</v>
      </c>
      <c r="X19" s="621" t="s">
        <v>348</v>
      </c>
      <c r="Y19" s="621" t="s">
        <v>347</v>
      </c>
      <c r="Z19" s="621" t="s">
        <v>347</v>
      </c>
      <c r="AA19" s="621" t="s">
        <v>348</v>
      </c>
      <c r="AB19" s="494" t="s">
        <v>1084</v>
      </c>
      <c r="AC19" s="494" t="s">
        <v>933</v>
      </c>
      <c r="AD19" s="625" t="s">
        <v>934</v>
      </c>
      <c r="AE19" s="627">
        <v>29849</v>
      </c>
      <c r="AF19" s="623" t="s">
        <v>936</v>
      </c>
      <c r="AG19" s="627">
        <v>7089643999</v>
      </c>
      <c r="AH19" s="494" t="s">
        <v>332</v>
      </c>
      <c r="AI19" s="625" t="s">
        <v>937</v>
      </c>
      <c r="AJ19" s="627">
        <v>29711</v>
      </c>
      <c r="AM19" s="494" t="s">
        <v>786</v>
      </c>
      <c r="AN19" s="625" t="s">
        <v>901</v>
      </c>
      <c r="AO19" s="627">
        <v>22230</v>
      </c>
      <c r="AP19" s="623" t="s">
        <v>882</v>
      </c>
      <c r="AQ19" s="627">
        <v>7089327433</v>
      </c>
    </row>
    <row r="20" spans="1:43" x14ac:dyDescent="0.25">
      <c r="A20" s="625">
        <v>19</v>
      </c>
      <c r="B20" s="494" t="s">
        <v>929</v>
      </c>
      <c r="C20" s="625">
        <v>121</v>
      </c>
      <c r="D20" s="494" t="s">
        <v>941</v>
      </c>
      <c r="E20" s="627">
        <v>9504610</v>
      </c>
      <c r="F20" s="627">
        <v>29809</v>
      </c>
      <c r="S20" s="629">
        <f t="shared" si="0"/>
        <v>0.375</v>
      </c>
      <c r="T20" s="629">
        <f t="shared" si="1"/>
        <v>0.39583333333333331</v>
      </c>
      <c r="U20" s="494" t="s">
        <v>908</v>
      </c>
      <c r="V20" s="620" t="str">
        <f>Combined_tables[[#This Row],[TimeSlot_Start_text]]</f>
        <v>0900</v>
      </c>
      <c r="W20" s="621" t="s">
        <v>381</v>
      </c>
      <c r="X20" s="621" t="s">
        <v>348</v>
      </c>
      <c r="Y20" s="621" t="s">
        <v>347</v>
      </c>
      <c r="Z20" s="621" t="s">
        <v>347</v>
      </c>
      <c r="AA20" s="621" t="s">
        <v>348</v>
      </c>
      <c r="AB20" s="494" t="s">
        <v>1085</v>
      </c>
      <c r="AC20" s="494" t="s">
        <v>933</v>
      </c>
      <c r="AD20" s="625" t="s">
        <v>934</v>
      </c>
      <c r="AE20" s="627">
        <v>29849</v>
      </c>
      <c r="AF20" s="623" t="s">
        <v>936</v>
      </c>
      <c r="AG20" s="627">
        <v>7089643999</v>
      </c>
      <c r="AH20" s="494" t="s">
        <v>332</v>
      </c>
      <c r="AI20" s="625" t="s">
        <v>937</v>
      </c>
      <c r="AJ20" s="627">
        <v>29711</v>
      </c>
      <c r="AM20" s="494" t="s">
        <v>786</v>
      </c>
      <c r="AN20" s="625" t="s">
        <v>901</v>
      </c>
      <c r="AO20" s="627">
        <v>22230</v>
      </c>
      <c r="AP20" s="623" t="s">
        <v>882</v>
      </c>
      <c r="AQ20" s="627">
        <v>7089327433</v>
      </c>
    </row>
    <row r="21" spans="1:43" x14ac:dyDescent="0.25">
      <c r="A21" s="625">
        <v>20</v>
      </c>
      <c r="B21" s="494" t="s">
        <v>929</v>
      </c>
      <c r="C21" s="625">
        <v>121</v>
      </c>
      <c r="D21" s="494" t="s">
        <v>941</v>
      </c>
      <c r="E21" s="627">
        <v>9504610</v>
      </c>
      <c r="F21" s="627">
        <v>29809</v>
      </c>
      <c r="S21" s="629">
        <f t="shared" si="0"/>
        <v>0.39583333333333331</v>
      </c>
      <c r="T21" s="629">
        <f t="shared" si="1"/>
        <v>0.41666666666666663</v>
      </c>
      <c r="U21" s="494" t="s">
        <v>909</v>
      </c>
      <c r="V21" s="620" t="str">
        <f>Combined_tables[[#This Row],[TimeSlot_Start_text]]</f>
        <v>0930</v>
      </c>
      <c r="W21" s="621" t="s">
        <v>381</v>
      </c>
      <c r="X21" s="621" t="s">
        <v>348</v>
      </c>
      <c r="Y21" s="621" t="s">
        <v>347</v>
      </c>
      <c r="Z21" s="621" t="s">
        <v>347</v>
      </c>
      <c r="AA21" s="621" t="s">
        <v>348</v>
      </c>
      <c r="AB21" s="494" t="s">
        <v>1086</v>
      </c>
      <c r="AC21" s="494" t="s">
        <v>933</v>
      </c>
      <c r="AD21" s="625" t="s">
        <v>934</v>
      </c>
      <c r="AE21" s="627">
        <v>29849</v>
      </c>
      <c r="AF21" s="623" t="s">
        <v>936</v>
      </c>
      <c r="AG21" s="627">
        <v>7089643999</v>
      </c>
      <c r="AH21" s="494" t="s">
        <v>332</v>
      </c>
      <c r="AI21" s="625" t="s">
        <v>937</v>
      </c>
      <c r="AJ21" s="627">
        <v>29711</v>
      </c>
      <c r="AM21" s="494" t="s">
        <v>786</v>
      </c>
      <c r="AN21" s="625" t="s">
        <v>901</v>
      </c>
      <c r="AO21" s="627">
        <v>22230</v>
      </c>
      <c r="AP21" s="623" t="s">
        <v>882</v>
      </c>
      <c r="AQ21" s="627">
        <v>7089327433</v>
      </c>
    </row>
    <row r="22" spans="1:43" x14ac:dyDescent="0.25">
      <c r="A22" s="625">
        <v>21</v>
      </c>
      <c r="B22" s="494" t="s">
        <v>929</v>
      </c>
      <c r="C22" s="625">
        <v>121</v>
      </c>
      <c r="D22" s="494" t="s">
        <v>941</v>
      </c>
      <c r="E22" s="627">
        <v>9504610</v>
      </c>
      <c r="F22" s="627">
        <v>29809</v>
      </c>
      <c r="S22" s="629">
        <f t="shared" si="0"/>
        <v>0.41666666666666669</v>
      </c>
      <c r="T22" s="629">
        <f t="shared" si="1"/>
        <v>0.4375</v>
      </c>
      <c r="U22" s="494" t="s">
        <v>910</v>
      </c>
      <c r="V22" s="620" t="str">
        <f>Combined_tables[[#This Row],[TimeSlot_Start_text]]</f>
        <v>1000</v>
      </c>
      <c r="W22" s="621" t="s">
        <v>380</v>
      </c>
      <c r="X22" s="621" t="s">
        <v>348</v>
      </c>
      <c r="Y22" s="621"/>
      <c r="Z22" s="621" t="s">
        <v>347</v>
      </c>
      <c r="AA22" s="621" t="s">
        <v>348</v>
      </c>
      <c r="AB22" s="494" t="s">
        <v>1073</v>
      </c>
      <c r="AC22" s="494" t="s">
        <v>933</v>
      </c>
      <c r="AD22" s="625" t="s">
        <v>934</v>
      </c>
      <c r="AE22" s="627">
        <v>29849</v>
      </c>
      <c r="AF22" s="623" t="s">
        <v>936</v>
      </c>
      <c r="AG22" s="627">
        <v>7089643999</v>
      </c>
      <c r="AH22" s="494" t="s">
        <v>332</v>
      </c>
      <c r="AI22" s="625" t="s">
        <v>937</v>
      </c>
      <c r="AJ22" s="627">
        <v>29711</v>
      </c>
      <c r="AM22" s="494" t="s">
        <v>786</v>
      </c>
      <c r="AN22" s="625" t="s">
        <v>901</v>
      </c>
      <c r="AO22" s="627">
        <v>22230</v>
      </c>
      <c r="AP22" s="623" t="s">
        <v>882</v>
      </c>
      <c r="AQ22" s="627">
        <v>7089327433</v>
      </c>
    </row>
    <row r="23" spans="1:43" x14ac:dyDescent="0.25">
      <c r="A23" s="625">
        <v>22</v>
      </c>
      <c r="B23" s="494" t="s">
        <v>929</v>
      </c>
      <c r="C23" s="625">
        <v>121</v>
      </c>
      <c r="D23" s="494" t="s">
        <v>941</v>
      </c>
      <c r="E23" s="627">
        <v>9504610</v>
      </c>
      <c r="F23" s="627">
        <v>29809</v>
      </c>
      <c r="S23" s="629">
        <f t="shared" si="0"/>
        <v>0.4375</v>
      </c>
      <c r="T23" s="629">
        <f t="shared" si="1"/>
        <v>0.45833333333333331</v>
      </c>
      <c r="U23" s="494" t="s">
        <v>911</v>
      </c>
      <c r="V23" s="620" t="str">
        <f>Combined_tables[[#This Row],[TimeSlot_Start_text]]</f>
        <v>1030</v>
      </c>
      <c r="W23" s="621"/>
      <c r="X23" s="621" t="s">
        <v>348</v>
      </c>
      <c r="Y23" s="621"/>
      <c r="Z23" s="621" t="s">
        <v>347</v>
      </c>
      <c r="AA23" s="621" t="s">
        <v>348</v>
      </c>
      <c r="AB23" s="494" t="s">
        <v>1074</v>
      </c>
      <c r="AC23" s="494" t="s">
        <v>933</v>
      </c>
      <c r="AD23" s="625" t="s">
        <v>934</v>
      </c>
      <c r="AE23" s="627">
        <v>29849</v>
      </c>
      <c r="AF23" s="623" t="s">
        <v>936</v>
      </c>
      <c r="AG23" s="627">
        <v>7089643999</v>
      </c>
      <c r="AH23" s="494" t="s">
        <v>332</v>
      </c>
      <c r="AI23" s="625" t="s">
        <v>937</v>
      </c>
      <c r="AJ23" s="627">
        <v>29711</v>
      </c>
      <c r="AM23" s="494" t="s">
        <v>786</v>
      </c>
      <c r="AN23" s="625" t="s">
        <v>901</v>
      </c>
      <c r="AO23" s="627">
        <v>22230</v>
      </c>
      <c r="AP23" s="623" t="s">
        <v>882</v>
      </c>
      <c r="AQ23" s="627">
        <v>7089327433</v>
      </c>
    </row>
    <row r="24" spans="1:43" x14ac:dyDescent="0.25">
      <c r="A24" s="625">
        <v>23</v>
      </c>
      <c r="B24" s="494" t="s">
        <v>929</v>
      </c>
      <c r="C24" s="625">
        <v>121</v>
      </c>
      <c r="D24" s="494" t="s">
        <v>941</v>
      </c>
      <c r="E24" s="627">
        <v>9504610</v>
      </c>
      <c r="F24" s="627">
        <v>29809</v>
      </c>
      <c r="S24" s="629">
        <f t="shared" si="0"/>
        <v>0.45833333333333331</v>
      </c>
      <c r="T24" s="629">
        <f t="shared" si="1"/>
        <v>0.47916666666666663</v>
      </c>
      <c r="U24" s="494" t="s">
        <v>912</v>
      </c>
      <c r="V24" s="620" t="str">
        <f>Combined_tables[[#This Row],[TimeSlot_Start_text]]</f>
        <v>1100</v>
      </c>
      <c r="W24" s="621"/>
      <c r="X24" s="621" t="s">
        <v>348</v>
      </c>
      <c r="Y24" s="621"/>
      <c r="Z24" s="621" t="s">
        <v>347</v>
      </c>
      <c r="AA24" s="621" t="s">
        <v>348</v>
      </c>
      <c r="AB24" s="494" t="s">
        <v>1076</v>
      </c>
      <c r="AC24" s="494" t="s">
        <v>933</v>
      </c>
      <c r="AD24" s="625" t="s">
        <v>934</v>
      </c>
      <c r="AE24" s="627">
        <v>29849</v>
      </c>
      <c r="AF24" s="623" t="s">
        <v>936</v>
      </c>
      <c r="AG24" s="627">
        <v>7089643999</v>
      </c>
      <c r="AH24" s="494" t="s">
        <v>332</v>
      </c>
      <c r="AI24" s="625" t="s">
        <v>937</v>
      </c>
      <c r="AJ24" s="627">
        <v>29711</v>
      </c>
      <c r="AM24" s="494" t="s">
        <v>786</v>
      </c>
      <c r="AN24" s="625" t="s">
        <v>901</v>
      </c>
      <c r="AO24" s="627">
        <v>22230</v>
      </c>
      <c r="AP24" s="623" t="s">
        <v>882</v>
      </c>
      <c r="AQ24" s="627">
        <v>7089327433</v>
      </c>
    </row>
    <row r="25" spans="1:43" x14ac:dyDescent="0.25">
      <c r="A25" s="625">
        <v>24</v>
      </c>
      <c r="B25" s="494" t="s">
        <v>929</v>
      </c>
      <c r="C25" s="625">
        <v>121</v>
      </c>
      <c r="D25" s="494" t="s">
        <v>941</v>
      </c>
      <c r="E25" s="627">
        <v>9504610</v>
      </c>
      <c r="F25" s="627">
        <v>29809</v>
      </c>
      <c r="S25" s="629">
        <f t="shared" si="0"/>
        <v>0.47916666666666669</v>
      </c>
      <c r="T25" s="629">
        <f t="shared" si="1"/>
        <v>0.5</v>
      </c>
      <c r="U25" s="494" t="s">
        <v>913</v>
      </c>
      <c r="V25" s="620" t="str">
        <f>Combined_tables[[#This Row],[TimeSlot_Start_text]]</f>
        <v>1130</v>
      </c>
      <c r="W25" s="621"/>
      <c r="X25" s="621" t="s">
        <v>348</v>
      </c>
      <c r="Y25" s="621"/>
      <c r="Z25" s="621" t="s">
        <v>347</v>
      </c>
      <c r="AA25" s="621" t="s">
        <v>348</v>
      </c>
      <c r="AB25" s="494" t="s">
        <v>1075</v>
      </c>
      <c r="AC25" s="494" t="s">
        <v>933</v>
      </c>
      <c r="AD25" s="625" t="s">
        <v>934</v>
      </c>
      <c r="AE25" s="627">
        <v>29849</v>
      </c>
      <c r="AF25" s="623" t="s">
        <v>936</v>
      </c>
      <c r="AG25" s="627">
        <v>7089643999</v>
      </c>
      <c r="AH25" s="494" t="s">
        <v>332</v>
      </c>
      <c r="AI25" s="625" t="s">
        <v>937</v>
      </c>
      <c r="AJ25" s="627">
        <v>29711</v>
      </c>
      <c r="AM25" s="494" t="s">
        <v>786</v>
      </c>
      <c r="AN25" s="625" t="s">
        <v>901</v>
      </c>
      <c r="AO25" s="627">
        <v>22230</v>
      </c>
      <c r="AP25" s="623" t="s">
        <v>882</v>
      </c>
      <c r="AQ25" s="627">
        <v>7089327433</v>
      </c>
    </row>
    <row r="26" spans="1:43" ht="15" customHeight="1" x14ac:dyDescent="0.25">
      <c r="A26" s="625">
        <v>25</v>
      </c>
      <c r="B26" s="494" t="s">
        <v>929</v>
      </c>
      <c r="C26" s="625">
        <v>121</v>
      </c>
      <c r="D26" s="494" t="s">
        <v>941</v>
      </c>
      <c r="E26" s="627">
        <v>9504610</v>
      </c>
      <c r="F26" s="627">
        <v>29809</v>
      </c>
      <c r="S26" s="629">
        <f t="shared" si="0"/>
        <v>0.5</v>
      </c>
      <c r="T26" s="629">
        <f t="shared" si="1"/>
        <v>0.52083333333333337</v>
      </c>
      <c r="U26" s="494" t="s">
        <v>914</v>
      </c>
      <c r="V26" s="620" t="str">
        <f>Combined_tables[[#This Row],[TimeSlot_Start_text]]</f>
        <v>1200</v>
      </c>
      <c r="W26" s="621" t="s">
        <v>354</v>
      </c>
      <c r="X26" s="621" t="s">
        <v>354</v>
      </c>
      <c r="Y26" s="621" t="s">
        <v>354</v>
      </c>
      <c r="Z26" s="621" t="s">
        <v>354</v>
      </c>
      <c r="AA26" s="621" t="s">
        <v>354</v>
      </c>
      <c r="AB26" s="494" t="s">
        <v>1077</v>
      </c>
      <c r="AC26" s="494" t="s">
        <v>933</v>
      </c>
      <c r="AD26" s="625" t="s">
        <v>934</v>
      </c>
      <c r="AE26" s="627">
        <v>29849</v>
      </c>
      <c r="AF26" s="623" t="s">
        <v>936</v>
      </c>
      <c r="AG26" s="627">
        <v>7089643999</v>
      </c>
      <c r="AH26" s="494" t="s">
        <v>332</v>
      </c>
      <c r="AI26" s="625" t="s">
        <v>937</v>
      </c>
      <c r="AJ26" s="627">
        <v>29711</v>
      </c>
      <c r="AM26" s="494" t="s">
        <v>786</v>
      </c>
      <c r="AN26" s="625" t="s">
        <v>901</v>
      </c>
      <c r="AO26" s="627">
        <v>22230</v>
      </c>
      <c r="AP26" s="623" t="s">
        <v>882</v>
      </c>
      <c r="AQ26" s="627">
        <v>7089327433</v>
      </c>
    </row>
    <row r="27" spans="1:43" ht="15.75" customHeight="1" x14ac:dyDescent="0.25">
      <c r="A27" s="625">
        <v>26</v>
      </c>
      <c r="B27" s="494" t="s">
        <v>929</v>
      </c>
      <c r="C27" s="625">
        <v>121</v>
      </c>
      <c r="D27" s="494" t="s">
        <v>941</v>
      </c>
      <c r="E27" s="627">
        <v>9504610</v>
      </c>
      <c r="F27" s="627">
        <v>29809</v>
      </c>
      <c r="S27" s="629">
        <f t="shared" si="0"/>
        <v>0.52083333333333337</v>
      </c>
      <c r="T27" s="629">
        <f t="shared" si="1"/>
        <v>0.54166666666666674</v>
      </c>
      <c r="U27" s="494" t="s">
        <v>915</v>
      </c>
      <c r="V27" s="620" t="str">
        <f>Combined_tables[[#This Row],[TimeSlot_Start_text]]</f>
        <v>1230</v>
      </c>
      <c r="W27" s="621" t="s">
        <v>354</v>
      </c>
      <c r="X27" s="621" t="s">
        <v>354</v>
      </c>
      <c r="Y27" s="621" t="s">
        <v>354</v>
      </c>
      <c r="Z27" s="621" t="s">
        <v>354</v>
      </c>
      <c r="AA27" s="621" t="s">
        <v>354</v>
      </c>
      <c r="AB27" s="494" t="s">
        <v>1078</v>
      </c>
      <c r="AC27" s="494" t="s">
        <v>933</v>
      </c>
      <c r="AD27" s="625" t="s">
        <v>934</v>
      </c>
      <c r="AE27" s="627">
        <v>29849</v>
      </c>
      <c r="AF27" s="623" t="s">
        <v>936</v>
      </c>
      <c r="AG27" s="627">
        <v>7089643999</v>
      </c>
      <c r="AH27" s="494" t="s">
        <v>332</v>
      </c>
      <c r="AI27" s="625" t="s">
        <v>937</v>
      </c>
      <c r="AJ27" s="627">
        <v>29711</v>
      </c>
      <c r="AM27" s="494" t="s">
        <v>786</v>
      </c>
      <c r="AN27" s="625" t="s">
        <v>901</v>
      </c>
      <c r="AO27" s="627">
        <v>22230</v>
      </c>
      <c r="AP27" s="623" t="s">
        <v>882</v>
      </c>
      <c r="AQ27" s="627">
        <v>7089327433</v>
      </c>
    </row>
    <row r="28" spans="1:43" x14ac:dyDescent="0.25">
      <c r="A28" s="625">
        <v>27</v>
      </c>
      <c r="B28" s="494" t="s">
        <v>929</v>
      </c>
      <c r="C28" s="625">
        <v>121</v>
      </c>
      <c r="D28" s="494" t="s">
        <v>941</v>
      </c>
      <c r="E28" s="627">
        <v>9504610</v>
      </c>
      <c r="F28" s="627">
        <v>29809</v>
      </c>
      <c r="S28" s="629">
        <f t="shared" si="0"/>
        <v>0.54166666666666663</v>
      </c>
      <c r="T28" s="629">
        <f t="shared" si="1"/>
        <v>0.5625</v>
      </c>
      <c r="U28" s="494" t="s">
        <v>916</v>
      </c>
      <c r="V28" s="620" t="str">
        <f>Combined_tables[[#This Row],[TimeSlot_Start_text]]</f>
        <v>1300</v>
      </c>
      <c r="W28" s="621" t="s">
        <v>348</v>
      </c>
      <c r="X28" s="621" t="s">
        <v>348</v>
      </c>
      <c r="Y28" s="621" t="s">
        <v>350</v>
      </c>
      <c r="Z28" s="621"/>
      <c r="AA28" s="621" t="s">
        <v>356</v>
      </c>
      <c r="AB28" s="494" t="s">
        <v>1071</v>
      </c>
      <c r="AC28" s="494" t="s">
        <v>933</v>
      </c>
      <c r="AD28" s="625" t="s">
        <v>934</v>
      </c>
      <c r="AE28" s="627">
        <v>29849</v>
      </c>
      <c r="AF28" s="623" t="s">
        <v>936</v>
      </c>
      <c r="AG28" s="627">
        <v>7089643999</v>
      </c>
      <c r="AH28" s="494" t="s">
        <v>332</v>
      </c>
      <c r="AI28" s="625" t="s">
        <v>937</v>
      </c>
      <c r="AJ28" s="627">
        <v>29711</v>
      </c>
      <c r="AM28" s="494" t="s">
        <v>786</v>
      </c>
      <c r="AN28" s="625" t="s">
        <v>901</v>
      </c>
      <c r="AO28" s="627">
        <v>22230</v>
      </c>
      <c r="AP28" s="623" t="s">
        <v>882</v>
      </c>
      <c r="AQ28" s="627">
        <v>7089327433</v>
      </c>
    </row>
    <row r="29" spans="1:43" x14ac:dyDescent="0.25">
      <c r="A29" s="625">
        <v>28</v>
      </c>
      <c r="B29" s="494" t="s">
        <v>929</v>
      </c>
      <c r="C29" s="625">
        <v>121</v>
      </c>
      <c r="D29" s="494" t="s">
        <v>941</v>
      </c>
      <c r="E29" s="627">
        <v>9504610</v>
      </c>
      <c r="F29" s="627">
        <v>29809</v>
      </c>
      <c r="S29" s="629">
        <f t="shared" si="0"/>
        <v>0.5625</v>
      </c>
      <c r="T29" s="629">
        <f t="shared" si="1"/>
        <v>0.58333333333333337</v>
      </c>
      <c r="U29" s="494" t="s">
        <v>917</v>
      </c>
      <c r="V29" s="620" t="str">
        <f>Combined_tables[[#This Row],[TimeSlot_Start_text]]</f>
        <v>1330</v>
      </c>
      <c r="W29" s="621" t="s">
        <v>348</v>
      </c>
      <c r="X29" s="621" t="s">
        <v>348</v>
      </c>
      <c r="Y29" s="621" t="s">
        <v>350</v>
      </c>
      <c r="Z29" s="621"/>
      <c r="AA29" s="621" t="s">
        <v>356</v>
      </c>
      <c r="AB29" s="494" t="s">
        <v>1072</v>
      </c>
      <c r="AC29" s="494" t="s">
        <v>933</v>
      </c>
      <c r="AD29" s="625" t="s">
        <v>934</v>
      </c>
      <c r="AE29" s="627">
        <v>29849</v>
      </c>
      <c r="AF29" s="623" t="s">
        <v>936</v>
      </c>
      <c r="AG29" s="627">
        <v>7089643999</v>
      </c>
      <c r="AH29" s="494" t="s">
        <v>332</v>
      </c>
      <c r="AI29" s="625" t="s">
        <v>937</v>
      </c>
      <c r="AJ29" s="627">
        <v>29711</v>
      </c>
      <c r="AM29" s="494" t="s">
        <v>786</v>
      </c>
      <c r="AN29" s="625" t="s">
        <v>901</v>
      </c>
      <c r="AO29" s="627">
        <v>22230</v>
      </c>
      <c r="AP29" s="623" t="s">
        <v>882</v>
      </c>
      <c r="AQ29" s="627">
        <v>7089327433</v>
      </c>
    </row>
    <row r="30" spans="1:43" x14ac:dyDescent="0.25">
      <c r="A30" s="625">
        <v>29</v>
      </c>
      <c r="B30" s="494" t="s">
        <v>929</v>
      </c>
      <c r="C30" s="625">
        <v>121</v>
      </c>
      <c r="D30" s="494" t="s">
        <v>941</v>
      </c>
      <c r="E30" s="627">
        <v>9504610</v>
      </c>
      <c r="F30" s="627">
        <v>29809</v>
      </c>
      <c r="S30" s="629">
        <f t="shared" si="0"/>
        <v>0.58333333333333337</v>
      </c>
      <c r="T30" s="629">
        <f t="shared" si="1"/>
        <v>0.60416666666666674</v>
      </c>
      <c r="U30" s="494" t="s">
        <v>918</v>
      </c>
      <c r="V30" s="620" t="str">
        <f>Combined_tables[[#This Row],[TimeSlot_Start_text]]</f>
        <v>1400</v>
      </c>
      <c r="W30" s="621" t="s">
        <v>348</v>
      </c>
      <c r="X30" s="621" t="s">
        <v>348</v>
      </c>
      <c r="Y30" s="621" t="s">
        <v>350</v>
      </c>
      <c r="Z30" s="621"/>
      <c r="AA30" s="621" t="s">
        <v>356</v>
      </c>
      <c r="AB30" s="494" t="s">
        <v>1079</v>
      </c>
      <c r="AC30" s="494" t="s">
        <v>933</v>
      </c>
      <c r="AD30" s="625" t="s">
        <v>934</v>
      </c>
      <c r="AE30" s="627">
        <v>29849</v>
      </c>
      <c r="AF30" s="623" t="s">
        <v>936</v>
      </c>
      <c r="AG30" s="627">
        <v>7089643999</v>
      </c>
      <c r="AH30" s="494" t="s">
        <v>332</v>
      </c>
      <c r="AI30" s="625" t="s">
        <v>937</v>
      </c>
      <c r="AJ30" s="627">
        <v>29711</v>
      </c>
      <c r="AM30" s="494" t="s">
        <v>786</v>
      </c>
      <c r="AN30" s="625" t="s">
        <v>901</v>
      </c>
      <c r="AO30" s="627">
        <v>22230</v>
      </c>
      <c r="AP30" s="623" t="s">
        <v>882</v>
      </c>
      <c r="AQ30" s="627">
        <v>7089327433</v>
      </c>
    </row>
    <row r="31" spans="1:43" x14ac:dyDescent="0.25">
      <c r="A31" s="625">
        <v>30</v>
      </c>
      <c r="B31" s="494" t="s">
        <v>929</v>
      </c>
      <c r="C31" s="625">
        <v>121</v>
      </c>
      <c r="D31" s="494" t="s">
        <v>941</v>
      </c>
      <c r="E31" s="627">
        <v>9504610</v>
      </c>
      <c r="F31" s="627">
        <v>29809</v>
      </c>
      <c r="S31" s="629">
        <f t="shared" si="0"/>
        <v>0.60416666666666663</v>
      </c>
      <c r="T31" s="629">
        <f t="shared" si="1"/>
        <v>0.625</v>
      </c>
      <c r="U31" s="494" t="s">
        <v>919</v>
      </c>
      <c r="V31" s="620" t="str">
        <f>Combined_tables[[#This Row],[TimeSlot_Start_text]]</f>
        <v>1430</v>
      </c>
      <c r="W31" s="621" t="s">
        <v>348</v>
      </c>
      <c r="X31" s="621" t="s">
        <v>348</v>
      </c>
      <c r="Y31" s="621" t="s">
        <v>350</v>
      </c>
      <c r="Z31" s="621"/>
      <c r="AA31" s="621" t="s">
        <v>356</v>
      </c>
      <c r="AB31" s="494" t="s">
        <v>1080</v>
      </c>
      <c r="AC31" s="494" t="s">
        <v>933</v>
      </c>
      <c r="AD31" s="625" t="s">
        <v>934</v>
      </c>
      <c r="AE31" s="627">
        <v>29849</v>
      </c>
      <c r="AF31" s="623" t="s">
        <v>936</v>
      </c>
      <c r="AG31" s="627">
        <v>7089643999</v>
      </c>
      <c r="AH31" s="494" t="s">
        <v>332</v>
      </c>
      <c r="AI31" s="625" t="s">
        <v>937</v>
      </c>
      <c r="AJ31" s="627">
        <v>29711</v>
      </c>
      <c r="AM31" s="494" t="s">
        <v>786</v>
      </c>
      <c r="AN31" s="625" t="s">
        <v>901</v>
      </c>
      <c r="AO31" s="627">
        <v>22230</v>
      </c>
      <c r="AP31" s="623" t="s">
        <v>882</v>
      </c>
      <c r="AQ31" s="627">
        <v>7089327433</v>
      </c>
    </row>
    <row r="32" spans="1:43" x14ac:dyDescent="0.25">
      <c r="A32" s="625">
        <v>31</v>
      </c>
      <c r="B32" s="494" t="s">
        <v>929</v>
      </c>
      <c r="C32" s="625">
        <v>121</v>
      </c>
      <c r="D32" s="494" t="s">
        <v>941</v>
      </c>
      <c r="E32" s="627">
        <v>9504610</v>
      </c>
      <c r="F32" s="627">
        <v>29809</v>
      </c>
      <c r="S32" s="629">
        <f t="shared" si="0"/>
        <v>0.625</v>
      </c>
      <c r="T32" s="629">
        <f t="shared" si="1"/>
        <v>0.64583333333333337</v>
      </c>
      <c r="U32" s="494" t="s">
        <v>920</v>
      </c>
      <c r="V32" s="620" t="str">
        <f>Combined_tables[[#This Row],[TimeSlot_Start_text]]</f>
        <v>1500</v>
      </c>
      <c r="W32" s="621" t="s">
        <v>348</v>
      </c>
      <c r="X32" s="621"/>
      <c r="Y32" s="621" t="s">
        <v>351</v>
      </c>
      <c r="Z32" s="621"/>
      <c r="AA32" s="621" t="s">
        <v>356</v>
      </c>
      <c r="AB32" s="494" t="s">
        <v>1081</v>
      </c>
      <c r="AC32" s="494" t="s">
        <v>933</v>
      </c>
      <c r="AD32" s="625" t="s">
        <v>934</v>
      </c>
      <c r="AE32" s="627">
        <v>29849</v>
      </c>
      <c r="AF32" s="623" t="s">
        <v>936</v>
      </c>
      <c r="AG32" s="627">
        <v>7089643999</v>
      </c>
      <c r="AH32" s="494" t="s">
        <v>332</v>
      </c>
      <c r="AI32" s="625" t="s">
        <v>937</v>
      </c>
      <c r="AJ32" s="627">
        <v>29711</v>
      </c>
      <c r="AM32" s="494" t="s">
        <v>786</v>
      </c>
      <c r="AN32" s="625" t="s">
        <v>901</v>
      </c>
      <c r="AO32" s="627">
        <v>22230</v>
      </c>
      <c r="AP32" s="623" t="s">
        <v>882</v>
      </c>
      <c r="AQ32" s="627">
        <v>7089327433</v>
      </c>
    </row>
    <row r="33" spans="1:43" x14ac:dyDescent="0.25">
      <c r="A33" s="625">
        <v>32</v>
      </c>
      <c r="B33" s="494" t="s">
        <v>929</v>
      </c>
      <c r="C33" s="625">
        <v>121</v>
      </c>
      <c r="D33" s="494" t="s">
        <v>941</v>
      </c>
      <c r="E33" s="627">
        <v>9504610</v>
      </c>
      <c r="F33" s="627">
        <v>29809</v>
      </c>
      <c r="S33" s="629">
        <f t="shared" si="0"/>
        <v>0.64583333333333337</v>
      </c>
      <c r="T33" s="629">
        <f t="shared" si="1"/>
        <v>0.66666666666666674</v>
      </c>
      <c r="U33" s="494" t="s">
        <v>921</v>
      </c>
      <c r="V33" s="620" t="str">
        <f>Combined_tables[[#This Row],[TimeSlot_Start_text]]</f>
        <v>1530</v>
      </c>
      <c r="W33" s="621" t="s">
        <v>348</v>
      </c>
      <c r="X33" s="621"/>
      <c r="Y33" s="621" t="s">
        <v>351</v>
      </c>
      <c r="Z33" s="621"/>
      <c r="AA33" s="621" t="s">
        <v>356</v>
      </c>
      <c r="AB33" s="494" t="s">
        <v>1082</v>
      </c>
      <c r="AC33" s="494" t="s">
        <v>933</v>
      </c>
      <c r="AD33" s="625" t="s">
        <v>934</v>
      </c>
      <c r="AE33" s="627">
        <v>29849</v>
      </c>
      <c r="AF33" s="623" t="s">
        <v>936</v>
      </c>
      <c r="AG33" s="627">
        <v>7089643999</v>
      </c>
      <c r="AH33" s="494" t="s">
        <v>332</v>
      </c>
      <c r="AI33" s="625" t="s">
        <v>937</v>
      </c>
      <c r="AJ33" s="627">
        <v>29711</v>
      </c>
      <c r="AM33" s="494" t="s">
        <v>786</v>
      </c>
      <c r="AN33" s="625" t="s">
        <v>901</v>
      </c>
      <c r="AO33" s="627">
        <v>22230</v>
      </c>
      <c r="AP33" s="623" t="s">
        <v>882</v>
      </c>
      <c r="AQ33" s="627">
        <v>7089327433</v>
      </c>
    </row>
    <row r="34" spans="1:43" x14ac:dyDescent="0.25">
      <c r="A34" s="625">
        <v>33</v>
      </c>
      <c r="B34" s="494" t="s">
        <v>528</v>
      </c>
      <c r="C34" s="625">
        <v>103</v>
      </c>
      <c r="D34" s="494" t="s">
        <v>1010</v>
      </c>
      <c r="E34" s="627">
        <v>9504616</v>
      </c>
      <c r="F34" s="627">
        <v>29706</v>
      </c>
      <c r="G34" s="494" t="s">
        <v>1013</v>
      </c>
      <c r="S34" s="629">
        <f t="shared" si="0"/>
        <v>0.33333333333333331</v>
      </c>
      <c r="T34" s="629">
        <f t="shared" si="1"/>
        <v>0.35416666666666663</v>
      </c>
      <c r="U34" s="494" t="s">
        <v>906</v>
      </c>
      <c r="V34" s="620" t="str">
        <f>Combined_tables[[#This Row],[TimeSlot_Start_text]]</f>
        <v>0800</v>
      </c>
      <c r="W34" s="621"/>
      <c r="X34" s="621" t="s">
        <v>381</v>
      </c>
      <c r="Y34" s="621"/>
      <c r="Z34" s="621" t="s">
        <v>380</v>
      </c>
      <c r="AA34" s="621"/>
      <c r="AB34" s="494" t="s">
        <v>1083</v>
      </c>
      <c r="AC34" s="494" t="s">
        <v>995</v>
      </c>
      <c r="AD34" s="625" t="s">
        <v>996</v>
      </c>
      <c r="AE34" s="627">
        <v>29715</v>
      </c>
      <c r="AF34" s="623" t="s">
        <v>998</v>
      </c>
      <c r="AG34" s="627">
        <v>708979613</v>
      </c>
      <c r="AH34" s="494" t="s">
        <v>1000</v>
      </c>
      <c r="AI34" s="625" t="s">
        <v>1001</v>
      </c>
      <c r="AJ34" s="627">
        <v>29711</v>
      </c>
      <c r="AM34" s="494" t="s">
        <v>786</v>
      </c>
      <c r="AN34" s="625" t="s">
        <v>901</v>
      </c>
      <c r="AO34" s="627">
        <v>22230</v>
      </c>
      <c r="AP34" s="623" t="s">
        <v>882</v>
      </c>
      <c r="AQ34" s="627">
        <v>7089327433</v>
      </c>
    </row>
    <row r="35" spans="1:43" x14ac:dyDescent="0.25">
      <c r="A35" s="625">
        <v>34</v>
      </c>
      <c r="B35" s="494" t="s">
        <v>528</v>
      </c>
      <c r="C35" s="625">
        <v>103</v>
      </c>
      <c r="D35" s="494" t="s">
        <v>1010</v>
      </c>
      <c r="E35" s="627">
        <v>9504616</v>
      </c>
      <c r="F35" s="627">
        <v>29706</v>
      </c>
      <c r="G35" s="494" t="s">
        <v>1013</v>
      </c>
      <c r="S35" s="629">
        <f t="shared" si="0"/>
        <v>0.35416666666666669</v>
      </c>
      <c r="T35" s="629">
        <f t="shared" si="1"/>
        <v>0.375</v>
      </c>
      <c r="U35" s="494" t="s">
        <v>907</v>
      </c>
      <c r="V35" s="620" t="str">
        <f>Combined_tables[[#This Row],[TimeSlot_Start_text]]</f>
        <v>0830</v>
      </c>
      <c r="W35" s="621"/>
      <c r="X35" s="621"/>
      <c r="Y35" s="621"/>
      <c r="Z35" s="621"/>
      <c r="AA35" s="621"/>
      <c r="AB35" s="494" t="s">
        <v>1084</v>
      </c>
      <c r="AC35" s="494" t="s">
        <v>995</v>
      </c>
      <c r="AD35" s="625" t="s">
        <v>996</v>
      </c>
      <c r="AE35" s="627">
        <v>29715</v>
      </c>
      <c r="AF35" s="623" t="s">
        <v>998</v>
      </c>
      <c r="AG35" s="627">
        <v>708979613</v>
      </c>
      <c r="AH35" s="494" t="s">
        <v>1000</v>
      </c>
      <c r="AI35" s="625" t="s">
        <v>1001</v>
      </c>
      <c r="AJ35" s="627">
        <v>29711</v>
      </c>
      <c r="AM35" s="494" t="s">
        <v>786</v>
      </c>
      <c r="AN35" s="625" t="s">
        <v>901</v>
      </c>
      <c r="AO35" s="627">
        <v>22230</v>
      </c>
      <c r="AP35" s="623" t="s">
        <v>882</v>
      </c>
      <c r="AQ35" s="627">
        <v>7089327433</v>
      </c>
    </row>
    <row r="36" spans="1:43" x14ac:dyDescent="0.25">
      <c r="A36" s="625">
        <v>35</v>
      </c>
      <c r="B36" s="494" t="s">
        <v>528</v>
      </c>
      <c r="C36" s="625">
        <v>103</v>
      </c>
      <c r="D36" s="494" t="s">
        <v>1010</v>
      </c>
      <c r="E36" s="627">
        <v>9504616</v>
      </c>
      <c r="F36" s="627">
        <v>29706</v>
      </c>
      <c r="G36" s="494" t="s">
        <v>1013</v>
      </c>
      <c r="S36" s="629">
        <f t="shared" si="0"/>
        <v>0.375</v>
      </c>
      <c r="T36" s="629">
        <f t="shared" si="1"/>
        <v>0.39583333333333331</v>
      </c>
      <c r="U36" s="494" t="s">
        <v>908</v>
      </c>
      <c r="V36" s="620" t="str">
        <f>Combined_tables[[#This Row],[TimeSlot_Start_text]]</f>
        <v>0900</v>
      </c>
      <c r="W36" s="621"/>
      <c r="X36" s="621"/>
      <c r="Y36" s="621" t="s">
        <v>380</v>
      </c>
      <c r="Z36" s="621"/>
      <c r="AA36" s="621"/>
      <c r="AB36" s="494" t="s">
        <v>1085</v>
      </c>
      <c r="AC36" s="494" t="s">
        <v>995</v>
      </c>
      <c r="AD36" s="625" t="s">
        <v>996</v>
      </c>
      <c r="AE36" s="627">
        <v>29715</v>
      </c>
      <c r="AF36" s="623" t="s">
        <v>998</v>
      </c>
      <c r="AG36" s="627">
        <v>708979613</v>
      </c>
      <c r="AH36" s="494" t="s">
        <v>1000</v>
      </c>
      <c r="AI36" s="625" t="s">
        <v>1001</v>
      </c>
      <c r="AJ36" s="627">
        <v>29711</v>
      </c>
      <c r="AM36" s="494" t="s">
        <v>786</v>
      </c>
      <c r="AN36" s="625" t="s">
        <v>901</v>
      </c>
      <c r="AO36" s="627">
        <v>22230</v>
      </c>
      <c r="AP36" s="623" t="s">
        <v>882</v>
      </c>
      <c r="AQ36" s="627">
        <v>7089327433</v>
      </c>
    </row>
    <row r="37" spans="1:43" x14ac:dyDescent="0.25">
      <c r="A37" s="625">
        <v>36</v>
      </c>
      <c r="B37" s="494" t="s">
        <v>528</v>
      </c>
      <c r="C37" s="625">
        <v>103</v>
      </c>
      <c r="D37" s="494" t="s">
        <v>1010</v>
      </c>
      <c r="E37" s="627">
        <v>9504616</v>
      </c>
      <c r="F37" s="627">
        <v>29706</v>
      </c>
      <c r="G37" s="494" t="s">
        <v>1013</v>
      </c>
      <c r="S37" s="629">
        <f t="shared" si="0"/>
        <v>0.39583333333333331</v>
      </c>
      <c r="T37" s="629">
        <f t="shared" si="1"/>
        <v>0.41666666666666663</v>
      </c>
      <c r="U37" s="494" t="s">
        <v>909</v>
      </c>
      <c r="V37" s="620" t="str">
        <f>Combined_tables[[#This Row],[TimeSlot_Start_text]]</f>
        <v>0930</v>
      </c>
      <c r="W37" s="621" t="s">
        <v>381</v>
      </c>
      <c r="X37" s="621"/>
      <c r="Y37" s="621"/>
      <c r="Z37" s="621"/>
      <c r="AA37" s="621" t="s">
        <v>381</v>
      </c>
      <c r="AB37" s="494" t="s">
        <v>1086</v>
      </c>
      <c r="AC37" s="494" t="s">
        <v>995</v>
      </c>
      <c r="AD37" s="625" t="s">
        <v>996</v>
      </c>
      <c r="AE37" s="627">
        <v>29715</v>
      </c>
      <c r="AF37" s="623" t="s">
        <v>998</v>
      </c>
      <c r="AG37" s="627">
        <v>708979613</v>
      </c>
      <c r="AH37" s="494" t="s">
        <v>1000</v>
      </c>
      <c r="AI37" s="625" t="s">
        <v>1001</v>
      </c>
      <c r="AJ37" s="627">
        <v>29711</v>
      </c>
      <c r="AM37" s="494" t="s">
        <v>786</v>
      </c>
      <c r="AN37" s="625" t="s">
        <v>901</v>
      </c>
      <c r="AO37" s="627">
        <v>22230</v>
      </c>
      <c r="AP37" s="623" t="s">
        <v>882</v>
      </c>
      <c r="AQ37" s="627">
        <v>7089327433</v>
      </c>
    </row>
    <row r="38" spans="1:43" x14ac:dyDescent="0.25">
      <c r="A38" s="625">
        <v>37</v>
      </c>
      <c r="B38" s="494" t="s">
        <v>528</v>
      </c>
      <c r="C38" s="625">
        <v>103</v>
      </c>
      <c r="D38" s="494" t="s">
        <v>1010</v>
      </c>
      <c r="E38" s="627">
        <v>9504616</v>
      </c>
      <c r="F38" s="627">
        <v>29706</v>
      </c>
      <c r="G38" s="494" t="s">
        <v>1013</v>
      </c>
      <c r="S38" s="629">
        <f t="shared" si="0"/>
        <v>0.41666666666666669</v>
      </c>
      <c r="T38" s="629">
        <f t="shared" si="1"/>
        <v>0.4375</v>
      </c>
      <c r="U38" s="494" t="s">
        <v>910</v>
      </c>
      <c r="V38" s="620" t="str">
        <f>Combined_tables[[#This Row],[TimeSlot_Start_text]]</f>
        <v>1000</v>
      </c>
      <c r="W38" s="621"/>
      <c r="X38" s="621"/>
      <c r="Y38" s="621"/>
      <c r="Z38" s="621" t="s">
        <v>380</v>
      </c>
      <c r="AA38" s="621"/>
      <c r="AB38" s="494" t="s">
        <v>1073</v>
      </c>
      <c r="AC38" s="494" t="s">
        <v>995</v>
      </c>
      <c r="AD38" s="625" t="s">
        <v>996</v>
      </c>
      <c r="AE38" s="627">
        <v>29715</v>
      </c>
      <c r="AF38" s="623" t="s">
        <v>998</v>
      </c>
      <c r="AG38" s="627">
        <v>708979613</v>
      </c>
      <c r="AH38" s="494" t="s">
        <v>1000</v>
      </c>
      <c r="AI38" s="625" t="s">
        <v>1001</v>
      </c>
      <c r="AJ38" s="627">
        <v>29711</v>
      </c>
      <c r="AM38" s="494" t="s">
        <v>786</v>
      </c>
      <c r="AN38" s="625" t="s">
        <v>901</v>
      </c>
      <c r="AO38" s="627">
        <v>22230</v>
      </c>
      <c r="AP38" s="623" t="s">
        <v>882</v>
      </c>
      <c r="AQ38" s="627">
        <v>7089327433</v>
      </c>
    </row>
    <row r="39" spans="1:43" x14ac:dyDescent="0.25">
      <c r="A39" s="625">
        <v>38</v>
      </c>
      <c r="B39" s="494" t="s">
        <v>528</v>
      </c>
      <c r="C39" s="625">
        <v>103</v>
      </c>
      <c r="D39" s="494" t="s">
        <v>1010</v>
      </c>
      <c r="E39" s="627">
        <v>9504616</v>
      </c>
      <c r="F39" s="627">
        <v>29706</v>
      </c>
      <c r="G39" s="494" t="s">
        <v>1013</v>
      </c>
      <c r="S39" s="629">
        <f t="shared" si="0"/>
        <v>0.4375</v>
      </c>
      <c r="T39" s="629">
        <f t="shared" si="1"/>
        <v>0.45833333333333331</v>
      </c>
      <c r="U39" s="494" t="s">
        <v>911</v>
      </c>
      <c r="V39" s="620" t="str">
        <f>Combined_tables[[#This Row],[TimeSlot_Start_text]]</f>
        <v>1030</v>
      </c>
      <c r="W39" s="621"/>
      <c r="X39" s="621"/>
      <c r="Y39" s="621"/>
      <c r="Z39" s="621"/>
      <c r="AA39" s="621"/>
      <c r="AB39" s="494" t="s">
        <v>1074</v>
      </c>
      <c r="AC39" s="494" t="s">
        <v>995</v>
      </c>
      <c r="AD39" s="625" t="s">
        <v>996</v>
      </c>
      <c r="AE39" s="627">
        <v>29715</v>
      </c>
      <c r="AF39" s="623" t="s">
        <v>998</v>
      </c>
      <c r="AG39" s="627">
        <v>708979613</v>
      </c>
      <c r="AH39" s="494" t="s">
        <v>1000</v>
      </c>
      <c r="AI39" s="625" t="s">
        <v>1001</v>
      </c>
      <c r="AJ39" s="627">
        <v>29711</v>
      </c>
      <c r="AM39" s="494" t="s">
        <v>786</v>
      </c>
      <c r="AN39" s="625" t="s">
        <v>901</v>
      </c>
      <c r="AO39" s="627">
        <v>22230</v>
      </c>
      <c r="AP39" s="623" t="s">
        <v>882</v>
      </c>
      <c r="AQ39" s="627">
        <v>7089327433</v>
      </c>
    </row>
    <row r="40" spans="1:43" x14ac:dyDescent="0.25">
      <c r="A40" s="625">
        <v>39</v>
      </c>
      <c r="B40" s="494" t="s">
        <v>528</v>
      </c>
      <c r="C40" s="625">
        <v>103</v>
      </c>
      <c r="D40" s="494" t="s">
        <v>1010</v>
      </c>
      <c r="E40" s="627">
        <v>9504616</v>
      </c>
      <c r="F40" s="627">
        <v>29706</v>
      </c>
      <c r="G40" s="494" t="s">
        <v>1013</v>
      </c>
      <c r="S40" s="629">
        <f t="shared" si="0"/>
        <v>0.45833333333333331</v>
      </c>
      <c r="T40" s="629">
        <f t="shared" si="1"/>
        <v>0.47916666666666663</v>
      </c>
      <c r="U40" s="494" t="s">
        <v>912</v>
      </c>
      <c r="V40" s="620" t="str">
        <f>Combined_tables[[#This Row],[TimeSlot_Start_text]]</f>
        <v>1100</v>
      </c>
      <c r="W40" s="621"/>
      <c r="X40" s="621"/>
      <c r="Y40" s="621"/>
      <c r="Z40" s="621"/>
      <c r="AA40" s="621"/>
      <c r="AB40" s="494" t="s">
        <v>1076</v>
      </c>
      <c r="AC40" s="494" t="s">
        <v>995</v>
      </c>
      <c r="AD40" s="625" t="s">
        <v>996</v>
      </c>
      <c r="AE40" s="627">
        <v>29715</v>
      </c>
      <c r="AF40" s="623" t="s">
        <v>998</v>
      </c>
      <c r="AG40" s="627">
        <v>708979613</v>
      </c>
      <c r="AH40" s="494" t="s">
        <v>1000</v>
      </c>
      <c r="AI40" s="625" t="s">
        <v>1001</v>
      </c>
      <c r="AJ40" s="627">
        <v>29711</v>
      </c>
      <c r="AM40" s="494" t="s">
        <v>786</v>
      </c>
      <c r="AN40" s="625" t="s">
        <v>901</v>
      </c>
      <c r="AO40" s="627">
        <v>22230</v>
      </c>
      <c r="AP40" s="623" t="s">
        <v>882</v>
      </c>
      <c r="AQ40" s="627">
        <v>7089327433</v>
      </c>
    </row>
    <row r="41" spans="1:43" x14ac:dyDescent="0.25">
      <c r="A41" s="625">
        <v>40</v>
      </c>
      <c r="B41" s="494" t="s">
        <v>528</v>
      </c>
      <c r="C41" s="625">
        <v>103</v>
      </c>
      <c r="D41" s="494" t="s">
        <v>1010</v>
      </c>
      <c r="E41" s="627">
        <v>9504616</v>
      </c>
      <c r="F41" s="627">
        <v>29706</v>
      </c>
      <c r="G41" s="494" t="s">
        <v>1013</v>
      </c>
      <c r="S41" s="629">
        <f t="shared" si="0"/>
        <v>0.47916666666666669</v>
      </c>
      <c r="T41" s="629">
        <f t="shared" si="1"/>
        <v>0.5</v>
      </c>
      <c r="U41" s="494" t="s">
        <v>913</v>
      </c>
      <c r="V41" s="620" t="str">
        <f>Combined_tables[[#This Row],[TimeSlot_Start_text]]</f>
        <v>1130</v>
      </c>
      <c r="W41" s="621"/>
      <c r="X41" s="621"/>
      <c r="Y41" s="621"/>
      <c r="Z41" s="621"/>
      <c r="AA41" s="621"/>
      <c r="AB41" s="494" t="s">
        <v>1075</v>
      </c>
      <c r="AC41" s="494" t="s">
        <v>995</v>
      </c>
      <c r="AD41" s="625" t="s">
        <v>996</v>
      </c>
      <c r="AE41" s="627">
        <v>29715</v>
      </c>
      <c r="AF41" s="623" t="s">
        <v>998</v>
      </c>
      <c r="AG41" s="627">
        <v>708979613</v>
      </c>
      <c r="AH41" s="494" t="s">
        <v>1000</v>
      </c>
      <c r="AI41" s="625" t="s">
        <v>1001</v>
      </c>
      <c r="AJ41" s="627">
        <v>29711</v>
      </c>
      <c r="AM41" s="494" t="s">
        <v>786</v>
      </c>
      <c r="AN41" s="625" t="s">
        <v>901</v>
      </c>
      <c r="AO41" s="627">
        <v>22230</v>
      </c>
      <c r="AP41" s="623" t="s">
        <v>882</v>
      </c>
      <c r="AQ41" s="627">
        <v>7089327433</v>
      </c>
    </row>
    <row r="42" spans="1:43" ht="15" customHeight="1" x14ac:dyDescent="0.25">
      <c r="A42" s="625">
        <v>41</v>
      </c>
      <c r="B42" s="494" t="s">
        <v>528</v>
      </c>
      <c r="C42" s="625">
        <v>103</v>
      </c>
      <c r="D42" s="494" t="s">
        <v>1010</v>
      </c>
      <c r="E42" s="627">
        <v>9504616</v>
      </c>
      <c r="F42" s="627">
        <v>29706</v>
      </c>
      <c r="G42" s="494" t="s">
        <v>1013</v>
      </c>
      <c r="S42" s="629">
        <f t="shared" si="0"/>
        <v>0.5</v>
      </c>
      <c r="T42" s="629">
        <f t="shared" si="1"/>
        <v>0.52083333333333337</v>
      </c>
      <c r="U42" s="494" t="s">
        <v>914</v>
      </c>
      <c r="V42" s="620" t="str">
        <f>Combined_tables[[#This Row],[TimeSlot_Start_text]]</f>
        <v>1200</v>
      </c>
      <c r="W42" s="621" t="s">
        <v>354</v>
      </c>
      <c r="X42" s="621" t="s">
        <v>354</v>
      </c>
      <c r="Y42" s="621" t="s">
        <v>354</v>
      </c>
      <c r="Z42" s="621" t="s">
        <v>354</v>
      </c>
      <c r="AA42" s="621" t="s">
        <v>354</v>
      </c>
      <c r="AB42" s="494" t="s">
        <v>1077</v>
      </c>
      <c r="AC42" s="494" t="s">
        <v>995</v>
      </c>
      <c r="AD42" s="625" t="s">
        <v>996</v>
      </c>
      <c r="AE42" s="627">
        <v>29715</v>
      </c>
      <c r="AF42" s="623" t="s">
        <v>998</v>
      </c>
      <c r="AG42" s="627">
        <v>708979613</v>
      </c>
      <c r="AH42" s="494" t="s">
        <v>1000</v>
      </c>
      <c r="AI42" s="625" t="s">
        <v>1001</v>
      </c>
      <c r="AJ42" s="627">
        <v>29711</v>
      </c>
      <c r="AM42" s="494" t="s">
        <v>786</v>
      </c>
      <c r="AN42" s="625" t="s">
        <v>901</v>
      </c>
      <c r="AO42" s="627">
        <v>22230</v>
      </c>
      <c r="AP42" s="623" t="s">
        <v>882</v>
      </c>
      <c r="AQ42" s="627">
        <v>7089327433</v>
      </c>
    </row>
    <row r="43" spans="1:43" ht="15.75" customHeight="1" x14ac:dyDescent="0.25">
      <c r="A43" s="625">
        <v>42</v>
      </c>
      <c r="B43" s="494" t="s">
        <v>528</v>
      </c>
      <c r="C43" s="625">
        <v>103</v>
      </c>
      <c r="D43" s="494" t="s">
        <v>1010</v>
      </c>
      <c r="E43" s="627">
        <v>9504616</v>
      </c>
      <c r="F43" s="627">
        <v>29706</v>
      </c>
      <c r="G43" s="494" t="s">
        <v>1013</v>
      </c>
      <c r="S43" s="629">
        <f t="shared" si="0"/>
        <v>0.52083333333333337</v>
      </c>
      <c r="T43" s="629">
        <f t="shared" si="1"/>
        <v>0.54166666666666674</v>
      </c>
      <c r="U43" s="494" t="s">
        <v>915</v>
      </c>
      <c r="V43" s="620" t="str">
        <f>Combined_tables[[#This Row],[TimeSlot_Start_text]]</f>
        <v>1230</v>
      </c>
      <c r="W43" s="621" t="s">
        <v>354</v>
      </c>
      <c r="X43" s="621" t="s">
        <v>354</v>
      </c>
      <c r="Y43" s="621" t="s">
        <v>354</v>
      </c>
      <c r="Z43" s="621" t="s">
        <v>354</v>
      </c>
      <c r="AA43" s="621" t="s">
        <v>354</v>
      </c>
      <c r="AB43" s="494" t="s">
        <v>1078</v>
      </c>
      <c r="AC43" s="494" t="s">
        <v>995</v>
      </c>
      <c r="AD43" s="625" t="s">
        <v>996</v>
      </c>
      <c r="AE43" s="627">
        <v>29715</v>
      </c>
      <c r="AF43" s="623" t="s">
        <v>998</v>
      </c>
      <c r="AG43" s="627">
        <v>708979613</v>
      </c>
      <c r="AH43" s="494" t="s">
        <v>1000</v>
      </c>
      <c r="AI43" s="625" t="s">
        <v>1001</v>
      </c>
      <c r="AJ43" s="627">
        <v>29711</v>
      </c>
      <c r="AM43" s="494" t="s">
        <v>786</v>
      </c>
      <c r="AN43" s="625" t="s">
        <v>901</v>
      </c>
      <c r="AO43" s="627">
        <v>22230</v>
      </c>
      <c r="AP43" s="623" t="s">
        <v>882</v>
      </c>
      <c r="AQ43" s="627">
        <v>7089327433</v>
      </c>
    </row>
    <row r="44" spans="1:43" x14ac:dyDescent="0.25">
      <c r="A44" s="625">
        <v>43</v>
      </c>
      <c r="B44" s="494" t="s">
        <v>528</v>
      </c>
      <c r="C44" s="625">
        <v>103</v>
      </c>
      <c r="D44" s="494" t="s">
        <v>1010</v>
      </c>
      <c r="E44" s="627">
        <v>9504616</v>
      </c>
      <c r="F44" s="627">
        <v>29706</v>
      </c>
      <c r="G44" s="494" t="s">
        <v>1013</v>
      </c>
      <c r="S44" s="629">
        <f t="shared" si="0"/>
        <v>0.54166666666666663</v>
      </c>
      <c r="T44" s="629">
        <f t="shared" si="1"/>
        <v>0.5625</v>
      </c>
      <c r="U44" s="494" t="s">
        <v>916</v>
      </c>
      <c r="V44" s="620" t="str">
        <f>Combined_tables[[#This Row],[TimeSlot_Start_text]]</f>
        <v>1300</v>
      </c>
      <c r="W44" s="621" t="s">
        <v>381</v>
      </c>
      <c r="X44" s="621"/>
      <c r="Y44" s="621"/>
      <c r="Z44" s="621"/>
      <c r="AA44" s="621"/>
      <c r="AB44" s="494" t="s">
        <v>1071</v>
      </c>
      <c r="AC44" s="494" t="s">
        <v>995</v>
      </c>
      <c r="AD44" s="625" t="s">
        <v>996</v>
      </c>
      <c r="AE44" s="627">
        <v>29715</v>
      </c>
      <c r="AF44" s="623" t="s">
        <v>998</v>
      </c>
      <c r="AG44" s="627">
        <v>708979613</v>
      </c>
      <c r="AH44" s="494" t="s">
        <v>1000</v>
      </c>
      <c r="AI44" s="625" t="s">
        <v>1001</v>
      </c>
      <c r="AJ44" s="627">
        <v>29711</v>
      </c>
      <c r="AM44" s="494" t="s">
        <v>786</v>
      </c>
      <c r="AN44" s="625" t="s">
        <v>901</v>
      </c>
      <c r="AO44" s="627">
        <v>22230</v>
      </c>
      <c r="AP44" s="623" t="s">
        <v>882</v>
      </c>
      <c r="AQ44" s="627">
        <v>7089327433</v>
      </c>
    </row>
    <row r="45" spans="1:43" x14ac:dyDescent="0.25">
      <c r="A45" s="625">
        <v>44</v>
      </c>
      <c r="B45" s="494" t="s">
        <v>528</v>
      </c>
      <c r="C45" s="625">
        <v>103</v>
      </c>
      <c r="D45" s="494" t="s">
        <v>1010</v>
      </c>
      <c r="E45" s="627">
        <v>9504616</v>
      </c>
      <c r="F45" s="627">
        <v>29706</v>
      </c>
      <c r="G45" s="494" t="s">
        <v>1013</v>
      </c>
      <c r="S45" s="629">
        <f t="shared" si="0"/>
        <v>0.5625</v>
      </c>
      <c r="T45" s="629">
        <f t="shared" si="1"/>
        <v>0.58333333333333337</v>
      </c>
      <c r="U45" s="494" t="s">
        <v>917</v>
      </c>
      <c r="V45" s="620" t="str">
        <f>Combined_tables[[#This Row],[TimeSlot_Start_text]]</f>
        <v>1330</v>
      </c>
      <c r="W45" s="621"/>
      <c r="X45" s="621"/>
      <c r="Y45" s="621"/>
      <c r="Z45" s="621"/>
      <c r="AA45" s="621"/>
      <c r="AB45" s="494" t="s">
        <v>1072</v>
      </c>
      <c r="AC45" s="494" t="s">
        <v>995</v>
      </c>
      <c r="AD45" s="625" t="s">
        <v>996</v>
      </c>
      <c r="AE45" s="627">
        <v>29715</v>
      </c>
      <c r="AF45" s="623" t="s">
        <v>998</v>
      </c>
      <c r="AG45" s="627">
        <v>708979613</v>
      </c>
      <c r="AH45" s="494" t="s">
        <v>1000</v>
      </c>
      <c r="AI45" s="625" t="s">
        <v>1001</v>
      </c>
      <c r="AJ45" s="627">
        <v>29711</v>
      </c>
      <c r="AM45" s="494" t="s">
        <v>786</v>
      </c>
      <c r="AN45" s="625" t="s">
        <v>901</v>
      </c>
      <c r="AO45" s="627">
        <v>22230</v>
      </c>
      <c r="AP45" s="623" t="s">
        <v>882</v>
      </c>
      <c r="AQ45" s="627">
        <v>7089327433</v>
      </c>
    </row>
    <row r="46" spans="1:43" x14ac:dyDescent="0.25">
      <c r="A46" s="625">
        <v>45</v>
      </c>
      <c r="B46" s="494" t="s">
        <v>528</v>
      </c>
      <c r="C46" s="625">
        <v>103</v>
      </c>
      <c r="D46" s="494" t="s">
        <v>1010</v>
      </c>
      <c r="E46" s="627">
        <v>9504616</v>
      </c>
      <c r="F46" s="627">
        <v>29706</v>
      </c>
      <c r="G46" s="494" t="s">
        <v>1013</v>
      </c>
      <c r="S46" s="629">
        <f t="shared" si="0"/>
        <v>0.58333333333333337</v>
      </c>
      <c r="T46" s="629">
        <f t="shared" si="1"/>
        <v>0.60416666666666674</v>
      </c>
      <c r="U46" s="494" t="s">
        <v>918</v>
      </c>
      <c r="V46" s="620" t="str">
        <f>Combined_tables[[#This Row],[TimeSlot_Start_text]]</f>
        <v>1400</v>
      </c>
      <c r="W46" s="621"/>
      <c r="X46" s="621"/>
      <c r="Y46" s="621"/>
      <c r="Z46" s="621"/>
      <c r="AA46" s="621" t="s">
        <v>381</v>
      </c>
      <c r="AB46" s="494" t="s">
        <v>1079</v>
      </c>
      <c r="AC46" s="494" t="s">
        <v>995</v>
      </c>
      <c r="AD46" s="625" t="s">
        <v>996</v>
      </c>
      <c r="AE46" s="627">
        <v>29715</v>
      </c>
      <c r="AF46" s="623" t="s">
        <v>998</v>
      </c>
      <c r="AG46" s="627">
        <v>708979613</v>
      </c>
      <c r="AH46" s="494" t="s">
        <v>1000</v>
      </c>
      <c r="AI46" s="625" t="s">
        <v>1001</v>
      </c>
      <c r="AJ46" s="627">
        <v>29711</v>
      </c>
      <c r="AM46" s="494" t="s">
        <v>786</v>
      </c>
      <c r="AN46" s="625" t="s">
        <v>901</v>
      </c>
      <c r="AO46" s="627">
        <v>22230</v>
      </c>
      <c r="AP46" s="623" t="s">
        <v>882</v>
      </c>
      <c r="AQ46" s="627">
        <v>7089327433</v>
      </c>
    </row>
    <row r="47" spans="1:43" x14ac:dyDescent="0.25">
      <c r="A47" s="625">
        <v>46</v>
      </c>
      <c r="B47" s="494" t="s">
        <v>528</v>
      </c>
      <c r="C47" s="625">
        <v>103</v>
      </c>
      <c r="D47" s="494" t="s">
        <v>1010</v>
      </c>
      <c r="E47" s="627">
        <v>9504616</v>
      </c>
      <c r="F47" s="627">
        <v>29706</v>
      </c>
      <c r="G47" s="494" t="s">
        <v>1013</v>
      </c>
      <c r="S47" s="629">
        <f t="shared" si="0"/>
        <v>0.60416666666666663</v>
      </c>
      <c r="T47" s="629">
        <f t="shared" si="1"/>
        <v>0.625</v>
      </c>
      <c r="U47" s="494" t="s">
        <v>919</v>
      </c>
      <c r="V47" s="620" t="str">
        <f>Combined_tables[[#This Row],[TimeSlot_Start_text]]</f>
        <v>1430</v>
      </c>
      <c r="W47" s="621" t="s">
        <v>381</v>
      </c>
      <c r="X47" s="621"/>
      <c r="Y47" s="621"/>
      <c r="Z47" s="621" t="s">
        <v>381</v>
      </c>
      <c r="AA47" s="621"/>
      <c r="AB47" s="494" t="s">
        <v>1080</v>
      </c>
      <c r="AC47" s="494" t="s">
        <v>995</v>
      </c>
      <c r="AD47" s="625" t="s">
        <v>996</v>
      </c>
      <c r="AE47" s="627">
        <v>29715</v>
      </c>
      <c r="AF47" s="623" t="s">
        <v>998</v>
      </c>
      <c r="AG47" s="627">
        <v>708979613</v>
      </c>
      <c r="AH47" s="494" t="s">
        <v>1000</v>
      </c>
      <c r="AI47" s="625" t="s">
        <v>1001</v>
      </c>
      <c r="AJ47" s="627">
        <v>29711</v>
      </c>
      <c r="AM47" s="494" t="s">
        <v>786</v>
      </c>
      <c r="AN47" s="625" t="s">
        <v>901</v>
      </c>
      <c r="AO47" s="627">
        <v>22230</v>
      </c>
      <c r="AP47" s="623" t="s">
        <v>882</v>
      </c>
      <c r="AQ47" s="627">
        <v>7089327433</v>
      </c>
    </row>
    <row r="48" spans="1:43" x14ac:dyDescent="0.25">
      <c r="A48" s="625">
        <v>47</v>
      </c>
      <c r="B48" s="494" t="s">
        <v>528</v>
      </c>
      <c r="C48" s="625">
        <v>103</v>
      </c>
      <c r="D48" s="494" t="s">
        <v>1010</v>
      </c>
      <c r="E48" s="627">
        <v>9504616</v>
      </c>
      <c r="F48" s="627">
        <v>29706</v>
      </c>
      <c r="G48" s="494" t="s">
        <v>1013</v>
      </c>
      <c r="S48" s="629">
        <f t="shared" si="0"/>
        <v>0.625</v>
      </c>
      <c r="T48" s="629">
        <f t="shared" si="1"/>
        <v>0.64583333333333337</v>
      </c>
      <c r="U48" s="494" t="s">
        <v>920</v>
      </c>
      <c r="V48" s="620" t="str">
        <f>Combined_tables[[#This Row],[TimeSlot_Start_text]]</f>
        <v>1500</v>
      </c>
      <c r="W48" s="621"/>
      <c r="X48" s="621"/>
      <c r="Y48" s="621"/>
      <c r="Z48" s="621"/>
      <c r="AA48" s="621"/>
      <c r="AB48" s="494" t="s">
        <v>1081</v>
      </c>
      <c r="AC48" s="494" t="s">
        <v>995</v>
      </c>
      <c r="AD48" s="625" t="s">
        <v>996</v>
      </c>
      <c r="AE48" s="627">
        <v>29715</v>
      </c>
      <c r="AF48" s="623" t="s">
        <v>998</v>
      </c>
      <c r="AG48" s="627">
        <v>708979613</v>
      </c>
      <c r="AH48" s="494" t="s">
        <v>1000</v>
      </c>
      <c r="AI48" s="625" t="s">
        <v>1001</v>
      </c>
      <c r="AJ48" s="627">
        <v>29711</v>
      </c>
      <c r="AM48" s="494" t="s">
        <v>786</v>
      </c>
      <c r="AN48" s="625" t="s">
        <v>901</v>
      </c>
      <c r="AO48" s="627">
        <v>22230</v>
      </c>
      <c r="AP48" s="623" t="s">
        <v>882</v>
      </c>
      <c r="AQ48" s="627">
        <v>7089327433</v>
      </c>
    </row>
    <row r="49" spans="1:43" x14ac:dyDescent="0.25">
      <c r="A49" s="625">
        <v>48</v>
      </c>
      <c r="B49" s="494" t="s">
        <v>528</v>
      </c>
      <c r="C49" s="625">
        <v>103</v>
      </c>
      <c r="D49" s="494" t="s">
        <v>1010</v>
      </c>
      <c r="E49" s="627">
        <v>9504616</v>
      </c>
      <c r="F49" s="627">
        <v>29706</v>
      </c>
      <c r="G49" s="494" t="s">
        <v>1013</v>
      </c>
      <c r="S49" s="629">
        <f t="shared" si="0"/>
        <v>0.64583333333333337</v>
      </c>
      <c r="T49" s="629">
        <f t="shared" si="1"/>
        <v>0.66666666666666674</v>
      </c>
      <c r="U49" s="494" t="s">
        <v>921</v>
      </c>
      <c r="V49" s="620" t="str">
        <f>Combined_tables[[#This Row],[TimeSlot_Start_text]]</f>
        <v>1530</v>
      </c>
      <c r="W49" s="621"/>
      <c r="X49" s="621"/>
      <c r="Y49" s="621"/>
      <c r="Z49" s="621"/>
      <c r="AA49" s="621"/>
      <c r="AB49" s="494" t="s">
        <v>1082</v>
      </c>
      <c r="AC49" s="494" t="s">
        <v>995</v>
      </c>
      <c r="AD49" s="625" t="s">
        <v>996</v>
      </c>
      <c r="AE49" s="627">
        <v>29715</v>
      </c>
      <c r="AF49" s="623" t="s">
        <v>998</v>
      </c>
      <c r="AG49" s="627">
        <v>708979613</v>
      </c>
      <c r="AH49" s="494" t="s">
        <v>1000</v>
      </c>
      <c r="AI49" s="625" t="s">
        <v>1001</v>
      </c>
      <c r="AJ49" s="627">
        <v>29711</v>
      </c>
      <c r="AM49" s="494" t="s">
        <v>786</v>
      </c>
      <c r="AN49" s="625" t="s">
        <v>901</v>
      </c>
      <c r="AO49" s="627">
        <v>22230</v>
      </c>
      <c r="AP49" s="623" t="s">
        <v>882</v>
      </c>
      <c r="AQ49" s="627">
        <v>7089327433</v>
      </c>
    </row>
    <row r="50" spans="1:43" x14ac:dyDescent="0.25">
      <c r="A50" s="625">
        <v>49</v>
      </c>
      <c r="B50" s="494" t="s">
        <v>528</v>
      </c>
      <c r="C50" s="625">
        <v>104</v>
      </c>
      <c r="D50" s="494" t="s">
        <v>1002</v>
      </c>
      <c r="E50" s="627">
        <v>9504615</v>
      </c>
      <c r="F50" s="627">
        <v>29707</v>
      </c>
      <c r="G50" s="494" t="s">
        <v>1005</v>
      </c>
      <c r="S50" s="629">
        <f t="shared" si="0"/>
        <v>0.33333333333333331</v>
      </c>
      <c r="T50" s="629">
        <f t="shared" si="1"/>
        <v>0.35416666666666663</v>
      </c>
      <c r="U50" s="494" t="s">
        <v>906</v>
      </c>
      <c r="V50" s="620" t="str">
        <f>Combined_tables[[#This Row],[TimeSlot_Start_text]]</f>
        <v>0800</v>
      </c>
      <c r="W50" s="621"/>
      <c r="X50" s="621" t="s">
        <v>380</v>
      </c>
      <c r="Y50" s="621"/>
      <c r="Z50" s="621" t="s">
        <v>380</v>
      </c>
      <c r="AA50" s="621" t="s">
        <v>553</v>
      </c>
      <c r="AB50" s="494" t="s">
        <v>1083</v>
      </c>
      <c r="AC50" s="494" t="s">
        <v>995</v>
      </c>
      <c r="AD50" s="625" t="s">
        <v>996</v>
      </c>
      <c r="AE50" s="627">
        <v>29715</v>
      </c>
      <c r="AF50" s="623" t="s">
        <v>998</v>
      </c>
      <c r="AG50" s="627">
        <v>708979613</v>
      </c>
      <c r="AH50" s="494" t="s">
        <v>1000</v>
      </c>
      <c r="AI50" s="625" t="s">
        <v>1001</v>
      </c>
      <c r="AJ50" s="627">
        <v>29711</v>
      </c>
      <c r="AM50" s="494" t="s">
        <v>786</v>
      </c>
      <c r="AN50" s="625" t="s">
        <v>901</v>
      </c>
      <c r="AO50" s="627">
        <v>22230</v>
      </c>
      <c r="AP50" s="623" t="s">
        <v>882</v>
      </c>
      <c r="AQ50" s="627">
        <v>7089327433</v>
      </c>
    </row>
    <row r="51" spans="1:43" x14ac:dyDescent="0.25">
      <c r="A51" s="625">
        <v>50</v>
      </c>
      <c r="B51" s="494" t="s">
        <v>528</v>
      </c>
      <c r="C51" s="625">
        <v>104</v>
      </c>
      <c r="D51" s="494" t="s">
        <v>1002</v>
      </c>
      <c r="E51" s="627">
        <v>9504615</v>
      </c>
      <c r="F51" s="627">
        <v>29707</v>
      </c>
      <c r="G51" s="494" t="s">
        <v>1005</v>
      </c>
      <c r="S51" s="629">
        <f t="shared" si="0"/>
        <v>0.35416666666666669</v>
      </c>
      <c r="T51" s="629">
        <f t="shared" si="1"/>
        <v>0.375</v>
      </c>
      <c r="U51" s="494" t="s">
        <v>907</v>
      </c>
      <c r="V51" s="620" t="str">
        <f>Combined_tables[[#This Row],[TimeSlot_Start_text]]</f>
        <v>0830</v>
      </c>
      <c r="W51" s="621"/>
      <c r="X51" s="621"/>
      <c r="Y51" s="621"/>
      <c r="Z51" s="621"/>
      <c r="AA51" s="621" t="s">
        <v>553</v>
      </c>
      <c r="AB51" s="494" t="s">
        <v>1084</v>
      </c>
      <c r="AC51" s="494" t="s">
        <v>995</v>
      </c>
      <c r="AD51" s="625" t="s">
        <v>996</v>
      </c>
      <c r="AE51" s="627">
        <v>29715</v>
      </c>
      <c r="AF51" s="623" t="s">
        <v>998</v>
      </c>
      <c r="AG51" s="627">
        <v>708979613</v>
      </c>
      <c r="AH51" s="494" t="s">
        <v>1000</v>
      </c>
      <c r="AI51" s="625" t="s">
        <v>1001</v>
      </c>
      <c r="AJ51" s="627">
        <v>29711</v>
      </c>
      <c r="AM51" s="494" t="s">
        <v>786</v>
      </c>
      <c r="AN51" s="625" t="s">
        <v>901</v>
      </c>
      <c r="AO51" s="627">
        <v>22230</v>
      </c>
      <c r="AP51" s="623" t="s">
        <v>882</v>
      </c>
      <c r="AQ51" s="627">
        <v>7089327433</v>
      </c>
    </row>
    <row r="52" spans="1:43" x14ac:dyDescent="0.25">
      <c r="A52" s="625">
        <v>51</v>
      </c>
      <c r="B52" s="494" t="s">
        <v>528</v>
      </c>
      <c r="C52" s="625">
        <v>104</v>
      </c>
      <c r="D52" s="494" t="s">
        <v>1002</v>
      </c>
      <c r="E52" s="627">
        <v>9504615</v>
      </c>
      <c r="F52" s="627">
        <v>29707</v>
      </c>
      <c r="G52" s="494" t="s">
        <v>1005</v>
      </c>
      <c r="S52" s="629">
        <f t="shared" si="0"/>
        <v>0.375</v>
      </c>
      <c r="T52" s="629">
        <f t="shared" si="1"/>
        <v>0.39583333333333331</v>
      </c>
      <c r="U52" s="494" t="s">
        <v>908</v>
      </c>
      <c r="V52" s="620" t="str">
        <f>Combined_tables[[#This Row],[TimeSlot_Start_text]]</f>
        <v>0900</v>
      </c>
      <c r="W52" s="621" t="s">
        <v>557</v>
      </c>
      <c r="X52" s="621"/>
      <c r="Y52" s="621" t="s">
        <v>380</v>
      </c>
      <c r="Z52" s="621"/>
      <c r="AA52" s="621" t="s">
        <v>553</v>
      </c>
      <c r="AB52" s="494" t="s">
        <v>1085</v>
      </c>
      <c r="AC52" s="494" t="s">
        <v>995</v>
      </c>
      <c r="AD52" s="625" t="s">
        <v>996</v>
      </c>
      <c r="AE52" s="627">
        <v>29715</v>
      </c>
      <c r="AF52" s="623" t="s">
        <v>998</v>
      </c>
      <c r="AG52" s="627">
        <v>708979613</v>
      </c>
      <c r="AH52" s="494" t="s">
        <v>1000</v>
      </c>
      <c r="AI52" s="625" t="s">
        <v>1001</v>
      </c>
      <c r="AJ52" s="627">
        <v>29711</v>
      </c>
      <c r="AM52" s="494" t="s">
        <v>786</v>
      </c>
      <c r="AN52" s="625" t="s">
        <v>901</v>
      </c>
      <c r="AO52" s="627">
        <v>22230</v>
      </c>
      <c r="AP52" s="623" t="s">
        <v>882</v>
      </c>
      <c r="AQ52" s="627">
        <v>7089327433</v>
      </c>
    </row>
    <row r="53" spans="1:43" x14ac:dyDescent="0.25">
      <c r="A53" s="625">
        <v>52</v>
      </c>
      <c r="B53" s="494" t="s">
        <v>528</v>
      </c>
      <c r="C53" s="625">
        <v>104</v>
      </c>
      <c r="D53" s="494" t="s">
        <v>1002</v>
      </c>
      <c r="E53" s="627">
        <v>9504615</v>
      </c>
      <c r="F53" s="627">
        <v>29707</v>
      </c>
      <c r="G53" s="494" t="s">
        <v>1005</v>
      </c>
      <c r="S53" s="629">
        <f t="shared" si="0"/>
        <v>0.39583333333333331</v>
      </c>
      <c r="T53" s="629">
        <f t="shared" si="1"/>
        <v>0.41666666666666663</v>
      </c>
      <c r="U53" s="494" t="s">
        <v>909</v>
      </c>
      <c r="V53" s="620" t="str">
        <f>Combined_tables[[#This Row],[TimeSlot_Start_text]]</f>
        <v>0930</v>
      </c>
      <c r="W53" s="621" t="s">
        <v>557</v>
      </c>
      <c r="X53" s="621"/>
      <c r="Y53" s="621"/>
      <c r="Z53" s="621"/>
      <c r="AA53" s="621" t="s">
        <v>553</v>
      </c>
      <c r="AB53" s="494" t="s">
        <v>1086</v>
      </c>
      <c r="AC53" s="494" t="s">
        <v>995</v>
      </c>
      <c r="AD53" s="625" t="s">
        <v>996</v>
      </c>
      <c r="AE53" s="627">
        <v>29715</v>
      </c>
      <c r="AF53" s="623" t="s">
        <v>998</v>
      </c>
      <c r="AG53" s="627">
        <v>708979613</v>
      </c>
      <c r="AH53" s="494" t="s">
        <v>1000</v>
      </c>
      <c r="AI53" s="625" t="s">
        <v>1001</v>
      </c>
      <c r="AJ53" s="627">
        <v>29711</v>
      </c>
      <c r="AM53" s="494" t="s">
        <v>786</v>
      </c>
      <c r="AN53" s="625" t="s">
        <v>901</v>
      </c>
      <c r="AO53" s="627">
        <v>22230</v>
      </c>
      <c r="AP53" s="623" t="s">
        <v>882</v>
      </c>
      <c r="AQ53" s="627">
        <v>7089327433</v>
      </c>
    </row>
    <row r="54" spans="1:43" x14ac:dyDescent="0.25">
      <c r="A54" s="625">
        <v>53</v>
      </c>
      <c r="B54" s="494" t="s">
        <v>528</v>
      </c>
      <c r="C54" s="625">
        <v>104</v>
      </c>
      <c r="D54" s="494" t="s">
        <v>1002</v>
      </c>
      <c r="E54" s="627">
        <v>9504615</v>
      </c>
      <c r="F54" s="627">
        <v>29707</v>
      </c>
      <c r="G54" s="494" t="s">
        <v>1005</v>
      </c>
      <c r="S54" s="629">
        <f t="shared" si="0"/>
        <v>0.41666666666666669</v>
      </c>
      <c r="T54" s="629">
        <f t="shared" si="1"/>
        <v>0.4375</v>
      </c>
      <c r="U54" s="494" t="s">
        <v>910</v>
      </c>
      <c r="V54" s="620" t="str">
        <f>Combined_tables[[#This Row],[TimeSlot_Start_text]]</f>
        <v>1000</v>
      </c>
      <c r="W54" s="621" t="s">
        <v>560</v>
      </c>
      <c r="X54" s="621" t="s">
        <v>380</v>
      </c>
      <c r="Y54" s="621"/>
      <c r="Z54" s="621" t="s">
        <v>553</v>
      </c>
      <c r="AA54" s="621"/>
      <c r="AB54" s="494" t="s">
        <v>1073</v>
      </c>
      <c r="AC54" s="494" t="s">
        <v>995</v>
      </c>
      <c r="AD54" s="625" t="s">
        <v>996</v>
      </c>
      <c r="AE54" s="627">
        <v>29715</v>
      </c>
      <c r="AF54" s="623" t="s">
        <v>998</v>
      </c>
      <c r="AG54" s="627">
        <v>708979613</v>
      </c>
      <c r="AH54" s="494" t="s">
        <v>1000</v>
      </c>
      <c r="AI54" s="625" t="s">
        <v>1001</v>
      </c>
      <c r="AJ54" s="627">
        <v>29711</v>
      </c>
      <c r="AM54" s="494" t="s">
        <v>786</v>
      </c>
      <c r="AN54" s="625" t="s">
        <v>901</v>
      </c>
      <c r="AO54" s="627">
        <v>22230</v>
      </c>
      <c r="AP54" s="623" t="s">
        <v>882</v>
      </c>
      <c r="AQ54" s="627">
        <v>7089327433</v>
      </c>
    </row>
    <row r="55" spans="1:43" x14ac:dyDescent="0.25">
      <c r="A55" s="625">
        <v>54</v>
      </c>
      <c r="B55" s="494" t="s">
        <v>528</v>
      </c>
      <c r="C55" s="625">
        <v>104</v>
      </c>
      <c r="D55" s="494" t="s">
        <v>1002</v>
      </c>
      <c r="E55" s="627">
        <v>9504615</v>
      </c>
      <c r="F55" s="627">
        <v>29707</v>
      </c>
      <c r="G55" s="494" t="s">
        <v>1005</v>
      </c>
      <c r="S55" s="629">
        <f t="shared" si="0"/>
        <v>0.4375</v>
      </c>
      <c r="T55" s="629">
        <f t="shared" si="1"/>
        <v>0.45833333333333331</v>
      </c>
      <c r="U55" s="494" t="s">
        <v>911</v>
      </c>
      <c r="V55" s="620" t="str">
        <f>Combined_tables[[#This Row],[TimeSlot_Start_text]]</f>
        <v>1030</v>
      </c>
      <c r="W55" s="621" t="s">
        <v>562</v>
      </c>
      <c r="X55" s="621"/>
      <c r="Y55" s="621"/>
      <c r="Z55" s="621" t="s">
        <v>553</v>
      </c>
      <c r="AA55" s="621"/>
      <c r="AB55" s="494" t="s">
        <v>1074</v>
      </c>
      <c r="AC55" s="494" t="s">
        <v>995</v>
      </c>
      <c r="AD55" s="625" t="s">
        <v>996</v>
      </c>
      <c r="AE55" s="627">
        <v>29715</v>
      </c>
      <c r="AF55" s="623" t="s">
        <v>998</v>
      </c>
      <c r="AG55" s="627">
        <v>708979613</v>
      </c>
      <c r="AH55" s="494" t="s">
        <v>1000</v>
      </c>
      <c r="AI55" s="625" t="s">
        <v>1001</v>
      </c>
      <c r="AJ55" s="627">
        <v>29711</v>
      </c>
      <c r="AM55" s="494" t="s">
        <v>786</v>
      </c>
      <c r="AN55" s="625" t="s">
        <v>901</v>
      </c>
      <c r="AO55" s="627">
        <v>22230</v>
      </c>
      <c r="AP55" s="623" t="s">
        <v>882</v>
      </c>
      <c r="AQ55" s="627">
        <v>7089327433</v>
      </c>
    </row>
    <row r="56" spans="1:43" x14ac:dyDescent="0.25">
      <c r="A56" s="625">
        <v>55</v>
      </c>
      <c r="B56" s="494" t="s">
        <v>528</v>
      </c>
      <c r="C56" s="625">
        <v>104</v>
      </c>
      <c r="D56" s="494" t="s">
        <v>1002</v>
      </c>
      <c r="E56" s="627">
        <v>9504615</v>
      </c>
      <c r="F56" s="627">
        <v>29707</v>
      </c>
      <c r="G56" s="494" t="s">
        <v>1005</v>
      </c>
      <c r="S56" s="629">
        <f t="shared" si="0"/>
        <v>0.45833333333333331</v>
      </c>
      <c r="T56" s="629">
        <f t="shared" si="1"/>
        <v>0.47916666666666663</v>
      </c>
      <c r="U56" s="494" t="s">
        <v>912</v>
      </c>
      <c r="V56" s="620" t="str">
        <f>Combined_tables[[#This Row],[TimeSlot_Start_text]]</f>
        <v>1100</v>
      </c>
      <c r="W56" s="621" t="s">
        <v>557</v>
      </c>
      <c r="X56" s="621"/>
      <c r="Y56" s="621"/>
      <c r="Z56" s="621"/>
      <c r="AA56" s="621" t="s">
        <v>553</v>
      </c>
      <c r="AB56" s="494" t="s">
        <v>1076</v>
      </c>
      <c r="AC56" s="494" t="s">
        <v>995</v>
      </c>
      <c r="AD56" s="625" t="s">
        <v>996</v>
      </c>
      <c r="AE56" s="627">
        <v>29715</v>
      </c>
      <c r="AF56" s="623" t="s">
        <v>998</v>
      </c>
      <c r="AG56" s="627">
        <v>708979613</v>
      </c>
      <c r="AH56" s="494" t="s">
        <v>1000</v>
      </c>
      <c r="AI56" s="625" t="s">
        <v>1001</v>
      </c>
      <c r="AJ56" s="627">
        <v>29711</v>
      </c>
      <c r="AM56" s="494" t="s">
        <v>786</v>
      </c>
      <c r="AN56" s="625" t="s">
        <v>901</v>
      </c>
      <c r="AO56" s="627">
        <v>22230</v>
      </c>
      <c r="AP56" s="623" t="s">
        <v>882</v>
      </c>
      <c r="AQ56" s="627">
        <v>7089327433</v>
      </c>
    </row>
    <row r="57" spans="1:43" x14ac:dyDescent="0.25">
      <c r="A57" s="625">
        <v>56</v>
      </c>
      <c r="B57" s="494" t="s">
        <v>528</v>
      </c>
      <c r="C57" s="625">
        <v>104</v>
      </c>
      <c r="D57" s="494" t="s">
        <v>1002</v>
      </c>
      <c r="E57" s="627">
        <v>9504615</v>
      </c>
      <c r="F57" s="627">
        <v>29707</v>
      </c>
      <c r="G57" s="494" t="s">
        <v>1005</v>
      </c>
      <c r="S57" s="629">
        <f t="shared" si="0"/>
        <v>0.47916666666666669</v>
      </c>
      <c r="T57" s="629">
        <f t="shared" si="1"/>
        <v>0.5</v>
      </c>
      <c r="U57" s="494" t="s">
        <v>913</v>
      </c>
      <c r="V57" s="620" t="str">
        <f>Combined_tables[[#This Row],[TimeSlot_Start_text]]</f>
        <v>1130</v>
      </c>
      <c r="W57" s="621" t="s">
        <v>557</v>
      </c>
      <c r="X57" s="621"/>
      <c r="Y57" s="621"/>
      <c r="Z57" s="621"/>
      <c r="AA57" s="621" t="s">
        <v>553</v>
      </c>
      <c r="AB57" s="494" t="s">
        <v>1075</v>
      </c>
      <c r="AC57" s="494" t="s">
        <v>995</v>
      </c>
      <c r="AD57" s="625" t="s">
        <v>996</v>
      </c>
      <c r="AE57" s="627">
        <v>29715</v>
      </c>
      <c r="AF57" s="623" t="s">
        <v>998</v>
      </c>
      <c r="AG57" s="627">
        <v>708979613</v>
      </c>
      <c r="AH57" s="494" t="s">
        <v>1000</v>
      </c>
      <c r="AI57" s="625" t="s">
        <v>1001</v>
      </c>
      <c r="AJ57" s="627">
        <v>29711</v>
      </c>
      <c r="AM57" s="494" t="s">
        <v>786</v>
      </c>
      <c r="AN57" s="625" t="s">
        <v>901</v>
      </c>
      <c r="AO57" s="627">
        <v>22230</v>
      </c>
      <c r="AP57" s="623" t="s">
        <v>882</v>
      </c>
      <c r="AQ57" s="627">
        <v>7089327433</v>
      </c>
    </row>
    <row r="58" spans="1:43" ht="15" customHeight="1" x14ac:dyDescent="0.25">
      <c r="A58" s="625">
        <v>57</v>
      </c>
      <c r="B58" s="494" t="s">
        <v>528</v>
      </c>
      <c r="C58" s="625">
        <v>104</v>
      </c>
      <c r="D58" s="494" t="s">
        <v>1002</v>
      </c>
      <c r="E58" s="627">
        <v>9504615</v>
      </c>
      <c r="F58" s="627">
        <v>29707</v>
      </c>
      <c r="G58" s="494" t="s">
        <v>1005</v>
      </c>
      <c r="S58" s="629">
        <f t="shared" si="0"/>
        <v>0.5</v>
      </c>
      <c r="T58" s="629">
        <f t="shared" si="1"/>
        <v>0.52083333333333337</v>
      </c>
      <c r="U58" s="494" t="s">
        <v>914</v>
      </c>
      <c r="V58" s="620" t="str">
        <f>Combined_tables[[#This Row],[TimeSlot_Start_text]]</f>
        <v>1200</v>
      </c>
      <c r="W58" s="621" t="s">
        <v>354</v>
      </c>
      <c r="X58" s="621" t="s">
        <v>354</v>
      </c>
      <c r="Y58" s="621" t="s">
        <v>354</v>
      </c>
      <c r="Z58" s="621" t="s">
        <v>354</v>
      </c>
      <c r="AA58" s="621" t="s">
        <v>354</v>
      </c>
      <c r="AB58" s="494" t="s">
        <v>1077</v>
      </c>
      <c r="AC58" s="494" t="s">
        <v>995</v>
      </c>
      <c r="AD58" s="625" t="s">
        <v>996</v>
      </c>
      <c r="AE58" s="627">
        <v>29715</v>
      </c>
      <c r="AF58" s="623" t="s">
        <v>998</v>
      </c>
      <c r="AG58" s="627">
        <v>708979613</v>
      </c>
      <c r="AH58" s="494" t="s">
        <v>1000</v>
      </c>
      <c r="AI58" s="625" t="s">
        <v>1001</v>
      </c>
      <c r="AJ58" s="627">
        <v>29711</v>
      </c>
      <c r="AM58" s="494" t="s">
        <v>786</v>
      </c>
      <c r="AN58" s="625" t="s">
        <v>901</v>
      </c>
      <c r="AO58" s="627">
        <v>22230</v>
      </c>
      <c r="AP58" s="623" t="s">
        <v>882</v>
      </c>
      <c r="AQ58" s="627">
        <v>7089327433</v>
      </c>
    </row>
    <row r="59" spans="1:43" ht="15.75" customHeight="1" x14ac:dyDescent="0.25">
      <c r="A59" s="625">
        <v>58</v>
      </c>
      <c r="B59" s="494" t="s">
        <v>528</v>
      </c>
      <c r="C59" s="625">
        <v>104</v>
      </c>
      <c r="D59" s="494" t="s">
        <v>1002</v>
      </c>
      <c r="E59" s="627">
        <v>9504615</v>
      </c>
      <c r="F59" s="627">
        <v>29707</v>
      </c>
      <c r="G59" s="494" t="s">
        <v>1005</v>
      </c>
      <c r="S59" s="629">
        <f t="shared" si="0"/>
        <v>0.52083333333333337</v>
      </c>
      <c r="T59" s="629">
        <f t="shared" si="1"/>
        <v>0.54166666666666674</v>
      </c>
      <c r="U59" s="494" t="s">
        <v>915</v>
      </c>
      <c r="V59" s="620" t="str">
        <f>Combined_tables[[#This Row],[TimeSlot_Start_text]]</f>
        <v>1230</v>
      </c>
      <c r="W59" s="621" t="s">
        <v>354</v>
      </c>
      <c r="X59" s="621" t="s">
        <v>354</v>
      </c>
      <c r="Y59" s="621" t="s">
        <v>354</v>
      </c>
      <c r="Z59" s="621" t="s">
        <v>354</v>
      </c>
      <c r="AA59" s="621" t="s">
        <v>354</v>
      </c>
      <c r="AB59" s="494" t="s">
        <v>1078</v>
      </c>
      <c r="AC59" s="494" t="s">
        <v>995</v>
      </c>
      <c r="AD59" s="625" t="s">
        <v>996</v>
      </c>
      <c r="AE59" s="627">
        <v>29715</v>
      </c>
      <c r="AF59" s="623" t="s">
        <v>998</v>
      </c>
      <c r="AG59" s="627">
        <v>708979613</v>
      </c>
      <c r="AH59" s="494" t="s">
        <v>1000</v>
      </c>
      <c r="AI59" s="625" t="s">
        <v>1001</v>
      </c>
      <c r="AJ59" s="627">
        <v>29711</v>
      </c>
      <c r="AM59" s="494" t="s">
        <v>786</v>
      </c>
      <c r="AN59" s="625" t="s">
        <v>901</v>
      </c>
      <c r="AO59" s="627">
        <v>22230</v>
      </c>
      <c r="AP59" s="623" t="s">
        <v>882</v>
      </c>
      <c r="AQ59" s="627">
        <v>7089327433</v>
      </c>
    </row>
    <row r="60" spans="1:43" x14ac:dyDescent="0.25">
      <c r="A60" s="625">
        <v>59</v>
      </c>
      <c r="B60" s="494" t="s">
        <v>528</v>
      </c>
      <c r="C60" s="625">
        <v>104</v>
      </c>
      <c r="D60" s="494" t="s">
        <v>1002</v>
      </c>
      <c r="E60" s="627">
        <v>9504615</v>
      </c>
      <c r="F60" s="627">
        <v>29707</v>
      </c>
      <c r="G60" s="494" t="s">
        <v>1005</v>
      </c>
      <c r="S60" s="629">
        <f t="shared" si="0"/>
        <v>0.54166666666666663</v>
      </c>
      <c r="T60" s="629">
        <f t="shared" si="1"/>
        <v>0.5625</v>
      </c>
      <c r="U60" s="494" t="s">
        <v>916</v>
      </c>
      <c r="V60" s="620" t="str">
        <f>Combined_tables[[#This Row],[TimeSlot_Start_text]]</f>
        <v>1300</v>
      </c>
      <c r="W60" s="621" t="s">
        <v>557</v>
      </c>
      <c r="X60" s="621" t="s">
        <v>380</v>
      </c>
      <c r="Y60" s="621" t="s">
        <v>557</v>
      </c>
      <c r="Z60" s="621"/>
      <c r="AA60" s="621" t="s">
        <v>553</v>
      </c>
      <c r="AB60" s="494" t="s">
        <v>1071</v>
      </c>
      <c r="AC60" s="494" t="s">
        <v>995</v>
      </c>
      <c r="AD60" s="625" t="s">
        <v>996</v>
      </c>
      <c r="AE60" s="627">
        <v>29715</v>
      </c>
      <c r="AF60" s="623" t="s">
        <v>998</v>
      </c>
      <c r="AG60" s="627">
        <v>708979613</v>
      </c>
      <c r="AH60" s="494" t="s">
        <v>1000</v>
      </c>
      <c r="AI60" s="625" t="s">
        <v>1001</v>
      </c>
      <c r="AJ60" s="627">
        <v>29711</v>
      </c>
      <c r="AM60" s="494" t="s">
        <v>786</v>
      </c>
      <c r="AN60" s="625" t="s">
        <v>901</v>
      </c>
      <c r="AO60" s="627">
        <v>22230</v>
      </c>
      <c r="AP60" s="623" t="s">
        <v>882</v>
      </c>
      <c r="AQ60" s="627">
        <v>7089327433</v>
      </c>
    </row>
    <row r="61" spans="1:43" x14ac:dyDescent="0.25">
      <c r="A61" s="625">
        <v>60</v>
      </c>
      <c r="B61" s="494" t="s">
        <v>528</v>
      </c>
      <c r="C61" s="625">
        <v>104</v>
      </c>
      <c r="D61" s="494" t="s">
        <v>1002</v>
      </c>
      <c r="E61" s="627">
        <v>9504615</v>
      </c>
      <c r="F61" s="627">
        <v>29707</v>
      </c>
      <c r="G61" s="494" t="s">
        <v>1005</v>
      </c>
      <c r="S61" s="629">
        <f t="shared" si="0"/>
        <v>0.5625</v>
      </c>
      <c r="T61" s="629">
        <f t="shared" si="1"/>
        <v>0.58333333333333337</v>
      </c>
      <c r="U61" s="494" t="s">
        <v>917</v>
      </c>
      <c r="V61" s="620" t="str">
        <f>Combined_tables[[#This Row],[TimeSlot_Start_text]]</f>
        <v>1330</v>
      </c>
      <c r="W61" s="621" t="s">
        <v>557</v>
      </c>
      <c r="X61" s="621"/>
      <c r="Y61" s="621" t="s">
        <v>557</v>
      </c>
      <c r="Z61" s="621"/>
      <c r="AA61" s="621" t="s">
        <v>553</v>
      </c>
      <c r="AB61" s="494" t="s">
        <v>1072</v>
      </c>
      <c r="AC61" s="494" t="s">
        <v>995</v>
      </c>
      <c r="AD61" s="625" t="s">
        <v>996</v>
      </c>
      <c r="AE61" s="627">
        <v>29715</v>
      </c>
      <c r="AF61" s="623" t="s">
        <v>998</v>
      </c>
      <c r="AG61" s="627">
        <v>708979613</v>
      </c>
      <c r="AH61" s="494" t="s">
        <v>1000</v>
      </c>
      <c r="AI61" s="625" t="s">
        <v>1001</v>
      </c>
      <c r="AJ61" s="627">
        <v>29711</v>
      </c>
      <c r="AM61" s="494" t="s">
        <v>786</v>
      </c>
      <c r="AN61" s="625" t="s">
        <v>901</v>
      </c>
      <c r="AO61" s="627">
        <v>22230</v>
      </c>
      <c r="AP61" s="623" t="s">
        <v>882</v>
      </c>
      <c r="AQ61" s="627">
        <v>7089327433</v>
      </c>
    </row>
    <row r="62" spans="1:43" x14ac:dyDescent="0.25">
      <c r="A62" s="625">
        <v>61</v>
      </c>
      <c r="B62" s="494" t="s">
        <v>528</v>
      </c>
      <c r="C62" s="625">
        <v>104</v>
      </c>
      <c r="D62" s="494" t="s">
        <v>1002</v>
      </c>
      <c r="E62" s="627">
        <v>9504615</v>
      </c>
      <c r="F62" s="627">
        <v>29707</v>
      </c>
      <c r="G62" s="494" t="s">
        <v>1005</v>
      </c>
      <c r="S62" s="629">
        <f t="shared" si="0"/>
        <v>0.58333333333333337</v>
      </c>
      <c r="T62" s="629">
        <f t="shared" si="1"/>
        <v>0.60416666666666674</v>
      </c>
      <c r="U62" s="494" t="s">
        <v>918</v>
      </c>
      <c r="V62" s="620" t="str">
        <f>Combined_tables[[#This Row],[TimeSlot_Start_text]]</f>
        <v>1400</v>
      </c>
      <c r="W62" s="621" t="s">
        <v>557</v>
      </c>
      <c r="X62" s="621"/>
      <c r="Y62" s="621" t="s">
        <v>557</v>
      </c>
      <c r="Z62" s="621"/>
      <c r="AA62" s="621" t="s">
        <v>553</v>
      </c>
      <c r="AB62" s="494" t="s">
        <v>1079</v>
      </c>
      <c r="AC62" s="494" t="s">
        <v>995</v>
      </c>
      <c r="AD62" s="625" t="s">
        <v>996</v>
      </c>
      <c r="AE62" s="627">
        <v>29715</v>
      </c>
      <c r="AF62" s="623" t="s">
        <v>998</v>
      </c>
      <c r="AG62" s="627">
        <v>708979613</v>
      </c>
      <c r="AH62" s="494" t="s">
        <v>1000</v>
      </c>
      <c r="AI62" s="625" t="s">
        <v>1001</v>
      </c>
      <c r="AJ62" s="627">
        <v>29711</v>
      </c>
      <c r="AM62" s="494" t="s">
        <v>786</v>
      </c>
      <c r="AN62" s="625" t="s">
        <v>901</v>
      </c>
      <c r="AO62" s="627">
        <v>22230</v>
      </c>
      <c r="AP62" s="623" t="s">
        <v>882</v>
      </c>
      <c r="AQ62" s="627">
        <v>7089327433</v>
      </c>
    </row>
    <row r="63" spans="1:43" x14ac:dyDescent="0.25">
      <c r="A63" s="625">
        <v>62</v>
      </c>
      <c r="B63" s="494" t="s">
        <v>528</v>
      </c>
      <c r="C63" s="625">
        <v>104</v>
      </c>
      <c r="D63" s="494" t="s">
        <v>1002</v>
      </c>
      <c r="E63" s="627">
        <v>9504615</v>
      </c>
      <c r="F63" s="627">
        <v>29707</v>
      </c>
      <c r="G63" s="494" t="s">
        <v>1005</v>
      </c>
      <c r="S63" s="629">
        <f t="shared" si="0"/>
        <v>0.60416666666666663</v>
      </c>
      <c r="T63" s="629">
        <f t="shared" si="1"/>
        <v>0.625</v>
      </c>
      <c r="U63" s="494" t="s">
        <v>919</v>
      </c>
      <c r="V63" s="620" t="str">
        <f>Combined_tables[[#This Row],[TimeSlot_Start_text]]</f>
        <v>1430</v>
      </c>
      <c r="W63" s="621" t="s">
        <v>557</v>
      </c>
      <c r="X63" s="621"/>
      <c r="Y63" s="621" t="s">
        <v>557</v>
      </c>
      <c r="Z63" s="621"/>
      <c r="AA63" s="621" t="s">
        <v>553</v>
      </c>
      <c r="AB63" s="494" t="s">
        <v>1080</v>
      </c>
      <c r="AC63" s="494" t="s">
        <v>995</v>
      </c>
      <c r="AD63" s="625" t="s">
        <v>996</v>
      </c>
      <c r="AE63" s="627">
        <v>29715</v>
      </c>
      <c r="AF63" s="623" t="s">
        <v>998</v>
      </c>
      <c r="AG63" s="627">
        <v>708979613</v>
      </c>
      <c r="AH63" s="494" t="s">
        <v>1000</v>
      </c>
      <c r="AI63" s="625" t="s">
        <v>1001</v>
      </c>
      <c r="AJ63" s="627">
        <v>29711</v>
      </c>
      <c r="AM63" s="494" t="s">
        <v>786</v>
      </c>
      <c r="AN63" s="625" t="s">
        <v>901</v>
      </c>
      <c r="AO63" s="627">
        <v>22230</v>
      </c>
      <c r="AP63" s="623" t="s">
        <v>882</v>
      </c>
      <c r="AQ63" s="627">
        <v>7089327433</v>
      </c>
    </row>
    <row r="64" spans="1:43" x14ac:dyDescent="0.25">
      <c r="A64" s="625">
        <v>63</v>
      </c>
      <c r="B64" s="494" t="s">
        <v>528</v>
      </c>
      <c r="C64" s="625">
        <v>104</v>
      </c>
      <c r="D64" s="494" t="s">
        <v>1002</v>
      </c>
      <c r="E64" s="627">
        <v>9504615</v>
      </c>
      <c r="F64" s="627">
        <v>29707</v>
      </c>
      <c r="G64" s="494" t="s">
        <v>1005</v>
      </c>
      <c r="S64" s="629">
        <f t="shared" si="0"/>
        <v>0.625</v>
      </c>
      <c r="T64" s="629">
        <f t="shared" si="1"/>
        <v>0.64583333333333337</v>
      </c>
      <c r="U64" s="494" t="s">
        <v>920</v>
      </c>
      <c r="V64" s="620" t="str">
        <f>Combined_tables[[#This Row],[TimeSlot_Start_text]]</f>
        <v>1500</v>
      </c>
      <c r="W64" s="621" t="s">
        <v>557</v>
      </c>
      <c r="X64" s="621"/>
      <c r="Y64" s="621" t="s">
        <v>557</v>
      </c>
      <c r="Z64" s="621"/>
      <c r="AA64" s="621" t="s">
        <v>553</v>
      </c>
      <c r="AB64" s="494" t="s">
        <v>1081</v>
      </c>
      <c r="AC64" s="494" t="s">
        <v>995</v>
      </c>
      <c r="AD64" s="625" t="s">
        <v>996</v>
      </c>
      <c r="AE64" s="627">
        <v>29715</v>
      </c>
      <c r="AF64" s="623" t="s">
        <v>998</v>
      </c>
      <c r="AG64" s="627">
        <v>708979613</v>
      </c>
      <c r="AH64" s="494" t="s">
        <v>1000</v>
      </c>
      <c r="AI64" s="625" t="s">
        <v>1001</v>
      </c>
      <c r="AJ64" s="627">
        <v>29711</v>
      </c>
      <c r="AM64" s="494" t="s">
        <v>786</v>
      </c>
      <c r="AN64" s="625" t="s">
        <v>901</v>
      </c>
      <c r="AO64" s="627">
        <v>22230</v>
      </c>
      <c r="AP64" s="623" t="s">
        <v>882</v>
      </c>
      <c r="AQ64" s="627">
        <v>7089327433</v>
      </c>
    </row>
    <row r="65" spans="1:43" x14ac:dyDescent="0.25">
      <c r="A65" s="625">
        <v>64</v>
      </c>
      <c r="B65" s="494" t="s">
        <v>528</v>
      </c>
      <c r="C65" s="625">
        <v>104</v>
      </c>
      <c r="D65" s="494" t="s">
        <v>1002</v>
      </c>
      <c r="E65" s="627">
        <v>9504615</v>
      </c>
      <c r="F65" s="627">
        <v>29707</v>
      </c>
      <c r="G65" s="494" t="s">
        <v>1005</v>
      </c>
      <c r="S65" s="629">
        <f t="shared" si="0"/>
        <v>0.64583333333333337</v>
      </c>
      <c r="T65" s="629">
        <f t="shared" si="1"/>
        <v>0.66666666666666674</v>
      </c>
      <c r="U65" s="494" t="s">
        <v>921</v>
      </c>
      <c r="V65" s="620" t="str">
        <f>Combined_tables[[#This Row],[TimeSlot_Start_text]]</f>
        <v>1530</v>
      </c>
      <c r="W65" s="621"/>
      <c r="X65" s="621"/>
      <c r="Y65" s="621"/>
      <c r="Z65" s="621"/>
      <c r="AA65" s="621"/>
      <c r="AB65" s="494" t="s">
        <v>1082</v>
      </c>
      <c r="AC65" s="494" t="s">
        <v>995</v>
      </c>
      <c r="AD65" s="625" t="s">
        <v>996</v>
      </c>
      <c r="AE65" s="627">
        <v>29715</v>
      </c>
      <c r="AF65" s="623" t="s">
        <v>998</v>
      </c>
      <c r="AG65" s="627">
        <v>708979613</v>
      </c>
      <c r="AH65" s="494" t="s">
        <v>1000</v>
      </c>
      <c r="AI65" s="625" t="s">
        <v>1001</v>
      </c>
      <c r="AJ65" s="627">
        <v>29711</v>
      </c>
      <c r="AM65" s="494" t="s">
        <v>786</v>
      </c>
      <c r="AN65" s="625" t="s">
        <v>901</v>
      </c>
      <c r="AO65" s="627">
        <v>22230</v>
      </c>
      <c r="AP65" s="623" t="s">
        <v>882</v>
      </c>
      <c r="AQ65" s="627">
        <v>7089327433</v>
      </c>
    </row>
    <row r="66" spans="1:43" x14ac:dyDescent="0.25">
      <c r="A66" s="625">
        <v>65</v>
      </c>
      <c r="B66" s="494" t="s">
        <v>528</v>
      </c>
      <c r="C66" s="625">
        <v>105</v>
      </c>
      <c r="D66" s="494" t="s">
        <v>1006</v>
      </c>
      <c r="E66" s="627">
        <v>9504572</v>
      </c>
      <c r="F66" s="627">
        <v>29078</v>
      </c>
      <c r="G66" s="494" t="s">
        <v>1009</v>
      </c>
      <c r="S66" s="629">
        <f t="shared" ref="S66:S129" si="2">TIME(LEFT(U66,2),RIGHT(U66,2),"00")</f>
        <v>0.33333333333333331</v>
      </c>
      <c r="T66" s="629">
        <f t="shared" ref="T66:T129" si="3">S66+(TIME("00","30","00"))</f>
        <v>0.35416666666666663</v>
      </c>
      <c r="U66" s="494" t="s">
        <v>906</v>
      </c>
      <c r="V66" s="620" t="str">
        <f>Combined_tables[[#This Row],[TimeSlot_Start_text]]</f>
        <v>0800</v>
      </c>
      <c r="W66" s="621" t="s">
        <v>554</v>
      </c>
      <c r="X66" s="621"/>
      <c r="Y66" s="621"/>
      <c r="Z66" s="621" t="s">
        <v>554</v>
      </c>
      <c r="AA66" s="621"/>
      <c r="AB66" s="494" t="s">
        <v>1083</v>
      </c>
      <c r="AC66" s="494" t="s">
        <v>995</v>
      </c>
      <c r="AD66" s="625" t="s">
        <v>996</v>
      </c>
      <c r="AE66" s="627">
        <v>29715</v>
      </c>
      <c r="AF66" s="623" t="s">
        <v>998</v>
      </c>
      <c r="AG66" s="627">
        <v>708979613</v>
      </c>
      <c r="AH66" s="494" t="s">
        <v>1000</v>
      </c>
      <c r="AI66" s="625" t="s">
        <v>1001</v>
      </c>
      <c r="AJ66" s="627">
        <v>29711</v>
      </c>
      <c r="AM66" s="494" t="s">
        <v>786</v>
      </c>
      <c r="AN66" s="625" t="s">
        <v>901</v>
      </c>
      <c r="AO66" s="627">
        <v>22230</v>
      </c>
      <c r="AP66" s="623" t="s">
        <v>882</v>
      </c>
      <c r="AQ66" s="627">
        <v>7089327433</v>
      </c>
    </row>
    <row r="67" spans="1:43" x14ac:dyDescent="0.25">
      <c r="A67" s="625">
        <v>66</v>
      </c>
      <c r="B67" s="494" t="s">
        <v>528</v>
      </c>
      <c r="C67" s="625">
        <v>105</v>
      </c>
      <c r="D67" s="494" t="s">
        <v>1006</v>
      </c>
      <c r="E67" s="627">
        <v>9504572</v>
      </c>
      <c r="F67" s="627">
        <v>29078</v>
      </c>
      <c r="G67" s="494" t="s">
        <v>1009</v>
      </c>
      <c r="S67" s="629">
        <f t="shared" si="2"/>
        <v>0.35416666666666669</v>
      </c>
      <c r="T67" s="629">
        <f t="shared" si="3"/>
        <v>0.375</v>
      </c>
      <c r="U67" s="494" t="s">
        <v>907</v>
      </c>
      <c r="V67" s="620" t="str">
        <f>Combined_tables[[#This Row],[TimeSlot_Start_text]]</f>
        <v>0830</v>
      </c>
      <c r="W67" s="621" t="s">
        <v>554</v>
      </c>
      <c r="X67" s="621" t="s">
        <v>554</v>
      </c>
      <c r="Y67" s="621"/>
      <c r="Z67" s="621" t="s">
        <v>554</v>
      </c>
      <c r="AA67" s="621"/>
      <c r="AB67" s="494" t="s">
        <v>1084</v>
      </c>
      <c r="AC67" s="494" t="s">
        <v>995</v>
      </c>
      <c r="AD67" s="625" t="s">
        <v>996</v>
      </c>
      <c r="AE67" s="627">
        <v>29715</v>
      </c>
      <c r="AF67" s="623" t="s">
        <v>998</v>
      </c>
      <c r="AG67" s="627">
        <v>708979613</v>
      </c>
      <c r="AH67" s="494" t="s">
        <v>1000</v>
      </c>
      <c r="AI67" s="625" t="s">
        <v>1001</v>
      </c>
      <c r="AJ67" s="627">
        <v>29711</v>
      </c>
      <c r="AM67" s="494" t="s">
        <v>786</v>
      </c>
      <c r="AN67" s="625" t="s">
        <v>901</v>
      </c>
      <c r="AO67" s="627">
        <v>22230</v>
      </c>
      <c r="AP67" s="623" t="s">
        <v>882</v>
      </c>
      <c r="AQ67" s="627">
        <v>7089327433</v>
      </c>
    </row>
    <row r="68" spans="1:43" x14ac:dyDescent="0.25">
      <c r="A68" s="625">
        <v>67</v>
      </c>
      <c r="B68" s="494" t="s">
        <v>528</v>
      </c>
      <c r="C68" s="625">
        <v>105</v>
      </c>
      <c r="D68" s="494" t="s">
        <v>1006</v>
      </c>
      <c r="E68" s="627">
        <v>9504572</v>
      </c>
      <c r="F68" s="627">
        <v>29078</v>
      </c>
      <c r="G68" s="494" t="s">
        <v>1009</v>
      </c>
      <c r="S68" s="629">
        <f t="shared" si="2"/>
        <v>0.375</v>
      </c>
      <c r="T68" s="629">
        <f t="shared" si="3"/>
        <v>0.39583333333333331</v>
      </c>
      <c r="U68" s="494" t="s">
        <v>908</v>
      </c>
      <c r="V68" s="620" t="str">
        <f>Combined_tables[[#This Row],[TimeSlot_Start_text]]</f>
        <v>0900</v>
      </c>
      <c r="W68" s="621" t="s">
        <v>554</v>
      </c>
      <c r="X68" s="621" t="s">
        <v>554</v>
      </c>
      <c r="Y68" s="621"/>
      <c r="Z68" s="621" t="s">
        <v>554</v>
      </c>
      <c r="AA68" s="621"/>
      <c r="AB68" s="494" t="s">
        <v>1085</v>
      </c>
      <c r="AC68" s="494" t="s">
        <v>995</v>
      </c>
      <c r="AD68" s="625" t="s">
        <v>996</v>
      </c>
      <c r="AE68" s="627">
        <v>29715</v>
      </c>
      <c r="AF68" s="623" t="s">
        <v>998</v>
      </c>
      <c r="AG68" s="627">
        <v>708979613</v>
      </c>
      <c r="AH68" s="494" t="s">
        <v>1000</v>
      </c>
      <c r="AI68" s="625" t="s">
        <v>1001</v>
      </c>
      <c r="AJ68" s="627">
        <v>29711</v>
      </c>
      <c r="AM68" s="494" t="s">
        <v>786</v>
      </c>
      <c r="AN68" s="625" t="s">
        <v>901</v>
      </c>
      <c r="AO68" s="627">
        <v>22230</v>
      </c>
      <c r="AP68" s="623" t="s">
        <v>882</v>
      </c>
      <c r="AQ68" s="627">
        <v>7089327433</v>
      </c>
    </row>
    <row r="69" spans="1:43" x14ac:dyDescent="0.25">
      <c r="A69" s="625">
        <v>68</v>
      </c>
      <c r="B69" s="494" t="s">
        <v>528</v>
      </c>
      <c r="C69" s="625">
        <v>105</v>
      </c>
      <c r="D69" s="494" t="s">
        <v>1006</v>
      </c>
      <c r="E69" s="627">
        <v>9504572</v>
      </c>
      <c r="F69" s="627">
        <v>29078</v>
      </c>
      <c r="G69" s="494" t="s">
        <v>1009</v>
      </c>
      <c r="S69" s="629">
        <f t="shared" si="2"/>
        <v>0.39583333333333331</v>
      </c>
      <c r="T69" s="629">
        <f t="shared" si="3"/>
        <v>0.41666666666666663</v>
      </c>
      <c r="U69" s="494" t="s">
        <v>909</v>
      </c>
      <c r="V69" s="620" t="str">
        <f>Combined_tables[[#This Row],[TimeSlot_Start_text]]</f>
        <v>0930</v>
      </c>
      <c r="W69" s="621" t="s">
        <v>554</v>
      </c>
      <c r="X69" s="621" t="s">
        <v>554</v>
      </c>
      <c r="Y69" s="621"/>
      <c r="Z69" s="621" t="s">
        <v>554</v>
      </c>
      <c r="AA69" s="621"/>
      <c r="AB69" s="494" t="s">
        <v>1086</v>
      </c>
      <c r="AC69" s="494" t="s">
        <v>995</v>
      </c>
      <c r="AD69" s="625" t="s">
        <v>996</v>
      </c>
      <c r="AE69" s="627">
        <v>29715</v>
      </c>
      <c r="AF69" s="623" t="s">
        <v>998</v>
      </c>
      <c r="AG69" s="627">
        <v>708979613</v>
      </c>
      <c r="AH69" s="494" t="s">
        <v>1000</v>
      </c>
      <c r="AI69" s="625" t="s">
        <v>1001</v>
      </c>
      <c r="AJ69" s="627">
        <v>29711</v>
      </c>
      <c r="AM69" s="494" t="s">
        <v>786</v>
      </c>
      <c r="AN69" s="625" t="s">
        <v>901</v>
      </c>
      <c r="AO69" s="627">
        <v>22230</v>
      </c>
      <c r="AP69" s="623" t="s">
        <v>882</v>
      </c>
      <c r="AQ69" s="627">
        <v>7089327433</v>
      </c>
    </row>
    <row r="70" spans="1:43" x14ac:dyDescent="0.25">
      <c r="A70" s="625">
        <v>69</v>
      </c>
      <c r="B70" s="494" t="s">
        <v>528</v>
      </c>
      <c r="C70" s="625">
        <v>105</v>
      </c>
      <c r="D70" s="494" t="s">
        <v>1006</v>
      </c>
      <c r="E70" s="627">
        <v>9504572</v>
      </c>
      <c r="F70" s="627">
        <v>29078</v>
      </c>
      <c r="G70" s="494" t="s">
        <v>1009</v>
      </c>
      <c r="S70" s="629">
        <f t="shared" si="2"/>
        <v>0.41666666666666669</v>
      </c>
      <c r="T70" s="629">
        <f t="shared" si="3"/>
        <v>0.4375</v>
      </c>
      <c r="U70" s="494" t="s">
        <v>910</v>
      </c>
      <c r="V70" s="620" t="str">
        <f>Combined_tables[[#This Row],[TimeSlot_Start_text]]</f>
        <v>1000</v>
      </c>
      <c r="W70" s="621" t="s">
        <v>554</v>
      </c>
      <c r="X70" s="621" t="s">
        <v>554</v>
      </c>
      <c r="Y70" s="621"/>
      <c r="Z70" s="621" t="s">
        <v>554</v>
      </c>
      <c r="AA70" s="621"/>
      <c r="AB70" s="494" t="s">
        <v>1073</v>
      </c>
      <c r="AC70" s="494" t="s">
        <v>995</v>
      </c>
      <c r="AD70" s="625" t="s">
        <v>996</v>
      </c>
      <c r="AE70" s="627">
        <v>29715</v>
      </c>
      <c r="AF70" s="623" t="s">
        <v>998</v>
      </c>
      <c r="AG70" s="627">
        <v>708979613</v>
      </c>
      <c r="AH70" s="494" t="s">
        <v>1000</v>
      </c>
      <c r="AI70" s="625" t="s">
        <v>1001</v>
      </c>
      <c r="AJ70" s="627">
        <v>29711</v>
      </c>
      <c r="AM70" s="494" t="s">
        <v>786</v>
      </c>
      <c r="AN70" s="625" t="s">
        <v>901</v>
      </c>
      <c r="AO70" s="627">
        <v>22230</v>
      </c>
      <c r="AP70" s="623" t="s">
        <v>882</v>
      </c>
      <c r="AQ70" s="627">
        <v>7089327433</v>
      </c>
    </row>
    <row r="71" spans="1:43" x14ac:dyDescent="0.25">
      <c r="A71" s="625">
        <v>70</v>
      </c>
      <c r="B71" s="494" t="s">
        <v>528</v>
      </c>
      <c r="C71" s="625">
        <v>105</v>
      </c>
      <c r="D71" s="494" t="s">
        <v>1006</v>
      </c>
      <c r="E71" s="627">
        <v>9504572</v>
      </c>
      <c r="F71" s="627">
        <v>29078</v>
      </c>
      <c r="G71" s="494" t="s">
        <v>1009</v>
      </c>
      <c r="S71" s="629">
        <f t="shared" si="2"/>
        <v>0.4375</v>
      </c>
      <c r="T71" s="629">
        <f t="shared" si="3"/>
        <v>0.45833333333333331</v>
      </c>
      <c r="U71" s="494" t="s">
        <v>911</v>
      </c>
      <c r="V71" s="620" t="str">
        <f>Combined_tables[[#This Row],[TimeSlot_Start_text]]</f>
        <v>1030</v>
      </c>
      <c r="W71" s="621" t="s">
        <v>554</v>
      </c>
      <c r="X71" s="621" t="s">
        <v>554</v>
      </c>
      <c r="Y71" s="621"/>
      <c r="Z71" s="621" t="s">
        <v>554</v>
      </c>
      <c r="AA71" s="621"/>
      <c r="AB71" s="494" t="s">
        <v>1074</v>
      </c>
      <c r="AC71" s="494" t="s">
        <v>995</v>
      </c>
      <c r="AD71" s="625" t="s">
        <v>996</v>
      </c>
      <c r="AE71" s="627">
        <v>29715</v>
      </c>
      <c r="AF71" s="623" t="s">
        <v>998</v>
      </c>
      <c r="AG71" s="627">
        <v>708979613</v>
      </c>
      <c r="AH71" s="494" t="s">
        <v>1000</v>
      </c>
      <c r="AI71" s="625" t="s">
        <v>1001</v>
      </c>
      <c r="AJ71" s="627">
        <v>29711</v>
      </c>
      <c r="AM71" s="494" t="s">
        <v>786</v>
      </c>
      <c r="AN71" s="625" t="s">
        <v>901</v>
      </c>
      <c r="AO71" s="627">
        <v>22230</v>
      </c>
      <c r="AP71" s="623" t="s">
        <v>882</v>
      </c>
      <c r="AQ71" s="627">
        <v>7089327433</v>
      </c>
    </row>
    <row r="72" spans="1:43" x14ac:dyDescent="0.25">
      <c r="A72" s="625">
        <v>71</v>
      </c>
      <c r="B72" s="494" t="s">
        <v>528</v>
      </c>
      <c r="C72" s="625">
        <v>105</v>
      </c>
      <c r="D72" s="494" t="s">
        <v>1006</v>
      </c>
      <c r="E72" s="627">
        <v>9504572</v>
      </c>
      <c r="F72" s="627">
        <v>29078</v>
      </c>
      <c r="G72" s="494" t="s">
        <v>1009</v>
      </c>
      <c r="S72" s="629">
        <f t="shared" si="2"/>
        <v>0.45833333333333331</v>
      </c>
      <c r="T72" s="629">
        <f t="shared" si="3"/>
        <v>0.47916666666666663</v>
      </c>
      <c r="U72" s="494" t="s">
        <v>912</v>
      </c>
      <c r="V72" s="620" t="str">
        <f>Combined_tables[[#This Row],[TimeSlot_Start_text]]</f>
        <v>1100</v>
      </c>
      <c r="W72" s="621" t="s">
        <v>554</v>
      </c>
      <c r="X72" s="621" t="s">
        <v>554</v>
      </c>
      <c r="Y72" s="621"/>
      <c r="Z72" s="621" t="s">
        <v>554</v>
      </c>
      <c r="AA72" s="621"/>
      <c r="AB72" s="494" t="s">
        <v>1076</v>
      </c>
      <c r="AC72" s="494" t="s">
        <v>995</v>
      </c>
      <c r="AD72" s="625" t="s">
        <v>996</v>
      </c>
      <c r="AE72" s="627">
        <v>29715</v>
      </c>
      <c r="AF72" s="623" t="s">
        <v>998</v>
      </c>
      <c r="AG72" s="627">
        <v>708979613</v>
      </c>
      <c r="AH72" s="494" t="s">
        <v>1000</v>
      </c>
      <c r="AI72" s="625" t="s">
        <v>1001</v>
      </c>
      <c r="AJ72" s="627">
        <v>29711</v>
      </c>
      <c r="AM72" s="494" t="s">
        <v>786</v>
      </c>
      <c r="AN72" s="625" t="s">
        <v>901</v>
      </c>
      <c r="AO72" s="627">
        <v>22230</v>
      </c>
      <c r="AP72" s="623" t="s">
        <v>882</v>
      </c>
      <c r="AQ72" s="627">
        <v>7089327433</v>
      </c>
    </row>
    <row r="73" spans="1:43" x14ac:dyDescent="0.25">
      <c r="A73" s="625">
        <v>72</v>
      </c>
      <c r="B73" s="494" t="s">
        <v>528</v>
      </c>
      <c r="C73" s="625">
        <v>105</v>
      </c>
      <c r="D73" s="494" t="s">
        <v>1006</v>
      </c>
      <c r="E73" s="627">
        <v>9504572</v>
      </c>
      <c r="F73" s="627">
        <v>29078</v>
      </c>
      <c r="G73" s="494" t="s">
        <v>1009</v>
      </c>
      <c r="S73" s="629">
        <f t="shared" si="2"/>
        <v>0.47916666666666669</v>
      </c>
      <c r="T73" s="629">
        <f t="shared" si="3"/>
        <v>0.5</v>
      </c>
      <c r="U73" s="494" t="s">
        <v>913</v>
      </c>
      <c r="V73" s="620" t="str">
        <f>Combined_tables[[#This Row],[TimeSlot_Start_text]]</f>
        <v>1130</v>
      </c>
      <c r="W73" s="621" t="s">
        <v>554</v>
      </c>
      <c r="X73" s="621" t="s">
        <v>554</v>
      </c>
      <c r="Y73" s="621"/>
      <c r="Z73" s="621" t="s">
        <v>554</v>
      </c>
      <c r="AA73" s="621"/>
      <c r="AB73" s="494" t="s">
        <v>1075</v>
      </c>
      <c r="AC73" s="494" t="s">
        <v>995</v>
      </c>
      <c r="AD73" s="625" t="s">
        <v>996</v>
      </c>
      <c r="AE73" s="627">
        <v>29715</v>
      </c>
      <c r="AF73" s="623" t="s">
        <v>998</v>
      </c>
      <c r="AG73" s="627">
        <v>708979613</v>
      </c>
      <c r="AH73" s="494" t="s">
        <v>1000</v>
      </c>
      <c r="AI73" s="625" t="s">
        <v>1001</v>
      </c>
      <c r="AJ73" s="627">
        <v>29711</v>
      </c>
      <c r="AM73" s="494" t="s">
        <v>786</v>
      </c>
      <c r="AN73" s="625" t="s">
        <v>901</v>
      </c>
      <c r="AO73" s="627">
        <v>22230</v>
      </c>
      <c r="AP73" s="623" t="s">
        <v>882</v>
      </c>
      <c r="AQ73" s="627">
        <v>7089327433</v>
      </c>
    </row>
    <row r="74" spans="1:43" ht="15" customHeight="1" x14ac:dyDescent="0.25">
      <c r="A74" s="625">
        <v>73</v>
      </c>
      <c r="B74" s="494" t="s">
        <v>528</v>
      </c>
      <c r="C74" s="625">
        <v>105</v>
      </c>
      <c r="D74" s="494" t="s">
        <v>1006</v>
      </c>
      <c r="E74" s="627">
        <v>9504572</v>
      </c>
      <c r="F74" s="627">
        <v>29078</v>
      </c>
      <c r="G74" s="494" t="s">
        <v>1009</v>
      </c>
      <c r="S74" s="629">
        <f t="shared" si="2"/>
        <v>0.5</v>
      </c>
      <c r="T74" s="629">
        <f t="shared" si="3"/>
        <v>0.52083333333333337</v>
      </c>
      <c r="U74" s="494" t="s">
        <v>914</v>
      </c>
      <c r="V74" s="620" t="str">
        <f>Combined_tables[[#This Row],[TimeSlot_Start_text]]</f>
        <v>1200</v>
      </c>
      <c r="W74" s="621" t="s">
        <v>354</v>
      </c>
      <c r="X74" s="621" t="s">
        <v>354</v>
      </c>
      <c r="Y74" s="621" t="s">
        <v>354</v>
      </c>
      <c r="Z74" s="621" t="s">
        <v>354</v>
      </c>
      <c r="AA74" s="621" t="s">
        <v>354</v>
      </c>
      <c r="AB74" s="494" t="s">
        <v>1077</v>
      </c>
      <c r="AC74" s="494" t="s">
        <v>995</v>
      </c>
      <c r="AD74" s="625" t="s">
        <v>996</v>
      </c>
      <c r="AE74" s="627">
        <v>29715</v>
      </c>
      <c r="AF74" s="623" t="s">
        <v>998</v>
      </c>
      <c r="AG74" s="627">
        <v>708979613</v>
      </c>
      <c r="AH74" s="494" t="s">
        <v>1000</v>
      </c>
      <c r="AI74" s="625" t="s">
        <v>1001</v>
      </c>
      <c r="AJ74" s="627">
        <v>29711</v>
      </c>
      <c r="AM74" s="494" t="s">
        <v>786</v>
      </c>
      <c r="AN74" s="625" t="s">
        <v>901</v>
      </c>
      <c r="AO74" s="627">
        <v>22230</v>
      </c>
      <c r="AP74" s="623" t="s">
        <v>882</v>
      </c>
      <c r="AQ74" s="627">
        <v>7089327433</v>
      </c>
    </row>
    <row r="75" spans="1:43" ht="15.75" customHeight="1" x14ac:dyDescent="0.25">
      <c r="A75" s="625">
        <v>74</v>
      </c>
      <c r="B75" s="494" t="s">
        <v>528</v>
      </c>
      <c r="C75" s="625">
        <v>105</v>
      </c>
      <c r="D75" s="494" t="s">
        <v>1006</v>
      </c>
      <c r="E75" s="627">
        <v>9504572</v>
      </c>
      <c r="F75" s="627">
        <v>29078</v>
      </c>
      <c r="G75" s="494" t="s">
        <v>1009</v>
      </c>
      <c r="S75" s="629">
        <f t="shared" si="2"/>
        <v>0.52083333333333337</v>
      </c>
      <c r="T75" s="629">
        <f t="shared" si="3"/>
        <v>0.54166666666666674</v>
      </c>
      <c r="U75" s="494" t="s">
        <v>915</v>
      </c>
      <c r="V75" s="620" t="str">
        <f>Combined_tables[[#This Row],[TimeSlot_Start_text]]</f>
        <v>1230</v>
      </c>
      <c r="W75" s="621" t="s">
        <v>354</v>
      </c>
      <c r="X75" s="621" t="s">
        <v>354</v>
      </c>
      <c r="Y75" s="621" t="s">
        <v>354</v>
      </c>
      <c r="Z75" s="621" t="s">
        <v>354</v>
      </c>
      <c r="AA75" s="621" t="s">
        <v>354</v>
      </c>
      <c r="AB75" s="494" t="s">
        <v>1078</v>
      </c>
      <c r="AC75" s="494" t="s">
        <v>995</v>
      </c>
      <c r="AD75" s="625" t="s">
        <v>996</v>
      </c>
      <c r="AE75" s="627">
        <v>29715</v>
      </c>
      <c r="AF75" s="623" t="s">
        <v>998</v>
      </c>
      <c r="AG75" s="627">
        <v>708979613</v>
      </c>
      <c r="AH75" s="494" t="s">
        <v>1000</v>
      </c>
      <c r="AI75" s="625" t="s">
        <v>1001</v>
      </c>
      <c r="AJ75" s="627">
        <v>29711</v>
      </c>
      <c r="AM75" s="494" t="s">
        <v>786</v>
      </c>
      <c r="AN75" s="625" t="s">
        <v>901</v>
      </c>
      <c r="AO75" s="627">
        <v>22230</v>
      </c>
      <c r="AP75" s="623" t="s">
        <v>882</v>
      </c>
      <c r="AQ75" s="627">
        <v>7089327433</v>
      </c>
    </row>
    <row r="76" spans="1:43" x14ac:dyDescent="0.25">
      <c r="A76" s="625">
        <v>75</v>
      </c>
      <c r="B76" s="494" t="s">
        <v>528</v>
      </c>
      <c r="C76" s="625">
        <v>105</v>
      </c>
      <c r="D76" s="494" t="s">
        <v>1006</v>
      </c>
      <c r="E76" s="627">
        <v>9504572</v>
      </c>
      <c r="F76" s="627">
        <v>29078</v>
      </c>
      <c r="G76" s="494" t="s">
        <v>1009</v>
      </c>
      <c r="S76" s="629">
        <f t="shared" si="2"/>
        <v>0.54166666666666663</v>
      </c>
      <c r="T76" s="629">
        <f t="shared" si="3"/>
        <v>0.5625</v>
      </c>
      <c r="U76" s="494" t="s">
        <v>916</v>
      </c>
      <c r="V76" s="620" t="str">
        <f>Combined_tables[[#This Row],[TimeSlot_Start_text]]</f>
        <v>1300</v>
      </c>
      <c r="W76" s="621" t="s">
        <v>554</v>
      </c>
      <c r="X76" s="621"/>
      <c r="Y76" s="621"/>
      <c r="Z76" s="621"/>
      <c r="AA76" s="621" t="s">
        <v>380</v>
      </c>
      <c r="AB76" s="494" t="s">
        <v>1071</v>
      </c>
      <c r="AC76" s="494" t="s">
        <v>995</v>
      </c>
      <c r="AD76" s="625" t="s">
        <v>996</v>
      </c>
      <c r="AE76" s="627">
        <v>29715</v>
      </c>
      <c r="AF76" s="623" t="s">
        <v>998</v>
      </c>
      <c r="AG76" s="627">
        <v>708979613</v>
      </c>
      <c r="AH76" s="494" t="s">
        <v>1000</v>
      </c>
      <c r="AI76" s="625" t="s">
        <v>1001</v>
      </c>
      <c r="AJ76" s="627">
        <v>29711</v>
      </c>
      <c r="AM76" s="494" t="s">
        <v>786</v>
      </c>
      <c r="AN76" s="625" t="s">
        <v>901</v>
      </c>
      <c r="AO76" s="627">
        <v>22230</v>
      </c>
      <c r="AP76" s="623" t="s">
        <v>882</v>
      </c>
      <c r="AQ76" s="627">
        <v>7089327433</v>
      </c>
    </row>
    <row r="77" spans="1:43" x14ac:dyDescent="0.25">
      <c r="A77" s="625">
        <v>76</v>
      </c>
      <c r="B77" s="494" t="s">
        <v>528</v>
      </c>
      <c r="C77" s="625">
        <v>105</v>
      </c>
      <c r="D77" s="494" t="s">
        <v>1006</v>
      </c>
      <c r="E77" s="627">
        <v>9504572</v>
      </c>
      <c r="F77" s="627">
        <v>29078</v>
      </c>
      <c r="G77" s="494" t="s">
        <v>1009</v>
      </c>
      <c r="S77" s="629">
        <f t="shared" si="2"/>
        <v>0.5625</v>
      </c>
      <c r="T77" s="629">
        <f t="shared" si="3"/>
        <v>0.58333333333333337</v>
      </c>
      <c r="U77" s="494" t="s">
        <v>917</v>
      </c>
      <c r="V77" s="620" t="str">
        <f>Combined_tables[[#This Row],[TimeSlot_Start_text]]</f>
        <v>1330</v>
      </c>
      <c r="W77" s="621" t="s">
        <v>554</v>
      </c>
      <c r="X77" s="621"/>
      <c r="Y77" s="621"/>
      <c r="Z77" s="621"/>
      <c r="AA77" s="621"/>
      <c r="AB77" s="494" t="s">
        <v>1072</v>
      </c>
      <c r="AC77" s="494" t="s">
        <v>995</v>
      </c>
      <c r="AD77" s="625" t="s">
        <v>996</v>
      </c>
      <c r="AE77" s="627">
        <v>29715</v>
      </c>
      <c r="AF77" s="623" t="s">
        <v>998</v>
      </c>
      <c r="AG77" s="627">
        <v>708979613</v>
      </c>
      <c r="AH77" s="494" t="s">
        <v>1000</v>
      </c>
      <c r="AI77" s="625" t="s">
        <v>1001</v>
      </c>
      <c r="AJ77" s="627">
        <v>29711</v>
      </c>
      <c r="AM77" s="494" t="s">
        <v>786</v>
      </c>
      <c r="AN77" s="625" t="s">
        <v>901</v>
      </c>
      <c r="AO77" s="627">
        <v>22230</v>
      </c>
      <c r="AP77" s="623" t="s">
        <v>882</v>
      </c>
      <c r="AQ77" s="627">
        <v>7089327433</v>
      </c>
    </row>
    <row r="78" spans="1:43" x14ac:dyDescent="0.25">
      <c r="A78" s="625">
        <v>77</v>
      </c>
      <c r="B78" s="494" t="s">
        <v>528</v>
      </c>
      <c r="C78" s="625">
        <v>105</v>
      </c>
      <c r="D78" s="494" t="s">
        <v>1006</v>
      </c>
      <c r="E78" s="627">
        <v>9504572</v>
      </c>
      <c r="F78" s="627">
        <v>29078</v>
      </c>
      <c r="G78" s="494" t="s">
        <v>1009</v>
      </c>
      <c r="S78" s="629">
        <f t="shared" si="2"/>
        <v>0.58333333333333337</v>
      </c>
      <c r="T78" s="629">
        <f t="shared" si="3"/>
        <v>0.60416666666666674</v>
      </c>
      <c r="U78" s="494" t="s">
        <v>918</v>
      </c>
      <c r="V78" s="620" t="str">
        <f>Combined_tables[[#This Row],[TimeSlot_Start_text]]</f>
        <v>1400</v>
      </c>
      <c r="W78" s="621" t="s">
        <v>554</v>
      </c>
      <c r="X78" s="621"/>
      <c r="Y78" s="621"/>
      <c r="Z78" s="621"/>
      <c r="AA78" s="621"/>
      <c r="AB78" s="494" t="s">
        <v>1079</v>
      </c>
      <c r="AC78" s="494" t="s">
        <v>995</v>
      </c>
      <c r="AD78" s="625" t="s">
        <v>996</v>
      </c>
      <c r="AE78" s="627">
        <v>29715</v>
      </c>
      <c r="AF78" s="623" t="s">
        <v>998</v>
      </c>
      <c r="AG78" s="627">
        <v>708979613</v>
      </c>
      <c r="AH78" s="494" t="s">
        <v>1000</v>
      </c>
      <c r="AI78" s="625" t="s">
        <v>1001</v>
      </c>
      <c r="AJ78" s="627">
        <v>29711</v>
      </c>
      <c r="AM78" s="494" t="s">
        <v>786</v>
      </c>
      <c r="AN78" s="625" t="s">
        <v>901</v>
      </c>
      <c r="AO78" s="627">
        <v>22230</v>
      </c>
      <c r="AP78" s="623" t="s">
        <v>882</v>
      </c>
      <c r="AQ78" s="627">
        <v>7089327433</v>
      </c>
    </row>
    <row r="79" spans="1:43" x14ac:dyDescent="0.25">
      <c r="A79" s="625">
        <v>78</v>
      </c>
      <c r="B79" s="494" t="s">
        <v>528</v>
      </c>
      <c r="C79" s="625">
        <v>105</v>
      </c>
      <c r="D79" s="494" t="s">
        <v>1006</v>
      </c>
      <c r="E79" s="627">
        <v>9504572</v>
      </c>
      <c r="F79" s="627">
        <v>29078</v>
      </c>
      <c r="G79" s="494" t="s">
        <v>1009</v>
      </c>
      <c r="S79" s="629">
        <f t="shared" si="2"/>
        <v>0.60416666666666663</v>
      </c>
      <c r="T79" s="629">
        <f t="shared" si="3"/>
        <v>0.625</v>
      </c>
      <c r="U79" s="494" t="s">
        <v>919</v>
      </c>
      <c r="V79" s="620" t="str">
        <f>Combined_tables[[#This Row],[TimeSlot_Start_text]]</f>
        <v>1430</v>
      </c>
      <c r="W79" s="621" t="s">
        <v>554</v>
      </c>
      <c r="X79" s="621"/>
      <c r="Y79" s="621"/>
      <c r="Z79" s="621"/>
      <c r="AA79" s="621"/>
      <c r="AB79" s="494" t="s">
        <v>1080</v>
      </c>
      <c r="AC79" s="494" t="s">
        <v>995</v>
      </c>
      <c r="AD79" s="625" t="s">
        <v>996</v>
      </c>
      <c r="AE79" s="627">
        <v>29715</v>
      </c>
      <c r="AF79" s="623" t="s">
        <v>998</v>
      </c>
      <c r="AG79" s="627">
        <v>708979613</v>
      </c>
      <c r="AH79" s="494" t="s">
        <v>1000</v>
      </c>
      <c r="AI79" s="625" t="s">
        <v>1001</v>
      </c>
      <c r="AJ79" s="627">
        <v>29711</v>
      </c>
      <c r="AM79" s="494" t="s">
        <v>786</v>
      </c>
      <c r="AN79" s="625" t="s">
        <v>901</v>
      </c>
      <c r="AO79" s="627">
        <v>22230</v>
      </c>
      <c r="AP79" s="623" t="s">
        <v>882</v>
      </c>
      <c r="AQ79" s="627">
        <v>7089327433</v>
      </c>
    </row>
    <row r="80" spans="1:43" x14ac:dyDescent="0.25">
      <c r="A80" s="625">
        <v>79</v>
      </c>
      <c r="B80" s="494" t="s">
        <v>528</v>
      </c>
      <c r="C80" s="625">
        <v>105</v>
      </c>
      <c r="D80" s="494" t="s">
        <v>1006</v>
      </c>
      <c r="E80" s="627">
        <v>9504572</v>
      </c>
      <c r="F80" s="627">
        <v>29078</v>
      </c>
      <c r="G80" s="494" t="s">
        <v>1009</v>
      </c>
      <c r="S80" s="629">
        <f t="shared" si="2"/>
        <v>0.625</v>
      </c>
      <c r="T80" s="629">
        <f t="shared" si="3"/>
        <v>0.64583333333333337</v>
      </c>
      <c r="U80" s="494" t="s">
        <v>920</v>
      </c>
      <c r="V80" s="620" t="str">
        <f>Combined_tables[[#This Row],[TimeSlot_Start_text]]</f>
        <v>1500</v>
      </c>
      <c r="W80" s="621" t="s">
        <v>554</v>
      </c>
      <c r="X80" s="621"/>
      <c r="Y80" s="621"/>
      <c r="Z80" s="621"/>
      <c r="AA80" s="621"/>
      <c r="AB80" s="494" t="s">
        <v>1081</v>
      </c>
      <c r="AC80" s="494" t="s">
        <v>995</v>
      </c>
      <c r="AD80" s="625" t="s">
        <v>996</v>
      </c>
      <c r="AE80" s="627">
        <v>29715</v>
      </c>
      <c r="AF80" s="623" t="s">
        <v>998</v>
      </c>
      <c r="AG80" s="627">
        <v>708979613</v>
      </c>
      <c r="AH80" s="494" t="s">
        <v>1000</v>
      </c>
      <c r="AI80" s="625" t="s">
        <v>1001</v>
      </c>
      <c r="AJ80" s="627">
        <v>29711</v>
      </c>
      <c r="AM80" s="494" t="s">
        <v>786</v>
      </c>
      <c r="AN80" s="625" t="s">
        <v>901</v>
      </c>
      <c r="AO80" s="627">
        <v>22230</v>
      </c>
      <c r="AP80" s="623" t="s">
        <v>882</v>
      </c>
      <c r="AQ80" s="627">
        <v>7089327433</v>
      </c>
    </row>
    <row r="81" spans="1:43" x14ac:dyDescent="0.25">
      <c r="A81" s="625">
        <v>80</v>
      </c>
      <c r="B81" s="494" t="s">
        <v>528</v>
      </c>
      <c r="C81" s="625">
        <v>105</v>
      </c>
      <c r="D81" s="494" t="s">
        <v>1006</v>
      </c>
      <c r="E81" s="627">
        <v>9504572</v>
      </c>
      <c r="F81" s="627">
        <v>29078</v>
      </c>
      <c r="G81" s="494" t="s">
        <v>1009</v>
      </c>
      <c r="S81" s="629">
        <f t="shared" si="2"/>
        <v>0.64583333333333337</v>
      </c>
      <c r="T81" s="629">
        <f t="shared" si="3"/>
        <v>0.66666666666666674</v>
      </c>
      <c r="U81" s="494" t="s">
        <v>921</v>
      </c>
      <c r="V81" s="620" t="str">
        <f>Combined_tables[[#This Row],[TimeSlot_Start_text]]</f>
        <v>1530</v>
      </c>
      <c r="W81" s="621"/>
      <c r="X81" s="621"/>
      <c r="Y81" s="621"/>
      <c r="Z81" s="621"/>
      <c r="AA81" s="621"/>
      <c r="AB81" s="494" t="s">
        <v>1082</v>
      </c>
      <c r="AC81" s="494" t="s">
        <v>995</v>
      </c>
      <c r="AD81" s="625" t="s">
        <v>996</v>
      </c>
      <c r="AE81" s="627">
        <v>29715</v>
      </c>
      <c r="AF81" s="623" t="s">
        <v>998</v>
      </c>
      <c r="AG81" s="627">
        <v>708979613</v>
      </c>
      <c r="AH81" s="494" t="s">
        <v>1000</v>
      </c>
      <c r="AI81" s="625" t="s">
        <v>1001</v>
      </c>
      <c r="AJ81" s="627">
        <v>29711</v>
      </c>
      <c r="AM81" s="494" t="s">
        <v>786</v>
      </c>
      <c r="AN81" s="625" t="s">
        <v>901</v>
      </c>
      <c r="AO81" s="627">
        <v>22230</v>
      </c>
      <c r="AP81" s="623" t="s">
        <v>882</v>
      </c>
      <c r="AQ81" s="627">
        <v>7089327433</v>
      </c>
    </row>
    <row r="82" spans="1:43" x14ac:dyDescent="0.25">
      <c r="A82" s="625">
        <v>81</v>
      </c>
      <c r="B82" s="494" t="s">
        <v>528</v>
      </c>
      <c r="C82" s="625">
        <v>106</v>
      </c>
      <c r="D82" s="494" t="s">
        <v>990</v>
      </c>
      <c r="E82" s="627">
        <v>9504592</v>
      </c>
      <c r="F82" s="627">
        <v>29709</v>
      </c>
      <c r="G82" s="494" t="s">
        <v>994</v>
      </c>
      <c r="S82" s="629">
        <f t="shared" si="2"/>
        <v>0.33333333333333331</v>
      </c>
      <c r="T82" s="629">
        <f t="shared" si="3"/>
        <v>0.35416666666666663</v>
      </c>
      <c r="U82" s="494" t="s">
        <v>906</v>
      </c>
      <c r="V82" s="620" t="str">
        <f>Combined_tables[[#This Row],[TimeSlot_Start_text]]</f>
        <v>0800</v>
      </c>
      <c r="W82" s="621"/>
      <c r="X82" s="621"/>
      <c r="Y82" s="621" t="s">
        <v>551</v>
      </c>
      <c r="Z82" s="621" t="s">
        <v>552</v>
      </c>
      <c r="AA82" s="621" t="s">
        <v>552</v>
      </c>
      <c r="AB82" s="494" t="s">
        <v>1083</v>
      </c>
      <c r="AC82" s="494" t="s">
        <v>995</v>
      </c>
      <c r="AD82" s="625" t="s">
        <v>996</v>
      </c>
      <c r="AE82" s="627">
        <v>29715</v>
      </c>
      <c r="AF82" s="623" t="s">
        <v>998</v>
      </c>
      <c r="AG82" s="627">
        <v>708979613</v>
      </c>
      <c r="AH82" s="494" t="s">
        <v>1000</v>
      </c>
      <c r="AI82" s="625" t="s">
        <v>1001</v>
      </c>
      <c r="AJ82" s="627">
        <v>29711</v>
      </c>
      <c r="AM82" s="494" t="s">
        <v>786</v>
      </c>
      <c r="AN82" s="625" t="s">
        <v>901</v>
      </c>
      <c r="AO82" s="627">
        <v>22230</v>
      </c>
      <c r="AP82" s="623" t="s">
        <v>882</v>
      </c>
      <c r="AQ82" s="627">
        <v>7089327433</v>
      </c>
    </row>
    <row r="83" spans="1:43" x14ac:dyDescent="0.25">
      <c r="A83" s="625">
        <v>82</v>
      </c>
      <c r="B83" s="494" t="s">
        <v>528</v>
      </c>
      <c r="C83" s="625">
        <v>106</v>
      </c>
      <c r="D83" s="494" t="s">
        <v>990</v>
      </c>
      <c r="E83" s="627">
        <v>9504592</v>
      </c>
      <c r="F83" s="627">
        <v>29709</v>
      </c>
      <c r="G83" s="494" t="s">
        <v>994</v>
      </c>
      <c r="S83" s="629">
        <f t="shared" si="2"/>
        <v>0.35416666666666669</v>
      </c>
      <c r="T83" s="629">
        <f t="shared" si="3"/>
        <v>0.375</v>
      </c>
      <c r="U83" s="494" t="s">
        <v>907</v>
      </c>
      <c r="V83" s="620" t="str">
        <f>Combined_tables[[#This Row],[TimeSlot_Start_text]]</f>
        <v>0830</v>
      </c>
      <c r="W83" s="621"/>
      <c r="X83" s="621"/>
      <c r="Y83" s="621" t="s">
        <v>551</v>
      </c>
      <c r="Z83" s="621" t="s">
        <v>552</v>
      </c>
      <c r="AA83" s="621" t="s">
        <v>552</v>
      </c>
      <c r="AB83" s="494" t="s">
        <v>1084</v>
      </c>
      <c r="AC83" s="494" t="s">
        <v>995</v>
      </c>
      <c r="AD83" s="625" t="s">
        <v>996</v>
      </c>
      <c r="AE83" s="627">
        <v>29715</v>
      </c>
      <c r="AF83" s="623" t="s">
        <v>998</v>
      </c>
      <c r="AG83" s="627">
        <v>708979613</v>
      </c>
      <c r="AH83" s="494" t="s">
        <v>1000</v>
      </c>
      <c r="AI83" s="625" t="s">
        <v>1001</v>
      </c>
      <c r="AJ83" s="627">
        <v>29711</v>
      </c>
      <c r="AM83" s="494" t="s">
        <v>786</v>
      </c>
      <c r="AN83" s="625" t="s">
        <v>901</v>
      </c>
      <c r="AO83" s="627">
        <v>22230</v>
      </c>
      <c r="AP83" s="623" t="s">
        <v>882</v>
      </c>
      <c r="AQ83" s="627">
        <v>7089327433</v>
      </c>
    </row>
    <row r="84" spans="1:43" x14ac:dyDescent="0.25">
      <c r="A84" s="625">
        <v>83</v>
      </c>
      <c r="B84" s="494" t="s">
        <v>528</v>
      </c>
      <c r="C84" s="625">
        <v>106</v>
      </c>
      <c r="D84" s="494" t="s">
        <v>990</v>
      </c>
      <c r="E84" s="627">
        <v>9504592</v>
      </c>
      <c r="F84" s="627">
        <v>29709</v>
      </c>
      <c r="G84" s="494" t="s">
        <v>994</v>
      </c>
      <c r="S84" s="629">
        <f t="shared" si="2"/>
        <v>0.375</v>
      </c>
      <c r="T84" s="629">
        <f t="shared" si="3"/>
        <v>0.39583333333333331</v>
      </c>
      <c r="U84" s="494" t="s">
        <v>908</v>
      </c>
      <c r="V84" s="620" t="str">
        <f>Combined_tables[[#This Row],[TimeSlot_Start_text]]</f>
        <v>0900</v>
      </c>
      <c r="W84" s="621"/>
      <c r="X84" s="621"/>
      <c r="Y84" s="621" t="s">
        <v>551</v>
      </c>
      <c r="Z84" s="621" t="s">
        <v>552</v>
      </c>
      <c r="AA84" s="621" t="s">
        <v>552</v>
      </c>
      <c r="AB84" s="494" t="s">
        <v>1085</v>
      </c>
      <c r="AC84" s="494" t="s">
        <v>995</v>
      </c>
      <c r="AD84" s="625" t="s">
        <v>996</v>
      </c>
      <c r="AE84" s="627">
        <v>29715</v>
      </c>
      <c r="AF84" s="623" t="s">
        <v>998</v>
      </c>
      <c r="AG84" s="627">
        <v>708979613</v>
      </c>
      <c r="AH84" s="494" t="s">
        <v>1000</v>
      </c>
      <c r="AI84" s="625" t="s">
        <v>1001</v>
      </c>
      <c r="AJ84" s="627">
        <v>29711</v>
      </c>
      <c r="AM84" s="494" t="s">
        <v>786</v>
      </c>
      <c r="AN84" s="625" t="s">
        <v>901</v>
      </c>
      <c r="AO84" s="627">
        <v>22230</v>
      </c>
      <c r="AP84" s="623" t="s">
        <v>882</v>
      </c>
      <c r="AQ84" s="627">
        <v>7089327433</v>
      </c>
    </row>
    <row r="85" spans="1:43" x14ac:dyDescent="0.25">
      <c r="A85" s="625">
        <v>84</v>
      </c>
      <c r="B85" s="494" t="s">
        <v>528</v>
      </c>
      <c r="C85" s="625">
        <v>106</v>
      </c>
      <c r="D85" s="494" t="s">
        <v>990</v>
      </c>
      <c r="E85" s="627">
        <v>9504592</v>
      </c>
      <c r="F85" s="627">
        <v>29709</v>
      </c>
      <c r="G85" s="494" t="s">
        <v>994</v>
      </c>
      <c r="S85" s="629">
        <f t="shared" si="2"/>
        <v>0.39583333333333331</v>
      </c>
      <c r="T85" s="629">
        <f t="shared" si="3"/>
        <v>0.41666666666666663</v>
      </c>
      <c r="U85" s="494" t="s">
        <v>909</v>
      </c>
      <c r="V85" s="620" t="str">
        <f>Combined_tables[[#This Row],[TimeSlot_Start_text]]</f>
        <v>0930</v>
      </c>
      <c r="W85" s="621"/>
      <c r="X85" s="621"/>
      <c r="Y85" s="621" t="s">
        <v>551</v>
      </c>
      <c r="Z85" s="621" t="s">
        <v>552</v>
      </c>
      <c r="AA85" s="621" t="s">
        <v>552</v>
      </c>
      <c r="AB85" s="494" t="s">
        <v>1086</v>
      </c>
      <c r="AC85" s="494" t="s">
        <v>995</v>
      </c>
      <c r="AD85" s="625" t="s">
        <v>996</v>
      </c>
      <c r="AE85" s="627">
        <v>29715</v>
      </c>
      <c r="AF85" s="623" t="s">
        <v>998</v>
      </c>
      <c r="AG85" s="627">
        <v>708979613</v>
      </c>
      <c r="AH85" s="494" t="s">
        <v>1000</v>
      </c>
      <c r="AI85" s="625" t="s">
        <v>1001</v>
      </c>
      <c r="AJ85" s="627">
        <v>29711</v>
      </c>
      <c r="AM85" s="494" t="s">
        <v>786</v>
      </c>
      <c r="AN85" s="625" t="s">
        <v>901</v>
      </c>
      <c r="AO85" s="627">
        <v>22230</v>
      </c>
      <c r="AP85" s="623" t="s">
        <v>882</v>
      </c>
      <c r="AQ85" s="627">
        <v>7089327433</v>
      </c>
    </row>
    <row r="86" spans="1:43" x14ac:dyDescent="0.25">
      <c r="A86" s="625">
        <v>85</v>
      </c>
      <c r="B86" s="494" t="s">
        <v>528</v>
      </c>
      <c r="C86" s="625">
        <v>106</v>
      </c>
      <c r="D86" s="494" t="s">
        <v>990</v>
      </c>
      <c r="E86" s="627">
        <v>9504592</v>
      </c>
      <c r="F86" s="627">
        <v>29709</v>
      </c>
      <c r="G86" s="494" t="s">
        <v>994</v>
      </c>
      <c r="S86" s="629">
        <f t="shared" si="2"/>
        <v>0.41666666666666669</v>
      </c>
      <c r="T86" s="629">
        <f t="shared" si="3"/>
        <v>0.4375</v>
      </c>
      <c r="U86" s="494" t="s">
        <v>910</v>
      </c>
      <c r="V86" s="620" t="str">
        <f>Combined_tables[[#This Row],[TimeSlot_Start_text]]</f>
        <v>1000</v>
      </c>
      <c r="W86" s="621" t="s">
        <v>380</v>
      </c>
      <c r="X86" s="621"/>
      <c r="Y86" s="621"/>
      <c r="Z86" s="621" t="s">
        <v>552</v>
      </c>
      <c r="AA86" s="621" t="s">
        <v>552</v>
      </c>
      <c r="AB86" s="494" t="s">
        <v>1073</v>
      </c>
      <c r="AC86" s="494" t="s">
        <v>995</v>
      </c>
      <c r="AD86" s="625" t="s">
        <v>996</v>
      </c>
      <c r="AE86" s="627">
        <v>29715</v>
      </c>
      <c r="AF86" s="623" t="s">
        <v>998</v>
      </c>
      <c r="AG86" s="627">
        <v>708979613</v>
      </c>
      <c r="AH86" s="494" t="s">
        <v>1000</v>
      </c>
      <c r="AI86" s="625" t="s">
        <v>1001</v>
      </c>
      <c r="AJ86" s="627">
        <v>29711</v>
      </c>
      <c r="AM86" s="494" t="s">
        <v>786</v>
      </c>
      <c r="AN86" s="625" t="s">
        <v>901</v>
      </c>
      <c r="AO86" s="627">
        <v>22230</v>
      </c>
      <c r="AP86" s="623" t="s">
        <v>882</v>
      </c>
      <c r="AQ86" s="627">
        <v>7089327433</v>
      </c>
    </row>
    <row r="87" spans="1:43" x14ac:dyDescent="0.25">
      <c r="A87" s="625">
        <v>86</v>
      </c>
      <c r="B87" s="494" t="s">
        <v>528</v>
      </c>
      <c r="C87" s="625">
        <v>106</v>
      </c>
      <c r="D87" s="494" t="s">
        <v>990</v>
      </c>
      <c r="E87" s="627">
        <v>9504592</v>
      </c>
      <c r="F87" s="627">
        <v>29709</v>
      </c>
      <c r="G87" s="494" t="s">
        <v>994</v>
      </c>
      <c r="S87" s="629">
        <f t="shared" si="2"/>
        <v>0.4375</v>
      </c>
      <c r="T87" s="629">
        <f t="shared" si="3"/>
        <v>0.45833333333333331</v>
      </c>
      <c r="U87" s="494" t="s">
        <v>911</v>
      </c>
      <c r="V87" s="620" t="str">
        <f>Combined_tables[[#This Row],[TimeSlot_Start_text]]</f>
        <v>1030</v>
      </c>
      <c r="W87" s="621"/>
      <c r="X87" s="621"/>
      <c r="Y87" s="621"/>
      <c r="Z87" s="621" t="s">
        <v>552</v>
      </c>
      <c r="AA87" s="621" t="s">
        <v>552</v>
      </c>
      <c r="AB87" s="494" t="s">
        <v>1074</v>
      </c>
      <c r="AC87" s="494" t="s">
        <v>995</v>
      </c>
      <c r="AD87" s="625" t="s">
        <v>996</v>
      </c>
      <c r="AE87" s="627">
        <v>29715</v>
      </c>
      <c r="AF87" s="623" t="s">
        <v>998</v>
      </c>
      <c r="AG87" s="627">
        <v>708979613</v>
      </c>
      <c r="AH87" s="494" t="s">
        <v>1000</v>
      </c>
      <c r="AI87" s="625" t="s">
        <v>1001</v>
      </c>
      <c r="AJ87" s="627">
        <v>29711</v>
      </c>
      <c r="AM87" s="494" t="s">
        <v>786</v>
      </c>
      <c r="AN87" s="625" t="s">
        <v>901</v>
      </c>
      <c r="AO87" s="627">
        <v>22230</v>
      </c>
      <c r="AP87" s="623" t="s">
        <v>882</v>
      </c>
      <c r="AQ87" s="627">
        <v>7089327433</v>
      </c>
    </row>
    <row r="88" spans="1:43" x14ac:dyDescent="0.25">
      <c r="A88" s="625">
        <v>87</v>
      </c>
      <c r="B88" s="494" t="s">
        <v>528</v>
      </c>
      <c r="C88" s="625">
        <v>106</v>
      </c>
      <c r="D88" s="494" t="s">
        <v>990</v>
      </c>
      <c r="E88" s="627">
        <v>9504592</v>
      </c>
      <c r="F88" s="627">
        <v>29709</v>
      </c>
      <c r="G88" s="494" t="s">
        <v>994</v>
      </c>
      <c r="S88" s="629">
        <f t="shared" si="2"/>
        <v>0.45833333333333331</v>
      </c>
      <c r="T88" s="629">
        <f t="shared" si="3"/>
        <v>0.47916666666666663</v>
      </c>
      <c r="U88" s="494" t="s">
        <v>912</v>
      </c>
      <c r="V88" s="620" t="str">
        <f>Combined_tables[[#This Row],[TimeSlot_Start_text]]</f>
        <v>1100</v>
      </c>
      <c r="W88" s="621" t="s">
        <v>380</v>
      </c>
      <c r="X88" s="621"/>
      <c r="Y88" s="621"/>
      <c r="Z88" s="621" t="s">
        <v>552</v>
      </c>
      <c r="AA88" s="621" t="s">
        <v>552</v>
      </c>
      <c r="AB88" s="494" t="s">
        <v>1076</v>
      </c>
      <c r="AC88" s="494" t="s">
        <v>995</v>
      </c>
      <c r="AD88" s="625" t="s">
        <v>996</v>
      </c>
      <c r="AE88" s="627">
        <v>29715</v>
      </c>
      <c r="AF88" s="623" t="s">
        <v>998</v>
      </c>
      <c r="AG88" s="627">
        <v>708979613</v>
      </c>
      <c r="AH88" s="494" t="s">
        <v>1000</v>
      </c>
      <c r="AI88" s="625" t="s">
        <v>1001</v>
      </c>
      <c r="AJ88" s="627">
        <v>29711</v>
      </c>
      <c r="AM88" s="494" t="s">
        <v>786</v>
      </c>
      <c r="AN88" s="625" t="s">
        <v>901</v>
      </c>
      <c r="AO88" s="627">
        <v>22230</v>
      </c>
      <c r="AP88" s="623" t="s">
        <v>882</v>
      </c>
      <c r="AQ88" s="627">
        <v>7089327433</v>
      </c>
    </row>
    <row r="89" spans="1:43" x14ac:dyDescent="0.25">
      <c r="A89" s="625">
        <v>88</v>
      </c>
      <c r="B89" s="494" t="s">
        <v>528</v>
      </c>
      <c r="C89" s="625">
        <v>106</v>
      </c>
      <c r="D89" s="494" t="s">
        <v>990</v>
      </c>
      <c r="E89" s="627">
        <v>9504592</v>
      </c>
      <c r="F89" s="627">
        <v>29709</v>
      </c>
      <c r="G89" s="494" t="s">
        <v>994</v>
      </c>
      <c r="S89" s="629">
        <f t="shared" si="2"/>
        <v>0.47916666666666669</v>
      </c>
      <c r="T89" s="629">
        <f t="shared" si="3"/>
        <v>0.5</v>
      </c>
      <c r="U89" s="494" t="s">
        <v>913</v>
      </c>
      <c r="V89" s="620" t="str">
        <f>Combined_tables[[#This Row],[TimeSlot_Start_text]]</f>
        <v>1130</v>
      </c>
      <c r="W89" s="621"/>
      <c r="X89" s="621"/>
      <c r="Y89" s="621"/>
      <c r="Z89" s="621" t="s">
        <v>552</v>
      </c>
      <c r="AA89" s="621" t="s">
        <v>552</v>
      </c>
      <c r="AB89" s="494" t="s">
        <v>1075</v>
      </c>
      <c r="AC89" s="494" t="s">
        <v>995</v>
      </c>
      <c r="AD89" s="625" t="s">
        <v>996</v>
      </c>
      <c r="AE89" s="627">
        <v>29715</v>
      </c>
      <c r="AF89" s="623" t="s">
        <v>998</v>
      </c>
      <c r="AG89" s="627">
        <v>708979613</v>
      </c>
      <c r="AH89" s="494" t="s">
        <v>1000</v>
      </c>
      <c r="AI89" s="625" t="s">
        <v>1001</v>
      </c>
      <c r="AJ89" s="627">
        <v>29711</v>
      </c>
      <c r="AM89" s="494" t="s">
        <v>786</v>
      </c>
      <c r="AN89" s="625" t="s">
        <v>901</v>
      </c>
      <c r="AO89" s="627">
        <v>22230</v>
      </c>
      <c r="AP89" s="623" t="s">
        <v>882</v>
      </c>
      <c r="AQ89" s="627">
        <v>7089327433</v>
      </c>
    </row>
    <row r="90" spans="1:43" ht="15" customHeight="1" x14ac:dyDescent="0.25">
      <c r="A90" s="625">
        <v>89</v>
      </c>
      <c r="B90" s="494" t="s">
        <v>528</v>
      </c>
      <c r="C90" s="625">
        <v>106</v>
      </c>
      <c r="D90" s="494" t="s">
        <v>990</v>
      </c>
      <c r="E90" s="627">
        <v>9504592</v>
      </c>
      <c r="F90" s="627">
        <v>29709</v>
      </c>
      <c r="G90" s="494" t="s">
        <v>994</v>
      </c>
      <c r="S90" s="629">
        <f t="shared" si="2"/>
        <v>0.5</v>
      </c>
      <c r="T90" s="629">
        <f t="shared" si="3"/>
        <v>0.52083333333333337</v>
      </c>
      <c r="U90" s="494" t="s">
        <v>914</v>
      </c>
      <c r="V90" s="620" t="str">
        <f>Combined_tables[[#This Row],[TimeSlot_Start_text]]</f>
        <v>1200</v>
      </c>
      <c r="W90" s="621" t="s">
        <v>354</v>
      </c>
      <c r="X90" s="621" t="s">
        <v>354</v>
      </c>
      <c r="Y90" s="621" t="s">
        <v>354</v>
      </c>
      <c r="Z90" s="621" t="s">
        <v>354</v>
      </c>
      <c r="AA90" s="621" t="s">
        <v>354</v>
      </c>
      <c r="AB90" s="494" t="s">
        <v>1077</v>
      </c>
      <c r="AC90" s="494" t="s">
        <v>995</v>
      </c>
      <c r="AD90" s="625" t="s">
        <v>996</v>
      </c>
      <c r="AE90" s="627">
        <v>29715</v>
      </c>
      <c r="AF90" s="623" t="s">
        <v>998</v>
      </c>
      <c r="AG90" s="627">
        <v>708979613</v>
      </c>
      <c r="AH90" s="494" t="s">
        <v>1000</v>
      </c>
      <c r="AI90" s="625" t="s">
        <v>1001</v>
      </c>
      <c r="AJ90" s="627">
        <v>29711</v>
      </c>
      <c r="AM90" s="494" t="s">
        <v>786</v>
      </c>
      <c r="AN90" s="625" t="s">
        <v>901</v>
      </c>
      <c r="AO90" s="627">
        <v>22230</v>
      </c>
      <c r="AP90" s="623" t="s">
        <v>882</v>
      </c>
      <c r="AQ90" s="627">
        <v>7089327433</v>
      </c>
    </row>
    <row r="91" spans="1:43" ht="15.75" customHeight="1" x14ac:dyDescent="0.25">
      <c r="A91" s="625">
        <v>90</v>
      </c>
      <c r="B91" s="494" t="s">
        <v>528</v>
      </c>
      <c r="C91" s="625">
        <v>106</v>
      </c>
      <c r="D91" s="494" t="s">
        <v>990</v>
      </c>
      <c r="E91" s="627">
        <v>9504592</v>
      </c>
      <c r="F91" s="627">
        <v>29709</v>
      </c>
      <c r="G91" s="494" t="s">
        <v>994</v>
      </c>
      <c r="S91" s="629">
        <f t="shared" si="2"/>
        <v>0.52083333333333337</v>
      </c>
      <c r="T91" s="629">
        <f t="shared" si="3"/>
        <v>0.54166666666666674</v>
      </c>
      <c r="U91" s="494" t="s">
        <v>915</v>
      </c>
      <c r="V91" s="620" t="str">
        <f>Combined_tables[[#This Row],[TimeSlot_Start_text]]</f>
        <v>1230</v>
      </c>
      <c r="W91" s="621" t="s">
        <v>354</v>
      </c>
      <c r="X91" s="621" t="s">
        <v>354</v>
      </c>
      <c r="Y91" s="621" t="s">
        <v>354</v>
      </c>
      <c r="Z91" s="621" t="s">
        <v>354</v>
      </c>
      <c r="AA91" s="621" t="s">
        <v>354</v>
      </c>
      <c r="AB91" s="494" t="s">
        <v>1078</v>
      </c>
      <c r="AC91" s="494" t="s">
        <v>995</v>
      </c>
      <c r="AD91" s="625" t="s">
        <v>996</v>
      </c>
      <c r="AE91" s="627">
        <v>29715</v>
      </c>
      <c r="AF91" s="623" t="s">
        <v>998</v>
      </c>
      <c r="AG91" s="627">
        <v>708979613</v>
      </c>
      <c r="AH91" s="494" t="s">
        <v>1000</v>
      </c>
      <c r="AI91" s="625" t="s">
        <v>1001</v>
      </c>
      <c r="AJ91" s="627">
        <v>29711</v>
      </c>
      <c r="AM91" s="494" t="s">
        <v>786</v>
      </c>
      <c r="AN91" s="625" t="s">
        <v>901</v>
      </c>
      <c r="AO91" s="627">
        <v>22230</v>
      </c>
      <c r="AP91" s="623" t="s">
        <v>882</v>
      </c>
      <c r="AQ91" s="627">
        <v>7089327433</v>
      </c>
    </row>
    <row r="92" spans="1:43" x14ac:dyDescent="0.25">
      <c r="A92" s="625">
        <v>91</v>
      </c>
      <c r="B92" s="494" t="s">
        <v>528</v>
      </c>
      <c r="C92" s="625">
        <v>106</v>
      </c>
      <c r="D92" s="494" t="s">
        <v>990</v>
      </c>
      <c r="E92" s="627">
        <v>9504592</v>
      </c>
      <c r="F92" s="627">
        <v>29709</v>
      </c>
      <c r="G92" s="494" t="s">
        <v>994</v>
      </c>
      <c r="S92" s="629">
        <f t="shared" si="2"/>
        <v>0.54166666666666663</v>
      </c>
      <c r="T92" s="629">
        <f t="shared" si="3"/>
        <v>0.5625</v>
      </c>
      <c r="U92" s="494" t="s">
        <v>916</v>
      </c>
      <c r="V92" s="620" t="str">
        <f>Combined_tables[[#This Row],[TimeSlot_Start_text]]</f>
        <v>1300</v>
      </c>
      <c r="W92" s="621"/>
      <c r="X92" s="621" t="s">
        <v>551</v>
      </c>
      <c r="Y92" s="621" t="s">
        <v>551</v>
      </c>
      <c r="Z92" s="621"/>
      <c r="AA92" s="621" t="s">
        <v>552</v>
      </c>
      <c r="AB92" s="494" t="s">
        <v>1071</v>
      </c>
      <c r="AC92" s="494" t="s">
        <v>995</v>
      </c>
      <c r="AD92" s="625" t="s">
        <v>996</v>
      </c>
      <c r="AE92" s="627">
        <v>29715</v>
      </c>
      <c r="AF92" s="623" t="s">
        <v>998</v>
      </c>
      <c r="AG92" s="627">
        <v>708979613</v>
      </c>
      <c r="AH92" s="494" t="s">
        <v>1000</v>
      </c>
      <c r="AI92" s="625" t="s">
        <v>1001</v>
      </c>
      <c r="AJ92" s="627">
        <v>29711</v>
      </c>
      <c r="AM92" s="494" t="s">
        <v>786</v>
      </c>
      <c r="AN92" s="625" t="s">
        <v>901</v>
      </c>
      <c r="AO92" s="627">
        <v>22230</v>
      </c>
      <c r="AP92" s="623" t="s">
        <v>882</v>
      </c>
      <c r="AQ92" s="627">
        <v>7089327433</v>
      </c>
    </row>
    <row r="93" spans="1:43" x14ac:dyDescent="0.25">
      <c r="A93" s="625">
        <v>92</v>
      </c>
      <c r="B93" s="494" t="s">
        <v>528</v>
      </c>
      <c r="C93" s="625">
        <v>106</v>
      </c>
      <c r="D93" s="494" t="s">
        <v>990</v>
      </c>
      <c r="E93" s="627">
        <v>9504592</v>
      </c>
      <c r="F93" s="627">
        <v>29709</v>
      </c>
      <c r="G93" s="494" t="s">
        <v>994</v>
      </c>
      <c r="S93" s="629">
        <f t="shared" si="2"/>
        <v>0.5625</v>
      </c>
      <c r="T93" s="629">
        <f t="shared" si="3"/>
        <v>0.58333333333333337</v>
      </c>
      <c r="U93" s="494" t="s">
        <v>917</v>
      </c>
      <c r="V93" s="620" t="str">
        <f>Combined_tables[[#This Row],[TimeSlot_Start_text]]</f>
        <v>1330</v>
      </c>
      <c r="W93" s="621"/>
      <c r="X93" s="621" t="s">
        <v>551</v>
      </c>
      <c r="Y93" s="621" t="s">
        <v>551</v>
      </c>
      <c r="Z93" s="621"/>
      <c r="AA93" s="621" t="s">
        <v>552</v>
      </c>
      <c r="AB93" s="494" t="s">
        <v>1072</v>
      </c>
      <c r="AC93" s="494" t="s">
        <v>995</v>
      </c>
      <c r="AD93" s="625" t="s">
        <v>996</v>
      </c>
      <c r="AE93" s="627">
        <v>29715</v>
      </c>
      <c r="AF93" s="623" t="s">
        <v>998</v>
      </c>
      <c r="AG93" s="627">
        <v>708979613</v>
      </c>
      <c r="AH93" s="494" t="s">
        <v>1000</v>
      </c>
      <c r="AI93" s="625" t="s">
        <v>1001</v>
      </c>
      <c r="AJ93" s="627">
        <v>29711</v>
      </c>
      <c r="AM93" s="494" t="s">
        <v>786</v>
      </c>
      <c r="AN93" s="625" t="s">
        <v>901</v>
      </c>
      <c r="AO93" s="627">
        <v>22230</v>
      </c>
      <c r="AP93" s="623" t="s">
        <v>882</v>
      </c>
      <c r="AQ93" s="627">
        <v>7089327433</v>
      </c>
    </row>
    <row r="94" spans="1:43" x14ac:dyDescent="0.25">
      <c r="A94" s="625">
        <v>93</v>
      </c>
      <c r="B94" s="494" t="s">
        <v>528</v>
      </c>
      <c r="C94" s="625">
        <v>106</v>
      </c>
      <c r="D94" s="494" t="s">
        <v>990</v>
      </c>
      <c r="E94" s="627">
        <v>9504592</v>
      </c>
      <c r="F94" s="627">
        <v>29709</v>
      </c>
      <c r="G94" s="494" t="s">
        <v>994</v>
      </c>
      <c r="S94" s="629">
        <f t="shared" si="2"/>
        <v>0.58333333333333337</v>
      </c>
      <c r="T94" s="629">
        <f t="shared" si="3"/>
        <v>0.60416666666666674</v>
      </c>
      <c r="U94" s="494" t="s">
        <v>918</v>
      </c>
      <c r="V94" s="620" t="str">
        <f>Combined_tables[[#This Row],[TimeSlot_Start_text]]</f>
        <v>1400</v>
      </c>
      <c r="W94" s="621"/>
      <c r="X94" s="621" t="s">
        <v>551</v>
      </c>
      <c r="Y94" s="621" t="s">
        <v>551</v>
      </c>
      <c r="Z94" s="621"/>
      <c r="AA94" s="621" t="s">
        <v>552</v>
      </c>
      <c r="AB94" s="494" t="s">
        <v>1079</v>
      </c>
      <c r="AC94" s="494" t="s">
        <v>995</v>
      </c>
      <c r="AD94" s="625" t="s">
        <v>996</v>
      </c>
      <c r="AE94" s="627">
        <v>29715</v>
      </c>
      <c r="AF94" s="623" t="s">
        <v>998</v>
      </c>
      <c r="AG94" s="627">
        <v>708979613</v>
      </c>
      <c r="AH94" s="494" t="s">
        <v>1000</v>
      </c>
      <c r="AI94" s="625" t="s">
        <v>1001</v>
      </c>
      <c r="AJ94" s="627">
        <v>29711</v>
      </c>
      <c r="AM94" s="494" t="s">
        <v>786</v>
      </c>
      <c r="AN94" s="625" t="s">
        <v>901</v>
      </c>
      <c r="AO94" s="627">
        <v>22230</v>
      </c>
      <c r="AP94" s="623" t="s">
        <v>882</v>
      </c>
      <c r="AQ94" s="627">
        <v>7089327433</v>
      </c>
    </row>
    <row r="95" spans="1:43" x14ac:dyDescent="0.25">
      <c r="A95" s="625">
        <v>94</v>
      </c>
      <c r="B95" s="494" t="s">
        <v>528</v>
      </c>
      <c r="C95" s="625">
        <v>106</v>
      </c>
      <c r="D95" s="494" t="s">
        <v>990</v>
      </c>
      <c r="E95" s="627">
        <v>9504592</v>
      </c>
      <c r="F95" s="627">
        <v>29709</v>
      </c>
      <c r="G95" s="494" t="s">
        <v>994</v>
      </c>
      <c r="S95" s="629">
        <f t="shared" si="2"/>
        <v>0.60416666666666663</v>
      </c>
      <c r="T95" s="629">
        <f t="shared" si="3"/>
        <v>0.625</v>
      </c>
      <c r="U95" s="494" t="s">
        <v>919</v>
      </c>
      <c r="V95" s="620" t="str">
        <f>Combined_tables[[#This Row],[TimeSlot_Start_text]]</f>
        <v>1430</v>
      </c>
      <c r="W95" s="621"/>
      <c r="X95" s="621" t="s">
        <v>551</v>
      </c>
      <c r="Y95" s="621" t="s">
        <v>551</v>
      </c>
      <c r="Z95" s="621"/>
      <c r="AA95" s="621" t="s">
        <v>552</v>
      </c>
      <c r="AB95" s="494" t="s">
        <v>1080</v>
      </c>
      <c r="AC95" s="494" t="s">
        <v>995</v>
      </c>
      <c r="AD95" s="625" t="s">
        <v>996</v>
      </c>
      <c r="AE95" s="627">
        <v>29715</v>
      </c>
      <c r="AF95" s="623" t="s">
        <v>998</v>
      </c>
      <c r="AG95" s="627">
        <v>708979613</v>
      </c>
      <c r="AH95" s="494" t="s">
        <v>1000</v>
      </c>
      <c r="AI95" s="625" t="s">
        <v>1001</v>
      </c>
      <c r="AJ95" s="627">
        <v>29711</v>
      </c>
      <c r="AM95" s="494" t="s">
        <v>786</v>
      </c>
      <c r="AN95" s="625" t="s">
        <v>901</v>
      </c>
      <c r="AO95" s="627">
        <v>22230</v>
      </c>
      <c r="AP95" s="623" t="s">
        <v>882</v>
      </c>
      <c r="AQ95" s="627">
        <v>7089327433</v>
      </c>
    </row>
    <row r="96" spans="1:43" x14ac:dyDescent="0.25">
      <c r="A96" s="625">
        <v>95</v>
      </c>
      <c r="B96" s="494" t="s">
        <v>528</v>
      </c>
      <c r="C96" s="625">
        <v>106</v>
      </c>
      <c r="D96" s="494" t="s">
        <v>990</v>
      </c>
      <c r="E96" s="627">
        <v>9504592</v>
      </c>
      <c r="F96" s="627">
        <v>29709</v>
      </c>
      <c r="G96" s="494" t="s">
        <v>994</v>
      </c>
      <c r="S96" s="629">
        <f t="shared" si="2"/>
        <v>0.625</v>
      </c>
      <c r="T96" s="629">
        <f t="shared" si="3"/>
        <v>0.64583333333333337</v>
      </c>
      <c r="U96" s="494" t="s">
        <v>920</v>
      </c>
      <c r="V96" s="620" t="str">
        <f>Combined_tables[[#This Row],[TimeSlot_Start_text]]</f>
        <v>1500</v>
      </c>
      <c r="W96" s="621"/>
      <c r="X96" s="621" t="s">
        <v>551</v>
      </c>
      <c r="Y96" s="621" t="s">
        <v>551</v>
      </c>
      <c r="Z96" s="621"/>
      <c r="AA96" s="621" t="s">
        <v>552</v>
      </c>
      <c r="AB96" s="494" t="s">
        <v>1081</v>
      </c>
      <c r="AC96" s="494" t="s">
        <v>995</v>
      </c>
      <c r="AD96" s="625" t="s">
        <v>996</v>
      </c>
      <c r="AE96" s="627">
        <v>29715</v>
      </c>
      <c r="AF96" s="623" t="s">
        <v>998</v>
      </c>
      <c r="AG96" s="627">
        <v>708979613</v>
      </c>
      <c r="AH96" s="494" t="s">
        <v>1000</v>
      </c>
      <c r="AI96" s="625" t="s">
        <v>1001</v>
      </c>
      <c r="AJ96" s="627">
        <v>29711</v>
      </c>
      <c r="AM96" s="494" t="s">
        <v>786</v>
      </c>
      <c r="AN96" s="625" t="s">
        <v>901</v>
      </c>
      <c r="AO96" s="627">
        <v>22230</v>
      </c>
      <c r="AP96" s="623" t="s">
        <v>882</v>
      </c>
      <c r="AQ96" s="627">
        <v>7089327433</v>
      </c>
    </row>
    <row r="97" spans="1:43" x14ac:dyDescent="0.25">
      <c r="A97" s="625">
        <v>96</v>
      </c>
      <c r="B97" s="494" t="s">
        <v>528</v>
      </c>
      <c r="C97" s="625">
        <v>106</v>
      </c>
      <c r="D97" s="494" t="s">
        <v>990</v>
      </c>
      <c r="E97" s="627">
        <v>9504592</v>
      </c>
      <c r="F97" s="627">
        <v>29709</v>
      </c>
      <c r="G97" s="494" t="s">
        <v>994</v>
      </c>
      <c r="S97" s="629">
        <f t="shared" si="2"/>
        <v>0.64583333333333337</v>
      </c>
      <c r="T97" s="629">
        <f t="shared" si="3"/>
        <v>0.66666666666666674</v>
      </c>
      <c r="U97" s="494" t="s">
        <v>921</v>
      </c>
      <c r="V97" s="620" t="str">
        <f>Combined_tables[[#This Row],[TimeSlot_Start_text]]</f>
        <v>1530</v>
      </c>
      <c r="W97" s="621"/>
      <c r="X97" s="621"/>
      <c r="Y97" s="621"/>
      <c r="Z97" s="621"/>
      <c r="AA97" s="621"/>
      <c r="AB97" s="494" t="s">
        <v>1082</v>
      </c>
      <c r="AC97" s="494" t="s">
        <v>995</v>
      </c>
      <c r="AD97" s="625" t="s">
        <v>996</v>
      </c>
      <c r="AE97" s="627">
        <v>29715</v>
      </c>
      <c r="AF97" s="623" t="s">
        <v>998</v>
      </c>
      <c r="AG97" s="627">
        <v>708979613</v>
      </c>
      <c r="AH97" s="494" t="s">
        <v>1000</v>
      </c>
      <c r="AI97" s="625" t="s">
        <v>1001</v>
      </c>
      <c r="AJ97" s="627">
        <v>29711</v>
      </c>
      <c r="AM97" s="494" t="s">
        <v>786</v>
      </c>
      <c r="AN97" s="625" t="s">
        <v>901</v>
      </c>
      <c r="AO97" s="627">
        <v>22230</v>
      </c>
      <c r="AP97" s="623" t="s">
        <v>882</v>
      </c>
      <c r="AQ97" s="627">
        <v>7089327433</v>
      </c>
    </row>
    <row r="98" spans="1:43" x14ac:dyDescent="0.25">
      <c r="A98" s="625">
        <v>97</v>
      </c>
      <c r="B98" s="494" t="s">
        <v>944</v>
      </c>
      <c r="C98" s="625">
        <v>1010</v>
      </c>
      <c r="D98" s="494" t="s">
        <v>945</v>
      </c>
      <c r="E98" s="627">
        <v>9504641</v>
      </c>
      <c r="F98" s="627">
        <v>73085</v>
      </c>
      <c r="G98" s="494" t="s">
        <v>948</v>
      </c>
      <c r="S98" s="629">
        <f t="shared" si="2"/>
        <v>0.33333333333333331</v>
      </c>
      <c r="T98" s="629">
        <f t="shared" si="3"/>
        <v>0.35416666666666663</v>
      </c>
      <c r="U98" s="494" t="s">
        <v>906</v>
      </c>
      <c r="V98" s="620" t="str">
        <f>Combined_tables[[#This Row],[TimeSlot_Start_text]]</f>
        <v>0800</v>
      </c>
      <c r="W98" s="621"/>
      <c r="X98" s="621" t="s">
        <v>425</v>
      </c>
      <c r="Y98" s="621"/>
      <c r="Z98" s="621"/>
      <c r="AA98" s="621"/>
      <c r="AB98" s="494" t="s">
        <v>1083</v>
      </c>
      <c r="AC98" s="494" t="s">
        <v>949</v>
      </c>
      <c r="AD98" s="625" t="s">
        <v>950</v>
      </c>
      <c r="AE98" s="627">
        <v>73104</v>
      </c>
      <c r="AF98" s="623" t="s">
        <v>952</v>
      </c>
      <c r="AG98" s="627">
        <v>7089987986</v>
      </c>
      <c r="AH98" s="494" t="s">
        <v>953</v>
      </c>
      <c r="AI98" s="625" t="s">
        <v>955</v>
      </c>
      <c r="AJ98" s="627">
        <v>73040</v>
      </c>
      <c r="AK98" s="623" t="s">
        <v>956</v>
      </c>
      <c r="AL98" s="627">
        <v>7087431691</v>
      </c>
      <c r="AM98" s="494" t="s">
        <v>786</v>
      </c>
      <c r="AN98" s="625" t="s">
        <v>901</v>
      </c>
      <c r="AO98" s="627">
        <v>22230</v>
      </c>
      <c r="AP98" s="623" t="s">
        <v>882</v>
      </c>
      <c r="AQ98" s="627">
        <v>7089327433</v>
      </c>
    </row>
    <row r="99" spans="1:43" x14ac:dyDescent="0.25">
      <c r="A99" s="625">
        <v>98</v>
      </c>
      <c r="B99" s="494" t="s">
        <v>944</v>
      </c>
      <c r="C99" s="625">
        <v>1010</v>
      </c>
      <c r="D99" s="494" t="s">
        <v>945</v>
      </c>
      <c r="E99" s="627">
        <v>9504641</v>
      </c>
      <c r="F99" s="627">
        <v>73085</v>
      </c>
      <c r="G99" s="494" t="s">
        <v>948</v>
      </c>
      <c r="S99" s="629">
        <f t="shared" si="2"/>
        <v>0.35416666666666669</v>
      </c>
      <c r="T99" s="629">
        <f t="shared" si="3"/>
        <v>0.375</v>
      </c>
      <c r="U99" s="494" t="s">
        <v>907</v>
      </c>
      <c r="V99" s="620" t="str">
        <f>Combined_tables[[#This Row],[TimeSlot_Start_text]]</f>
        <v>0830</v>
      </c>
      <c r="W99" s="621" t="s">
        <v>429</v>
      </c>
      <c r="X99" s="621" t="s">
        <v>425</v>
      </c>
      <c r="Y99" s="621" t="s">
        <v>429</v>
      </c>
      <c r="Z99" s="621"/>
      <c r="AA99" s="621"/>
      <c r="AB99" s="494" t="s">
        <v>1084</v>
      </c>
      <c r="AC99" s="494" t="s">
        <v>949</v>
      </c>
      <c r="AD99" s="625" t="s">
        <v>950</v>
      </c>
      <c r="AE99" s="627">
        <v>73104</v>
      </c>
      <c r="AF99" s="623" t="s">
        <v>952</v>
      </c>
      <c r="AG99" s="627">
        <v>7089987986</v>
      </c>
      <c r="AH99" s="494" t="s">
        <v>953</v>
      </c>
      <c r="AI99" s="625" t="s">
        <v>955</v>
      </c>
      <c r="AJ99" s="627">
        <v>73040</v>
      </c>
      <c r="AK99" s="623" t="s">
        <v>956</v>
      </c>
      <c r="AL99" s="627">
        <v>7087431691</v>
      </c>
      <c r="AM99" s="494" t="s">
        <v>786</v>
      </c>
      <c r="AN99" s="625" t="s">
        <v>901</v>
      </c>
      <c r="AO99" s="627">
        <v>22230</v>
      </c>
      <c r="AP99" s="623" t="s">
        <v>882</v>
      </c>
      <c r="AQ99" s="627">
        <v>7089327433</v>
      </c>
    </row>
    <row r="100" spans="1:43" x14ac:dyDescent="0.25">
      <c r="A100" s="625">
        <v>99</v>
      </c>
      <c r="B100" s="494" t="s">
        <v>944</v>
      </c>
      <c r="C100" s="625">
        <v>1010</v>
      </c>
      <c r="D100" s="494" t="s">
        <v>945</v>
      </c>
      <c r="E100" s="627">
        <v>9504641</v>
      </c>
      <c r="F100" s="627">
        <v>73085</v>
      </c>
      <c r="G100" s="494" t="s">
        <v>948</v>
      </c>
      <c r="S100" s="629">
        <f t="shared" si="2"/>
        <v>0.375</v>
      </c>
      <c r="T100" s="629">
        <f t="shared" si="3"/>
        <v>0.39583333333333331</v>
      </c>
      <c r="U100" s="494" t="s">
        <v>908</v>
      </c>
      <c r="V100" s="620" t="str">
        <f>Combined_tables[[#This Row],[TimeSlot_Start_text]]</f>
        <v>0900</v>
      </c>
      <c r="W100" s="621" t="s">
        <v>429</v>
      </c>
      <c r="X100" s="621" t="s">
        <v>425</v>
      </c>
      <c r="Y100" s="621" t="s">
        <v>429</v>
      </c>
      <c r="Z100" s="621"/>
      <c r="AA100" s="621" t="s">
        <v>425</v>
      </c>
      <c r="AB100" s="494" t="s">
        <v>1085</v>
      </c>
      <c r="AC100" s="494" t="s">
        <v>949</v>
      </c>
      <c r="AD100" s="625" t="s">
        <v>950</v>
      </c>
      <c r="AE100" s="627">
        <v>73104</v>
      </c>
      <c r="AF100" s="623" t="s">
        <v>952</v>
      </c>
      <c r="AG100" s="627">
        <v>7089987986</v>
      </c>
      <c r="AH100" s="494" t="s">
        <v>953</v>
      </c>
      <c r="AI100" s="625" t="s">
        <v>955</v>
      </c>
      <c r="AJ100" s="627">
        <v>73040</v>
      </c>
      <c r="AK100" s="623" t="s">
        <v>956</v>
      </c>
      <c r="AL100" s="627">
        <v>7087431691</v>
      </c>
      <c r="AM100" s="494" t="s">
        <v>786</v>
      </c>
      <c r="AN100" s="625" t="s">
        <v>901</v>
      </c>
      <c r="AO100" s="627">
        <v>22230</v>
      </c>
      <c r="AP100" s="623" t="s">
        <v>882</v>
      </c>
      <c r="AQ100" s="627">
        <v>7089327433</v>
      </c>
    </row>
    <row r="101" spans="1:43" x14ac:dyDescent="0.25">
      <c r="A101" s="625">
        <v>100</v>
      </c>
      <c r="B101" s="494" t="s">
        <v>944</v>
      </c>
      <c r="C101" s="625">
        <v>1010</v>
      </c>
      <c r="D101" s="494" t="s">
        <v>945</v>
      </c>
      <c r="E101" s="627">
        <v>9504641</v>
      </c>
      <c r="F101" s="627">
        <v>73085</v>
      </c>
      <c r="G101" s="494" t="s">
        <v>948</v>
      </c>
      <c r="S101" s="629">
        <f t="shared" si="2"/>
        <v>0.39583333333333331</v>
      </c>
      <c r="T101" s="629">
        <f t="shared" si="3"/>
        <v>0.41666666666666663</v>
      </c>
      <c r="U101" s="494" t="s">
        <v>909</v>
      </c>
      <c r="V101" s="620" t="str">
        <f>Combined_tables[[#This Row],[TimeSlot_Start_text]]</f>
        <v>0930</v>
      </c>
      <c r="W101" s="621" t="s">
        <v>429</v>
      </c>
      <c r="X101" s="621" t="s">
        <v>425</v>
      </c>
      <c r="Y101" s="621" t="s">
        <v>429</v>
      </c>
      <c r="Z101" s="621"/>
      <c r="AA101" s="621" t="s">
        <v>425</v>
      </c>
      <c r="AB101" s="494" t="s">
        <v>1086</v>
      </c>
      <c r="AC101" s="494" t="s">
        <v>949</v>
      </c>
      <c r="AD101" s="625" t="s">
        <v>950</v>
      </c>
      <c r="AE101" s="627">
        <v>73104</v>
      </c>
      <c r="AF101" s="623" t="s">
        <v>952</v>
      </c>
      <c r="AG101" s="627">
        <v>7089987986</v>
      </c>
      <c r="AH101" s="494" t="s">
        <v>953</v>
      </c>
      <c r="AI101" s="625" t="s">
        <v>955</v>
      </c>
      <c r="AJ101" s="627">
        <v>73040</v>
      </c>
      <c r="AK101" s="623" t="s">
        <v>956</v>
      </c>
      <c r="AL101" s="627">
        <v>7087431691</v>
      </c>
      <c r="AM101" s="494" t="s">
        <v>786</v>
      </c>
      <c r="AN101" s="625" t="s">
        <v>901</v>
      </c>
      <c r="AO101" s="627">
        <v>22230</v>
      </c>
      <c r="AP101" s="623" t="s">
        <v>882</v>
      </c>
      <c r="AQ101" s="627">
        <v>7089327433</v>
      </c>
    </row>
    <row r="102" spans="1:43" x14ac:dyDescent="0.25">
      <c r="A102" s="625">
        <v>101</v>
      </c>
      <c r="B102" s="494" t="s">
        <v>944</v>
      </c>
      <c r="C102" s="625">
        <v>1010</v>
      </c>
      <c r="D102" s="494" t="s">
        <v>945</v>
      </c>
      <c r="E102" s="627">
        <v>9504641</v>
      </c>
      <c r="F102" s="627">
        <v>73085</v>
      </c>
      <c r="G102" s="494" t="s">
        <v>948</v>
      </c>
      <c r="S102" s="629">
        <f t="shared" si="2"/>
        <v>0.41666666666666669</v>
      </c>
      <c r="T102" s="629">
        <f t="shared" si="3"/>
        <v>0.4375</v>
      </c>
      <c r="U102" s="494" t="s">
        <v>910</v>
      </c>
      <c r="V102" s="620" t="str">
        <f>Combined_tables[[#This Row],[TimeSlot_Start_text]]</f>
        <v>1000</v>
      </c>
      <c r="W102" s="621" t="s">
        <v>429</v>
      </c>
      <c r="X102" s="621" t="s">
        <v>425</v>
      </c>
      <c r="Y102" s="621" t="s">
        <v>429</v>
      </c>
      <c r="Z102" s="621"/>
      <c r="AA102" s="621" t="s">
        <v>425</v>
      </c>
      <c r="AB102" s="494" t="s">
        <v>1073</v>
      </c>
      <c r="AC102" s="494" t="s">
        <v>949</v>
      </c>
      <c r="AD102" s="625" t="s">
        <v>950</v>
      </c>
      <c r="AE102" s="627">
        <v>73104</v>
      </c>
      <c r="AF102" s="623" t="s">
        <v>952</v>
      </c>
      <c r="AG102" s="627">
        <v>7089987986</v>
      </c>
      <c r="AH102" s="494" t="s">
        <v>953</v>
      </c>
      <c r="AI102" s="625" t="s">
        <v>955</v>
      </c>
      <c r="AJ102" s="627">
        <v>73040</v>
      </c>
      <c r="AK102" s="623" t="s">
        <v>956</v>
      </c>
      <c r="AL102" s="627">
        <v>7087431691</v>
      </c>
      <c r="AM102" s="494" t="s">
        <v>786</v>
      </c>
      <c r="AN102" s="625" t="s">
        <v>901</v>
      </c>
      <c r="AO102" s="627">
        <v>22230</v>
      </c>
      <c r="AP102" s="623" t="s">
        <v>882</v>
      </c>
      <c r="AQ102" s="627">
        <v>7089327433</v>
      </c>
    </row>
    <row r="103" spans="1:43" x14ac:dyDescent="0.25">
      <c r="A103" s="625">
        <v>102</v>
      </c>
      <c r="B103" s="494" t="s">
        <v>944</v>
      </c>
      <c r="C103" s="625">
        <v>1010</v>
      </c>
      <c r="D103" s="494" t="s">
        <v>945</v>
      </c>
      <c r="E103" s="627">
        <v>9504641</v>
      </c>
      <c r="F103" s="627">
        <v>73085</v>
      </c>
      <c r="G103" s="494" t="s">
        <v>948</v>
      </c>
      <c r="S103" s="629">
        <f t="shared" si="2"/>
        <v>0.4375</v>
      </c>
      <c r="T103" s="629">
        <f t="shared" si="3"/>
        <v>0.45833333333333331</v>
      </c>
      <c r="U103" s="494" t="s">
        <v>911</v>
      </c>
      <c r="V103" s="620" t="str">
        <f>Combined_tables[[#This Row],[TimeSlot_Start_text]]</f>
        <v>1030</v>
      </c>
      <c r="W103" s="621" t="s">
        <v>429</v>
      </c>
      <c r="X103" s="621" t="s">
        <v>425</v>
      </c>
      <c r="Y103" s="621" t="s">
        <v>429</v>
      </c>
      <c r="Z103" s="621"/>
      <c r="AA103" s="621" t="s">
        <v>425</v>
      </c>
      <c r="AB103" s="494" t="s">
        <v>1074</v>
      </c>
      <c r="AC103" s="494" t="s">
        <v>949</v>
      </c>
      <c r="AD103" s="625" t="s">
        <v>950</v>
      </c>
      <c r="AE103" s="627">
        <v>73104</v>
      </c>
      <c r="AF103" s="623" t="s">
        <v>952</v>
      </c>
      <c r="AG103" s="627">
        <v>7089987986</v>
      </c>
      <c r="AH103" s="494" t="s">
        <v>953</v>
      </c>
      <c r="AI103" s="625" t="s">
        <v>955</v>
      </c>
      <c r="AJ103" s="627">
        <v>73040</v>
      </c>
      <c r="AK103" s="623" t="s">
        <v>956</v>
      </c>
      <c r="AL103" s="627">
        <v>7087431691</v>
      </c>
      <c r="AM103" s="494" t="s">
        <v>786</v>
      </c>
      <c r="AN103" s="625" t="s">
        <v>901</v>
      </c>
      <c r="AO103" s="627">
        <v>22230</v>
      </c>
      <c r="AP103" s="623" t="s">
        <v>882</v>
      </c>
      <c r="AQ103" s="627">
        <v>7089327433</v>
      </c>
    </row>
    <row r="104" spans="1:43" x14ac:dyDescent="0.25">
      <c r="A104" s="625">
        <v>103</v>
      </c>
      <c r="B104" s="494" t="s">
        <v>944</v>
      </c>
      <c r="C104" s="625">
        <v>1010</v>
      </c>
      <c r="D104" s="494" t="s">
        <v>945</v>
      </c>
      <c r="E104" s="627">
        <v>9504641</v>
      </c>
      <c r="F104" s="627">
        <v>73085</v>
      </c>
      <c r="G104" s="494" t="s">
        <v>948</v>
      </c>
      <c r="S104" s="629">
        <f t="shared" si="2"/>
        <v>0.45833333333333331</v>
      </c>
      <c r="T104" s="629">
        <f t="shared" si="3"/>
        <v>0.47916666666666663</v>
      </c>
      <c r="U104" s="494" t="s">
        <v>912</v>
      </c>
      <c r="V104" s="620" t="str">
        <f>Combined_tables[[#This Row],[TimeSlot_Start_text]]</f>
        <v>1100</v>
      </c>
      <c r="W104" s="621" t="s">
        <v>429</v>
      </c>
      <c r="X104" s="621"/>
      <c r="Y104" s="621"/>
      <c r="Z104" s="621"/>
      <c r="AA104" s="621" t="s">
        <v>425</v>
      </c>
      <c r="AB104" s="494" t="s">
        <v>1076</v>
      </c>
      <c r="AC104" s="494" t="s">
        <v>949</v>
      </c>
      <c r="AD104" s="625" t="s">
        <v>950</v>
      </c>
      <c r="AE104" s="627">
        <v>73104</v>
      </c>
      <c r="AF104" s="623" t="s">
        <v>952</v>
      </c>
      <c r="AG104" s="627">
        <v>7089987986</v>
      </c>
      <c r="AH104" s="494" t="s">
        <v>953</v>
      </c>
      <c r="AI104" s="625" t="s">
        <v>955</v>
      </c>
      <c r="AJ104" s="627">
        <v>73040</v>
      </c>
      <c r="AK104" s="623" t="s">
        <v>956</v>
      </c>
      <c r="AL104" s="627">
        <v>7087431691</v>
      </c>
      <c r="AM104" s="494" t="s">
        <v>786</v>
      </c>
      <c r="AN104" s="625" t="s">
        <v>901</v>
      </c>
      <c r="AO104" s="627">
        <v>22230</v>
      </c>
      <c r="AP104" s="623" t="s">
        <v>882</v>
      </c>
      <c r="AQ104" s="627">
        <v>7089327433</v>
      </c>
    </row>
    <row r="105" spans="1:43" x14ac:dyDescent="0.25">
      <c r="A105" s="625">
        <v>104</v>
      </c>
      <c r="B105" s="494" t="s">
        <v>944</v>
      </c>
      <c r="C105" s="625">
        <v>1010</v>
      </c>
      <c r="D105" s="494" t="s">
        <v>945</v>
      </c>
      <c r="E105" s="627">
        <v>9504641</v>
      </c>
      <c r="F105" s="627">
        <v>73085</v>
      </c>
      <c r="G105" s="494" t="s">
        <v>948</v>
      </c>
      <c r="S105" s="629">
        <f t="shared" si="2"/>
        <v>0.47916666666666669</v>
      </c>
      <c r="T105" s="629">
        <f t="shared" si="3"/>
        <v>0.5</v>
      </c>
      <c r="U105" s="494" t="s">
        <v>913</v>
      </c>
      <c r="V105" s="620" t="str">
        <f>Combined_tables[[#This Row],[TimeSlot_Start_text]]</f>
        <v>1130</v>
      </c>
      <c r="W105" s="621" t="s">
        <v>429</v>
      </c>
      <c r="X105" s="621"/>
      <c r="Y105" s="621"/>
      <c r="Z105" s="621"/>
      <c r="AA105" s="621" t="s">
        <v>425</v>
      </c>
      <c r="AB105" s="494" t="s">
        <v>1075</v>
      </c>
      <c r="AC105" s="494" t="s">
        <v>949</v>
      </c>
      <c r="AD105" s="625" t="s">
        <v>950</v>
      </c>
      <c r="AE105" s="627">
        <v>73104</v>
      </c>
      <c r="AF105" s="623" t="s">
        <v>952</v>
      </c>
      <c r="AG105" s="627">
        <v>7089987986</v>
      </c>
      <c r="AH105" s="494" t="s">
        <v>953</v>
      </c>
      <c r="AI105" s="625" t="s">
        <v>955</v>
      </c>
      <c r="AJ105" s="627">
        <v>73040</v>
      </c>
      <c r="AK105" s="623" t="s">
        <v>956</v>
      </c>
      <c r="AL105" s="627">
        <v>7087431691</v>
      </c>
      <c r="AM105" s="494" t="s">
        <v>786</v>
      </c>
      <c r="AN105" s="625" t="s">
        <v>901</v>
      </c>
      <c r="AO105" s="627">
        <v>22230</v>
      </c>
      <c r="AP105" s="623" t="s">
        <v>882</v>
      </c>
      <c r="AQ105" s="627">
        <v>7089327433</v>
      </c>
    </row>
    <row r="106" spans="1:43" ht="15" customHeight="1" x14ac:dyDescent="0.25">
      <c r="A106" s="625">
        <v>105</v>
      </c>
      <c r="B106" s="494" t="s">
        <v>944</v>
      </c>
      <c r="C106" s="625">
        <v>1010</v>
      </c>
      <c r="D106" s="494" t="s">
        <v>945</v>
      </c>
      <c r="E106" s="627">
        <v>9504641</v>
      </c>
      <c r="F106" s="627">
        <v>73085</v>
      </c>
      <c r="G106" s="494" t="s">
        <v>948</v>
      </c>
      <c r="S106" s="629">
        <f t="shared" si="2"/>
        <v>0.5</v>
      </c>
      <c r="T106" s="629">
        <f t="shared" si="3"/>
        <v>0.52083333333333337</v>
      </c>
      <c r="U106" s="494" t="s">
        <v>914</v>
      </c>
      <c r="V106" s="620" t="str">
        <f>Combined_tables[[#This Row],[TimeSlot_Start_text]]</f>
        <v>1200</v>
      </c>
      <c r="W106" s="621" t="s">
        <v>354</v>
      </c>
      <c r="X106" s="621" t="s">
        <v>354</v>
      </c>
      <c r="Y106" s="621" t="s">
        <v>354</v>
      </c>
      <c r="Z106" s="621" t="s">
        <v>354</v>
      </c>
      <c r="AA106" s="621" t="s">
        <v>354</v>
      </c>
      <c r="AB106" s="494" t="s">
        <v>1077</v>
      </c>
      <c r="AC106" s="494" t="s">
        <v>949</v>
      </c>
      <c r="AD106" s="625" t="s">
        <v>950</v>
      </c>
      <c r="AE106" s="627">
        <v>73104</v>
      </c>
      <c r="AF106" s="623" t="s">
        <v>952</v>
      </c>
      <c r="AG106" s="627">
        <v>7089987986</v>
      </c>
      <c r="AH106" s="494" t="s">
        <v>953</v>
      </c>
      <c r="AI106" s="625" t="s">
        <v>955</v>
      </c>
      <c r="AJ106" s="627">
        <v>73040</v>
      </c>
      <c r="AK106" s="623" t="s">
        <v>956</v>
      </c>
      <c r="AL106" s="627">
        <v>7087431691</v>
      </c>
      <c r="AM106" s="494" t="s">
        <v>786</v>
      </c>
      <c r="AN106" s="625" t="s">
        <v>901</v>
      </c>
      <c r="AO106" s="627">
        <v>22230</v>
      </c>
      <c r="AP106" s="623" t="s">
        <v>882</v>
      </c>
      <c r="AQ106" s="627">
        <v>7089327433</v>
      </c>
    </row>
    <row r="107" spans="1:43" ht="15.75" customHeight="1" x14ac:dyDescent="0.25">
      <c r="A107" s="625">
        <v>106</v>
      </c>
      <c r="B107" s="494" t="s">
        <v>944</v>
      </c>
      <c r="C107" s="625">
        <v>1010</v>
      </c>
      <c r="D107" s="494" t="s">
        <v>945</v>
      </c>
      <c r="E107" s="627">
        <v>9504641</v>
      </c>
      <c r="F107" s="627">
        <v>73085</v>
      </c>
      <c r="G107" s="494" t="s">
        <v>948</v>
      </c>
      <c r="S107" s="629">
        <f t="shared" si="2"/>
        <v>0.52083333333333337</v>
      </c>
      <c r="T107" s="629">
        <f t="shared" si="3"/>
        <v>0.54166666666666674</v>
      </c>
      <c r="U107" s="494" t="s">
        <v>915</v>
      </c>
      <c r="V107" s="620" t="str">
        <f>Combined_tables[[#This Row],[TimeSlot_Start_text]]</f>
        <v>1230</v>
      </c>
      <c r="W107" s="621" t="s">
        <v>354</v>
      </c>
      <c r="X107" s="621" t="s">
        <v>354</v>
      </c>
      <c r="Y107" s="621" t="s">
        <v>354</v>
      </c>
      <c r="Z107" s="621" t="s">
        <v>354</v>
      </c>
      <c r="AA107" s="621" t="s">
        <v>354</v>
      </c>
      <c r="AB107" s="494" t="s">
        <v>1078</v>
      </c>
      <c r="AC107" s="494" t="s">
        <v>949</v>
      </c>
      <c r="AD107" s="625" t="s">
        <v>950</v>
      </c>
      <c r="AE107" s="627">
        <v>73104</v>
      </c>
      <c r="AF107" s="623" t="s">
        <v>952</v>
      </c>
      <c r="AG107" s="627">
        <v>7089987986</v>
      </c>
      <c r="AH107" s="494" t="s">
        <v>953</v>
      </c>
      <c r="AI107" s="625" t="s">
        <v>955</v>
      </c>
      <c r="AJ107" s="627">
        <v>73040</v>
      </c>
      <c r="AK107" s="623" t="s">
        <v>956</v>
      </c>
      <c r="AL107" s="627">
        <v>7087431691</v>
      </c>
      <c r="AM107" s="494" t="s">
        <v>786</v>
      </c>
      <c r="AN107" s="625" t="s">
        <v>901</v>
      </c>
      <c r="AO107" s="627">
        <v>22230</v>
      </c>
      <c r="AP107" s="623" t="s">
        <v>882</v>
      </c>
      <c r="AQ107" s="627">
        <v>7089327433</v>
      </c>
    </row>
    <row r="108" spans="1:43" x14ac:dyDescent="0.25">
      <c r="A108" s="625">
        <v>107</v>
      </c>
      <c r="B108" s="494" t="s">
        <v>944</v>
      </c>
      <c r="C108" s="625">
        <v>1010</v>
      </c>
      <c r="D108" s="494" t="s">
        <v>945</v>
      </c>
      <c r="E108" s="627">
        <v>9504641</v>
      </c>
      <c r="F108" s="627">
        <v>73085</v>
      </c>
      <c r="G108" s="494" t="s">
        <v>948</v>
      </c>
      <c r="S108" s="629">
        <f t="shared" si="2"/>
        <v>0.54166666666666663</v>
      </c>
      <c r="T108" s="629">
        <f t="shared" si="3"/>
        <v>0.5625</v>
      </c>
      <c r="U108" s="494" t="s">
        <v>916</v>
      </c>
      <c r="V108" s="620" t="str">
        <f>Combined_tables[[#This Row],[TimeSlot_Start_text]]</f>
        <v>1300</v>
      </c>
      <c r="W108" s="621" t="s">
        <v>429</v>
      </c>
      <c r="X108" s="621" t="s">
        <v>425</v>
      </c>
      <c r="Y108" s="621" t="s">
        <v>429</v>
      </c>
      <c r="Z108" s="621"/>
      <c r="AA108" s="621"/>
      <c r="AB108" s="494" t="s">
        <v>1071</v>
      </c>
      <c r="AC108" s="494" t="s">
        <v>949</v>
      </c>
      <c r="AD108" s="625" t="s">
        <v>950</v>
      </c>
      <c r="AE108" s="627">
        <v>73104</v>
      </c>
      <c r="AF108" s="623" t="s">
        <v>952</v>
      </c>
      <c r="AG108" s="627">
        <v>7089987986</v>
      </c>
      <c r="AH108" s="494" t="s">
        <v>953</v>
      </c>
      <c r="AI108" s="625" t="s">
        <v>955</v>
      </c>
      <c r="AJ108" s="627">
        <v>73040</v>
      </c>
      <c r="AK108" s="623" t="s">
        <v>956</v>
      </c>
      <c r="AL108" s="627">
        <v>7087431691</v>
      </c>
      <c r="AM108" s="494" t="s">
        <v>786</v>
      </c>
      <c r="AN108" s="625" t="s">
        <v>901</v>
      </c>
      <c r="AO108" s="627">
        <v>22230</v>
      </c>
      <c r="AP108" s="623" t="s">
        <v>882</v>
      </c>
      <c r="AQ108" s="627">
        <v>7089327433</v>
      </c>
    </row>
    <row r="109" spans="1:43" x14ac:dyDescent="0.25">
      <c r="A109" s="625">
        <v>108</v>
      </c>
      <c r="B109" s="494" t="s">
        <v>944</v>
      </c>
      <c r="C109" s="625">
        <v>1010</v>
      </c>
      <c r="D109" s="494" t="s">
        <v>945</v>
      </c>
      <c r="E109" s="627">
        <v>9504641</v>
      </c>
      <c r="F109" s="627">
        <v>73085</v>
      </c>
      <c r="G109" s="494" t="s">
        <v>948</v>
      </c>
      <c r="S109" s="629">
        <f t="shared" si="2"/>
        <v>0.5625</v>
      </c>
      <c r="T109" s="629">
        <f t="shared" si="3"/>
        <v>0.58333333333333337</v>
      </c>
      <c r="U109" s="494" t="s">
        <v>917</v>
      </c>
      <c r="V109" s="620" t="str">
        <f>Combined_tables[[#This Row],[TimeSlot_Start_text]]</f>
        <v>1330</v>
      </c>
      <c r="W109" s="621" t="s">
        <v>429</v>
      </c>
      <c r="X109" s="621" t="s">
        <v>425</v>
      </c>
      <c r="Y109" s="621" t="s">
        <v>429</v>
      </c>
      <c r="Z109" s="621"/>
      <c r="AA109" s="621"/>
      <c r="AB109" s="494" t="s">
        <v>1072</v>
      </c>
      <c r="AC109" s="494" t="s">
        <v>949</v>
      </c>
      <c r="AD109" s="625" t="s">
        <v>950</v>
      </c>
      <c r="AE109" s="627">
        <v>73104</v>
      </c>
      <c r="AF109" s="623" t="s">
        <v>952</v>
      </c>
      <c r="AG109" s="627">
        <v>7089987986</v>
      </c>
      <c r="AH109" s="494" t="s">
        <v>953</v>
      </c>
      <c r="AI109" s="625" t="s">
        <v>955</v>
      </c>
      <c r="AJ109" s="627">
        <v>73040</v>
      </c>
      <c r="AK109" s="623" t="s">
        <v>956</v>
      </c>
      <c r="AL109" s="627">
        <v>7087431691</v>
      </c>
      <c r="AM109" s="494" t="s">
        <v>786</v>
      </c>
      <c r="AN109" s="625" t="s">
        <v>901</v>
      </c>
      <c r="AO109" s="627">
        <v>22230</v>
      </c>
      <c r="AP109" s="623" t="s">
        <v>882</v>
      </c>
      <c r="AQ109" s="627">
        <v>7089327433</v>
      </c>
    </row>
    <row r="110" spans="1:43" x14ac:dyDescent="0.25">
      <c r="A110" s="625">
        <v>109</v>
      </c>
      <c r="B110" s="494" t="s">
        <v>944</v>
      </c>
      <c r="C110" s="625">
        <v>1010</v>
      </c>
      <c r="D110" s="494" t="s">
        <v>945</v>
      </c>
      <c r="E110" s="627">
        <v>9504641</v>
      </c>
      <c r="F110" s="627">
        <v>73085</v>
      </c>
      <c r="G110" s="494" t="s">
        <v>948</v>
      </c>
      <c r="S110" s="629">
        <f t="shared" si="2"/>
        <v>0.58333333333333337</v>
      </c>
      <c r="T110" s="629">
        <f t="shared" si="3"/>
        <v>0.60416666666666674</v>
      </c>
      <c r="U110" s="494" t="s">
        <v>918</v>
      </c>
      <c r="V110" s="620" t="str">
        <f>Combined_tables[[#This Row],[TimeSlot_Start_text]]</f>
        <v>1400</v>
      </c>
      <c r="W110" s="621" t="s">
        <v>429</v>
      </c>
      <c r="X110" s="621" t="s">
        <v>425</v>
      </c>
      <c r="Y110" s="621" t="s">
        <v>429</v>
      </c>
      <c r="Z110" s="621"/>
      <c r="AA110" s="621"/>
      <c r="AB110" s="494" t="s">
        <v>1079</v>
      </c>
      <c r="AC110" s="494" t="s">
        <v>949</v>
      </c>
      <c r="AD110" s="625" t="s">
        <v>950</v>
      </c>
      <c r="AE110" s="627">
        <v>73104</v>
      </c>
      <c r="AF110" s="623" t="s">
        <v>952</v>
      </c>
      <c r="AG110" s="627">
        <v>7089987986</v>
      </c>
      <c r="AH110" s="494" t="s">
        <v>953</v>
      </c>
      <c r="AI110" s="625" t="s">
        <v>955</v>
      </c>
      <c r="AJ110" s="627">
        <v>73040</v>
      </c>
      <c r="AK110" s="623" t="s">
        <v>956</v>
      </c>
      <c r="AL110" s="627">
        <v>7087431691</v>
      </c>
      <c r="AM110" s="494" t="s">
        <v>786</v>
      </c>
      <c r="AN110" s="625" t="s">
        <v>901</v>
      </c>
      <c r="AO110" s="627">
        <v>22230</v>
      </c>
      <c r="AP110" s="623" t="s">
        <v>882</v>
      </c>
      <c r="AQ110" s="627">
        <v>7089327433</v>
      </c>
    </row>
    <row r="111" spans="1:43" x14ac:dyDescent="0.25">
      <c r="A111" s="625">
        <v>110</v>
      </c>
      <c r="B111" s="494" t="s">
        <v>944</v>
      </c>
      <c r="C111" s="625">
        <v>1010</v>
      </c>
      <c r="D111" s="494" t="s">
        <v>945</v>
      </c>
      <c r="E111" s="627">
        <v>9504641</v>
      </c>
      <c r="F111" s="627">
        <v>73085</v>
      </c>
      <c r="G111" s="494" t="s">
        <v>948</v>
      </c>
      <c r="S111" s="629">
        <f t="shared" si="2"/>
        <v>0.60416666666666663</v>
      </c>
      <c r="T111" s="629">
        <f t="shared" si="3"/>
        <v>0.625</v>
      </c>
      <c r="U111" s="494" t="s">
        <v>919</v>
      </c>
      <c r="V111" s="620" t="str">
        <f>Combined_tables[[#This Row],[TimeSlot_Start_text]]</f>
        <v>1430</v>
      </c>
      <c r="W111" s="621" t="s">
        <v>429</v>
      </c>
      <c r="X111" s="621" t="s">
        <v>425</v>
      </c>
      <c r="Y111" s="621" t="s">
        <v>429</v>
      </c>
      <c r="Z111" s="621" t="s">
        <v>446</v>
      </c>
      <c r="AA111" s="621"/>
      <c r="AB111" s="494" t="s">
        <v>1080</v>
      </c>
      <c r="AC111" s="494" t="s">
        <v>949</v>
      </c>
      <c r="AD111" s="625" t="s">
        <v>950</v>
      </c>
      <c r="AE111" s="627">
        <v>73104</v>
      </c>
      <c r="AF111" s="623" t="s">
        <v>952</v>
      </c>
      <c r="AG111" s="627">
        <v>7089987986</v>
      </c>
      <c r="AH111" s="494" t="s">
        <v>953</v>
      </c>
      <c r="AI111" s="625" t="s">
        <v>955</v>
      </c>
      <c r="AJ111" s="627">
        <v>73040</v>
      </c>
      <c r="AK111" s="623" t="s">
        <v>956</v>
      </c>
      <c r="AL111" s="627">
        <v>7087431691</v>
      </c>
      <c r="AM111" s="494" t="s">
        <v>786</v>
      </c>
      <c r="AN111" s="625" t="s">
        <v>901</v>
      </c>
      <c r="AO111" s="627">
        <v>22230</v>
      </c>
      <c r="AP111" s="623" t="s">
        <v>882</v>
      </c>
      <c r="AQ111" s="627">
        <v>7089327433</v>
      </c>
    </row>
    <row r="112" spans="1:43" x14ac:dyDescent="0.25">
      <c r="A112" s="625">
        <v>111</v>
      </c>
      <c r="B112" s="494" t="s">
        <v>944</v>
      </c>
      <c r="C112" s="625">
        <v>1010</v>
      </c>
      <c r="D112" s="494" t="s">
        <v>945</v>
      </c>
      <c r="E112" s="627">
        <v>9504641</v>
      </c>
      <c r="F112" s="627">
        <v>73085</v>
      </c>
      <c r="G112" s="494" t="s">
        <v>948</v>
      </c>
      <c r="S112" s="629">
        <f t="shared" si="2"/>
        <v>0.625</v>
      </c>
      <c r="T112" s="629">
        <f t="shared" si="3"/>
        <v>0.64583333333333337</v>
      </c>
      <c r="U112" s="494" t="s">
        <v>920</v>
      </c>
      <c r="V112" s="620" t="str">
        <f>Combined_tables[[#This Row],[TimeSlot_Start_text]]</f>
        <v>1500</v>
      </c>
      <c r="W112" s="621" t="s">
        <v>429</v>
      </c>
      <c r="X112" s="621" t="s">
        <v>425</v>
      </c>
      <c r="Y112" s="621" t="s">
        <v>429</v>
      </c>
      <c r="Z112" s="621" t="s">
        <v>446</v>
      </c>
      <c r="AA112" s="621"/>
      <c r="AB112" s="494" t="s">
        <v>1081</v>
      </c>
      <c r="AC112" s="494" t="s">
        <v>949</v>
      </c>
      <c r="AD112" s="625" t="s">
        <v>950</v>
      </c>
      <c r="AE112" s="627">
        <v>73104</v>
      </c>
      <c r="AF112" s="623" t="s">
        <v>952</v>
      </c>
      <c r="AG112" s="627">
        <v>7089987986</v>
      </c>
      <c r="AH112" s="494" t="s">
        <v>953</v>
      </c>
      <c r="AI112" s="625" t="s">
        <v>955</v>
      </c>
      <c r="AJ112" s="627">
        <v>73040</v>
      </c>
      <c r="AK112" s="623" t="s">
        <v>956</v>
      </c>
      <c r="AL112" s="627">
        <v>7087431691</v>
      </c>
      <c r="AM112" s="494" t="s">
        <v>786</v>
      </c>
      <c r="AN112" s="625" t="s">
        <v>901</v>
      </c>
      <c r="AO112" s="627">
        <v>22230</v>
      </c>
      <c r="AP112" s="623" t="s">
        <v>882</v>
      </c>
      <c r="AQ112" s="627">
        <v>7089327433</v>
      </c>
    </row>
    <row r="113" spans="1:43" x14ac:dyDescent="0.25">
      <c r="A113" s="625">
        <v>112</v>
      </c>
      <c r="B113" s="494" t="s">
        <v>944</v>
      </c>
      <c r="C113" s="625">
        <v>1010</v>
      </c>
      <c r="D113" s="494" t="s">
        <v>945</v>
      </c>
      <c r="E113" s="627">
        <v>9504641</v>
      </c>
      <c r="F113" s="627">
        <v>73085</v>
      </c>
      <c r="G113" s="494" t="s">
        <v>948</v>
      </c>
      <c r="S113" s="629">
        <f t="shared" si="2"/>
        <v>0.64583333333333337</v>
      </c>
      <c r="T113" s="629">
        <f t="shared" si="3"/>
        <v>0.66666666666666674</v>
      </c>
      <c r="U113" s="494" t="s">
        <v>921</v>
      </c>
      <c r="V113" s="620" t="str">
        <f>Combined_tables[[#This Row],[TimeSlot_Start_text]]</f>
        <v>1530</v>
      </c>
      <c r="W113" s="621" t="s">
        <v>429</v>
      </c>
      <c r="X113" s="621" t="s">
        <v>425</v>
      </c>
      <c r="Y113" s="621" t="s">
        <v>429</v>
      </c>
      <c r="Z113" s="621" t="s">
        <v>446</v>
      </c>
      <c r="AA113" s="621"/>
      <c r="AB113" s="494" t="s">
        <v>1082</v>
      </c>
      <c r="AC113" s="494" t="s">
        <v>949</v>
      </c>
      <c r="AD113" s="625" t="s">
        <v>950</v>
      </c>
      <c r="AE113" s="627">
        <v>73104</v>
      </c>
      <c r="AF113" s="623" t="s">
        <v>952</v>
      </c>
      <c r="AG113" s="627">
        <v>7089987986</v>
      </c>
      <c r="AH113" s="494" t="s">
        <v>953</v>
      </c>
      <c r="AI113" s="625" t="s">
        <v>955</v>
      </c>
      <c r="AJ113" s="627">
        <v>73040</v>
      </c>
      <c r="AK113" s="623" t="s">
        <v>956</v>
      </c>
      <c r="AL113" s="627">
        <v>7087431691</v>
      </c>
      <c r="AM113" s="494" t="s">
        <v>786</v>
      </c>
      <c r="AN113" s="625" t="s">
        <v>901</v>
      </c>
      <c r="AO113" s="627">
        <v>22230</v>
      </c>
      <c r="AP113" s="623" t="s">
        <v>882</v>
      </c>
      <c r="AQ113" s="627">
        <v>7089327433</v>
      </c>
    </row>
    <row r="114" spans="1:43" ht="15" customHeight="1" x14ac:dyDescent="0.25">
      <c r="A114" s="625">
        <v>113</v>
      </c>
      <c r="B114" s="494" t="s">
        <v>944</v>
      </c>
      <c r="C114" s="625">
        <v>1011</v>
      </c>
      <c r="D114" s="494" t="s">
        <v>966</v>
      </c>
      <c r="E114" s="627">
        <v>9504642</v>
      </c>
      <c r="F114" s="627">
        <v>73086</v>
      </c>
      <c r="G114" s="494" t="s">
        <v>969</v>
      </c>
      <c r="S114" s="629">
        <f t="shared" si="2"/>
        <v>0.33333333333333331</v>
      </c>
      <c r="T114" s="629">
        <f t="shared" si="3"/>
        <v>0.35416666666666663</v>
      </c>
      <c r="U114" s="494" t="s">
        <v>906</v>
      </c>
      <c r="V114" s="620" t="str">
        <f>Combined_tables[[#This Row],[TimeSlot_Start_text]]</f>
        <v>0800</v>
      </c>
      <c r="W114" s="621"/>
      <c r="X114" s="621" t="s">
        <v>381</v>
      </c>
      <c r="Y114" s="621" t="s">
        <v>381</v>
      </c>
      <c r="Z114" s="621"/>
      <c r="AA114" s="621"/>
      <c r="AB114" s="494" t="s">
        <v>1083</v>
      </c>
      <c r="AC114" s="494" t="s">
        <v>949</v>
      </c>
      <c r="AD114" s="625" t="s">
        <v>950</v>
      </c>
      <c r="AE114" s="627">
        <v>73104</v>
      </c>
      <c r="AF114" s="623" t="s">
        <v>952</v>
      </c>
      <c r="AG114" s="627">
        <v>7089987986</v>
      </c>
      <c r="AH114" s="494" t="s">
        <v>953</v>
      </c>
      <c r="AI114" s="625" t="s">
        <v>955</v>
      </c>
      <c r="AJ114" s="627">
        <v>73040</v>
      </c>
      <c r="AK114" s="623" t="s">
        <v>956</v>
      </c>
      <c r="AL114" s="627">
        <v>7087431691</v>
      </c>
      <c r="AM114" s="494" t="s">
        <v>786</v>
      </c>
      <c r="AN114" s="625" t="s">
        <v>901</v>
      </c>
      <c r="AO114" s="627">
        <v>22230</v>
      </c>
      <c r="AP114" s="623" t="s">
        <v>882</v>
      </c>
      <c r="AQ114" s="627">
        <v>7089327433</v>
      </c>
    </row>
    <row r="115" spans="1:43" ht="15" customHeight="1" x14ac:dyDescent="0.25">
      <c r="A115" s="625">
        <v>114</v>
      </c>
      <c r="B115" s="494" t="s">
        <v>944</v>
      </c>
      <c r="C115" s="625">
        <v>1011</v>
      </c>
      <c r="D115" s="494" t="s">
        <v>966</v>
      </c>
      <c r="E115" s="627">
        <v>9504642</v>
      </c>
      <c r="F115" s="627">
        <v>73086</v>
      </c>
      <c r="G115" s="494" t="s">
        <v>969</v>
      </c>
      <c r="S115" s="629">
        <f t="shared" si="2"/>
        <v>0.35416666666666669</v>
      </c>
      <c r="T115" s="629">
        <f t="shared" si="3"/>
        <v>0.375</v>
      </c>
      <c r="U115" s="494" t="s">
        <v>907</v>
      </c>
      <c r="V115" s="620" t="str">
        <f>Combined_tables[[#This Row],[TimeSlot_Start_text]]</f>
        <v>0830</v>
      </c>
      <c r="W115" s="621"/>
      <c r="X115" s="621" t="s">
        <v>381</v>
      </c>
      <c r="Y115" s="621" t="s">
        <v>381</v>
      </c>
      <c r="Z115" s="621"/>
      <c r="AA115" s="621"/>
      <c r="AB115" s="494" t="s">
        <v>1084</v>
      </c>
      <c r="AC115" s="494" t="s">
        <v>949</v>
      </c>
      <c r="AD115" s="625" t="s">
        <v>950</v>
      </c>
      <c r="AE115" s="627">
        <v>73104</v>
      </c>
      <c r="AF115" s="623" t="s">
        <v>952</v>
      </c>
      <c r="AG115" s="627">
        <v>7089987986</v>
      </c>
      <c r="AH115" s="494" t="s">
        <v>953</v>
      </c>
      <c r="AI115" s="625" t="s">
        <v>955</v>
      </c>
      <c r="AJ115" s="627">
        <v>73040</v>
      </c>
      <c r="AK115" s="623" t="s">
        <v>956</v>
      </c>
      <c r="AL115" s="627">
        <v>7087431691</v>
      </c>
      <c r="AM115" s="494" t="s">
        <v>786</v>
      </c>
      <c r="AN115" s="625" t="s">
        <v>901</v>
      </c>
      <c r="AO115" s="627">
        <v>22230</v>
      </c>
      <c r="AP115" s="623" t="s">
        <v>882</v>
      </c>
      <c r="AQ115" s="627">
        <v>7089327433</v>
      </c>
    </row>
    <row r="116" spans="1:43" ht="15" customHeight="1" x14ac:dyDescent="0.25">
      <c r="A116" s="625">
        <v>115</v>
      </c>
      <c r="B116" s="494" t="s">
        <v>944</v>
      </c>
      <c r="C116" s="625">
        <v>1011</v>
      </c>
      <c r="D116" s="494" t="s">
        <v>966</v>
      </c>
      <c r="E116" s="627">
        <v>9504642</v>
      </c>
      <c r="F116" s="627">
        <v>73086</v>
      </c>
      <c r="G116" s="494" t="s">
        <v>969</v>
      </c>
      <c r="S116" s="629">
        <f t="shared" si="2"/>
        <v>0.375</v>
      </c>
      <c r="T116" s="629">
        <f t="shared" si="3"/>
        <v>0.39583333333333331</v>
      </c>
      <c r="U116" s="494" t="s">
        <v>908</v>
      </c>
      <c r="V116" s="620" t="str">
        <f>Combined_tables[[#This Row],[TimeSlot_Start_text]]</f>
        <v>0900</v>
      </c>
      <c r="W116" s="621" t="s">
        <v>381</v>
      </c>
      <c r="X116" s="621"/>
      <c r="Y116" s="621" t="s">
        <v>431</v>
      </c>
      <c r="Z116" s="621" t="s">
        <v>431</v>
      </c>
      <c r="AA116" s="621"/>
      <c r="AB116" s="494" t="s">
        <v>1085</v>
      </c>
      <c r="AC116" s="494" t="s">
        <v>949</v>
      </c>
      <c r="AD116" s="625" t="s">
        <v>950</v>
      </c>
      <c r="AE116" s="627">
        <v>73104</v>
      </c>
      <c r="AF116" s="623" t="s">
        <v>952</v>
      </c>
      <c r="AG116" s="627">
        <v>7089987986</v>
      </c>
      <c r="AH116" s="494" t="s">
        <v>953</v>
      </c>
      <c r="AI116" s="625" t="s">
        <v>955</v>
      </c>
      <c r="AJ116" s="627">
        <v>73040</v>
      </c>
      <c r="AK116" s="623" t="s">
        <v>956</v>
      </c>
      <c r="AL116" s="627">
        <v>7087431691</v>
      </c>
      <c r="AM116" s="494" t="s">
        <v>786</v>
      </c>
      <c r="AN116" s="625" t="s">
        <v>901</v>
      </c>
      <c r="AO116" s="627">
        <v>22230</v>
      </c>
      <c r="AP116" s="623" t="s">
        <v>882</v>
      </c>
      <c r="AQ116" s="627">
        <v>7089327433</v>
      </c>
    </row>
    <row r="117" spans="1:43" ht="15" customHeight="1" x14ac:dyDescent="0.25">
      <c r="A117" s="625">
        <v>116</v>
      </c>
      <c r="B117" s="494" t="s">
        <v>944</v>
      </c>
      <c r="C117" s="625">
        <v>1011</v>
      </c>
      <c r="D117" s="494" t="s">
        <v>966</v>
      </c>
      <c r="E117" s="627">
        <v>9504642</v>
      </c>
      <c r="F117" s="627">
        <v>73086</v>
      </c>
      <c r="G117" s="494" t="s">
        <v>969</v>
      </c>
      <c r="S117" s="629">
        <f t="shared" si="2"/>
        <v>0.39583333333333331</v>
      </c>
      <c r="T117" s="629">
        <f t="shared" si="3"/>
        <v>0.41666666666666663</v>
      </c>
      <c r="U117" s="494" t="s">
        <v>909</v>
      </c>
      <c r="V117" s="620" t="str">
        <f>Combined_tables[[#This Row],[TimeSlot_Start_text]]</f>
        <v>0930</v>
      </c>
      <c r="W117" s="621" t="s">
        <v>381</v>
      </c>
      <c r="X117" s="621"/>
      <c r="Y117" s="621" t="s">
        <v>431</v>
      </c>
      <c r="Z117" s="621" t="s">
        <v>431</v>
      </c>
      <c r="AA117" s="621"/>
      <c r="AB117" s="494" t="s">
        <v>1086</v>
      </c>
      <c r="AC117" s="494" t="s">
        <v>949</v>
      </c>
      <c r="AD117" s="625" t="s">
        <v>950</v>
      </c>
      <c r="AE117" s="627">
        <v>73104</v>
      </c>
      <c r="AF117" s="623" t="s">
        <v>952</v>
      </c>
      <c r="AG117" s="627">
        <v>7089987986</v>
      </c>
      <c r="AH117" s="494" t="s">
        <v>953</v>
      </c>
      <c r="AI117" s="625" t="s">
        <v>955</v>
      </c>
      <c r="AJ117" s="627">
        <v>73040</v>
      </c>
      <c r="AK117" s="623" t="s">
        <v>956</v>
      </c>
      <c r="AL117" s="627">
        <v>7087431691</v>
      </c>
      <c r="AM117" s="494" t="s">
        <v>786</v>
      </c>
      <c r="AN117" s="625" t="s">
        <v>901</v>
      </c>
      <c r="AO117" s="627">
        <v>22230</v>
      </c>
      <c r="AP117" s="623" t="s">
        <v>882</v>
      </c>
      <c r="AQ117" s="627">
        <v>7089327433</v>
      </c>
    </row>
    <row r="118" spans="1:43" x14ac:dyDescent="0.25">
      <c r="A118" s="625">
        <v>117</v>
      </c>
      <c r="B118" s="494" t="s">
        <v>944</v>
      </c>
      <c r="C118" s="625">
        <v>1011</v>
      </c>
      <c r="D118" s="494" t="s">
        <v>966</v>
      </c>
      <c r="E118" s="627">
        <v>9504642</v>
      </c>
      <c r="F118" s="627">
        <v>73086</v>
      </c>
      <c r="G118" s="494" t="s">
        <v>969</v>
      </c>
      <c r="S118" s="629">
        <f t="shared" si="2"/>
        <v>0.41666666666666669</v>
      </c>
      <c r="T118" s="629">
        <f t="shared" si="3"/>
        <v>0.4375</v>
      </c>
      <c r="U118" s="494" t="s">
        <v>910</v>
      </c>
      <c r="V118" s="620" t="str">
        <f>Combined_tables[[#This Row],[TimeSlot_Start_text]]</f>
        <v>1000</v>
      </c>
      <c r="W118" s="621"/>
      <c r="X118" s="621"/>
      <c r="Y118" s="621"/>
      <c r="Z118" s="621" t="s">
        <v>431</v>
      </c>
      <c r="AA118" s="621"/>
      <c r="AB118" s="494" t="s">
        <v>1073</v>
      </c>
      <c r="AC118" s="494" t="s">
        <v>949</v>
      </c>
      <c r="AD118" s="625" t="s">
        <v>950</v>
      </c>
      <c r="AE118" s="627">
        <v>73104</v>
      </c>
      <c r="AF118" s="623" t="s">
        <v>952</v>
      </c>
      <c r="AG118" s="627">
        <v>7089987986</v>
      </c>
      <c r="AH118" s="494" t="s">
        <v>953</v>
      </c>
      <c r="AI118" s="625" t="s">
        <v>955</v>
      </c>
      <c r="AJ118" s="627">
        <v>73040</v>
      </c>
      <c r="AK118" s="623" t="s">
        <v>956</v>
      </c>
      <c r="AL118" s="627">
        <v>7087431691</v>
      </c>
      <c r="AM118" s="494" t="s">
        <v>786</v>
      </c>
      <c r="AN118" s="625" t="s">
        <v>901</v>
      </c>
      <c r="AO118" s="627">
        <v>22230</v>
      </c>
      <c r="AP118" s="623" t="s">
        <v>882</v>
      </c>
      <c r="AQ118" s="627">
        <v>7089327433</v>
      </c>
    </row>
    <row r="119" spans="1:43" x14ac:dyDescent="0.25">
      <c r="A119" s="625">
        <v>118</v>
      </c>
      <c r="B119" s="494" t="s">
        <v>944</v>
      </c>
      <c r="C119" s="625">
        <v>1011</v>
      </c>
      <c r="D119" s="494" t="s">
        <v>966</v>
      </c>
      <c r="E119" s="627">
        <v>9504642</v>
      </c>
      <c r="F119" s="627">
        <v>73086</v>
      </c>
      <c r="G119" s="494" t="s">
        <v>969</v>
      </c>
      <c r="S119" s="629">
        <f t="shared" si="2"/>
        <v>0.4375</v>
      </c>
      <c r="T119" s="629">
        <f t="shared" si="3"/>
        <v>0.45833333333333331</v>
      </c>
      <c r="U119" s="494" t="s">
        <v>911</v>
      </c>
      <c r="V119" s="620" t="str">
        <f>Combined_tables[[#This Row],[TimeSlot_Start_text]]</f>
        <v>1030</v>
      </c>
      <c r="W119" s="621"/>
      <c r="X119" s="621"/>
      <c r="Y119" s="621" t="s">
        <v>381</v>
      </c>
      <c r="Z119" s="621" t="s">
        <v>431</v>
      </c>
      <c r="AA119" s="621"/>
      <c r="AB119" s="494" t="s">
        <v>1074</v>
      </c>
      <c r="AC119" s="494" t="s">
        <v>949</v>
      </c>
      <c r="AD119" s="625" t="s">
        <v>950</v>
      </c>
      <c r="AE119" s="627">
        <v>73104</v>
      </c>
      <c r="AF119" s="623" t="s">
        <v>952</v>
      </c>
      <c r="AG119" s="627">
        <v>7089987986</v>
      </c>
      <c r="AH119" s="494" t="s">
        <v>953</v>
      </c>
      <c r="AI119" s="625" t="s">
        <v>955</v>
      </c>
      <c r="AJ119" s="627">
        <v>73040</v>
      </c>
      <c r="AK119" s="623" t="s">
        <v>956</v>
      </c>
      <c r="AL119" s="627">
        <v>7087431691</v>
      </c>
      <c r="AM119" s="494" t="s">
        <v>786</v>
      </c>
      <c r="AN119" s="625" t="s">
        <v>901</v>
      </c>
      <c r="AO119" s="627">
        <v>22230</v>
      </c>
      <c r="AP119" s="623" t="s">
        <v>882</v>
      </c>
      <c r="AQ119" s="627">
        <v>7089327433</v>
      </c>
    </row>
    <row r="120" spans="1:43" x14ac:dyDescent="0.25">
      <c r="A120" s="625">
        <v>119</v>
      </c>
      <c r="B120" s="494" t="s">
        <v>944</v>
      </c>
      <c r="C120" s="625">
        <v>1011</v>
      </c>
      <c r="D120" s="494" t="s">
        <v>966</v>
      </c>
      <c r="E120" s="627">
        <v>9504642</v>
      </c>
      <c r="F120" s="627">
        <v>73086</v>
      </c>
      <c r="G120" s="494" t="s">
        <v>969</v>
      </c>
      <c r="S120" s="629">
        <f t="shared" si="2"/>
        <v>0.45833333333333331</v>
      </c>
      <c r="T120" s="629">
        <f t="shared" si="3"/>
        <v>0.47916666666666663</v>
      </c>
      <c r="U120" s="494" t="s">
        <v>912</v>
      </c>
      <c r="V120" s="620" t="str">
        <f>Combined_tables[[#This Row],[TimeSlot_Start_text]]</f>
        <v>1100</v>
      </c>
      <c r="W120" s="621"/>
      <c r="X120" s="621"/>
      <c r="Y120" s="621"/>
      <c r="Z120" s="621" t="s">
        <v>431</v>
      </c>
      <c r="AA120" s="621"/>
      <c r="AB120" s="494" t="s">
        <v>1076</v>
      </c>
      <c r="AC120" s="494" t="s">
        <v>949</v>
      </c>
      <c r="AD120" s="625" t="s">
        <v>950</v>
      </c>
      <c r="AE120" s="627">
        <v>73104</v>
      </c>
      <c r="AF120" s="623" t="s">
        <v>952</v>
      </c>
      <c r="AG120" s="627">
        <v>7089987986</v>
      </c>
      <c r="AH120" s="494" t="s">
        <v>953</v>
      </c>
      <c r="AI120" s="625" t="s">
        <v>955</v>
      </c>
      <c r="AJ120" s="627">
        <v>73040</v>
      </c>
      <c r="AK120" s="623" t="s">
        <v>956</v>
      </c>
      <c r="AL120" s="627">
        <v>7087431691</v>
      </c>
      <c r="AM120" s="494" t="s">
        <v>786</v>
      </c>
      <c r="AN120" s="625" t="s">
        <v>901</v>
      </c>
      <c r="AO120" s="627">
        <v>22230</v>
      </c>
      <c r="AP120" s="623" t="s">
        <v>882</v>
      </c>
      <c r="AQ120" s="627">
        <v>7089327433</v>
      </c>
    </row>
    <row r="121" spans="1:43" x14ac:dyDescent="0.25">
      <c r="A121" s="625">
        <v>120</v>
      </c>
      <c r="B121" s="494" t="s">
        <v>944</v>
      </c>
      <c r="C121" s="625">
        <v>1011</v>
      </c>
      <c r="D121" s="494" t="s">
        <v>966</v>
      </c>
      <c r="E121" s="627">
        <v>9504642</v>
      </c>
      <c r="F121" s="627">
        <v>73086</v>
      </c>
      <c r="G121" s="494" t="s">
        <v>969</v>
      </c>
      <c r="S121" s="629">
        <f t="shared" si="2"/>
        <v>0.47916666666666669</v>
      </c>
      <c r="T121" s="629">
        <f t="shared" si="3"/>
        <v>0.5</v>
      </c>
      <c r="U121" s="494" t="s">
        <v>913</v>
      </c>
      <c r="V121" s="620" t="str">
        <f>Combined_tables[[#This Row],[TimeSlot_Start_text]]</f>
        <v>1130</v>
      </c>
      <c r="W121" s="621"/>
      <c r="X121" s="621"/>
      <c r="Y121" s="621"/>
      <c r="Z121" s="621" t="s">
        <v>431</v>
      </c>
      <c r="AA121" s="621"/>
      <c r="AB121" s="494" t="s">
        <v>1075</v>
      </c>
      <c r="AC121" s="494" t="s">
        <v>949</v>
      </c>
      <c r="AD121" s="625" t="s">
        <v>950</v>
      </c>
      <c r="AE121" s="627">
        <v>73104</v>
      </c>
      <c r="AF121" s="623" t="s">
        <v>952</v>
      </c>
      <c r="AG121" s="627">
        <v>7089987986</v>
      </c>
      <c r="AH121" s="494" t="s">
        <v>953</v>
      </c>
      <c r="AI121" s="625" t="s">
        <v>955</v>
      </c>
      <c r="AJ121" s="627">
        <v>73040</v>
      </c>
      <c r="AK121" s="623" t="s">
        <v>956</v>
      </c>
      <c r="AL121" s="627">
        <v>7087431691</v>
      </c>
      <c r="AM121" s="494" t="s">
        <v>786</v>
      </c>
      <c r="AN121" s="625" t="s">
        <v>901</v>
      </c>
      <c r="AO121" s="627">
        <v>22230</v>
      </c>
      <c r="AP121" s="623" t="s">
        <v>882</v>
      </c>
      <c r="AQ121" s="627">
        <v>7089327433</v>
      </c>
    </row>
    <row r="122" spans="1:43" ht="15" customHeight="1" x14ac:dyDescent="0.25">
      <c r="A122" s="625">
        <v>121</v>
      </c>
      <c r="B122" s="494" t="s">
        <v>944</v>
      </c>
      <c r="C122" s="625">
        <v>1011</v>
      </c>
      <c r="D122" s="494" t="s">
        <v>966</v>
      </c>
      <c r="E122" s="627">
        <v>9504642</v>
      </c>
      <c r="F122" s="627">
        <v>73086</v>
      </c>
      <c r="G122" s="494" t="s">
        <v>969</v>
      </c>
      <c r="S122" s="629">
        <f t="shared" si="2"/>
        <v>0.5</v>
      </c>
      <c r="T122" s="629">
        <f t="shared" si="3"/>
        <v>0.52083333333333337</v>
      </c>
      <c r="U122" s="494" t="s">
        <v>914</v>
      </c>
      <c r="V122" s="620" t="str">
        <f>Combined_tables[[#This Row],[TimeSlot_Start_text]]</f>
        <v>1200</v>
      </c>
      <c r="W122" s="621" t="s">
        <v>354</v>
      </c>
      <c r="X122" s="621" t="s">
        <v>354</v>
      </c>
      <c r="Y122" s="621" t="s">
        <v>354</v>
      </c>
      <c r="Z122" s="621" t="s">
        <v>354</v>
      </c>
      <c r="AA122" s="621" t="s">
        <v>354</v>
      </c>
      <c r="AB122" s="494" t="s">
        <v>1077</v>
      </c>
      <c r="AC122" s="494" t="s">
        <v>949</v>
      </c>
      <c r="AD122" s="625" t="s">
        <v>950</v>
      </c>
      <c r="AE122" s="627">
        <v>73104</v>
      </c>
      <c r="AF122" s="623" t="s">
        <v>952</v>
      </c>
      <c r="AG122" s="627">
        <v>7089987986</v>
      </c>
      <c r="AH122" s="494" t="s">
        <v>953</v>
      </c>
      <c r="AI122" s="625" t="s">
        <v>955</v>
      </c>
      <c r="AJ122" s="627">
        <v>73040</v>
      </c>
      <c r="AK122" s="623" t="s">
        <v>956</v>
      </c>
      <c r="AL122" s="627">
        <v>7087431691</v>
      </c>
      <c r="AM122" s="494" t="s">
        <v>786</v>
      </c>
      <c r="AN122" s="625" t="s">
        <v>901</v>
      </c>
      <c r="AO122" s="627">
        <v>22230</v>
      </c>
      <c r="AP122" s="623" t="s">
        <v>882</v>
      </c>
      <c r="AQ122" s="627">
        <v>7089327433</v>
      </c>
    </row>
    <row r="123" spans="1:43" ht="15.75" customHeight="1" x14ac:dyDescent="0.25">
      <c r="A123" s="625">
        <v>122</v>
      </c>
      <c r="B123" s="494" t="s">
        <v>944</v>
      </c>
      <c r="C123" s="625">
        <v>1011</v>
      </c>
      <c r="D123" s="494" t="s">
        <v>966</v>
      </c>
      <c r="E123" s="627">
        <v>9504642</v>
      </c>
      <c r="F123" s="627">
        <v>73086</v>
      </c>
      <c r="G123" s="494" t="s">
        <v>969</v>
      </c>
      <c r="S123" s="629">
        <f t="shared" si="2"/>
        <v>0.52083333333333337</v>
      </c>
      <c r="T123" s="629">
        <f t="shared" si="3"/>
        <v>0.54166666666666674</v>
      </c>
      <c r="U123" s="494" t="s">
        <v>915</v>
      </c>
      <c r="V123" s="620" t="str">
        <f>Combined_tables[[#This Row],[TimeSlot_Start_text]]</f>
        <v>1230</v>
      </c>
      <c r="W123" s="621" t="s">
        <v>354</v>
      </c>
      <c r="X123" s="621" t="s">
        <v>354</v>
      </c>
      <c r="Y123" s="621" t="s">
        <v>354</v>
      </c>
      <c r="Z123" s="621" t="s">
        <v>354</v>
      </c>
      <c r="AA123" s="621" t="s">
        <v>354</v>
      </c>
      <c r="AB123" s="494" t="s">
        <v>1078</v>
      </c>
      <c r="AC123" s="494" t="s">
        <v>949</v>
      </c>
      <c r="AD123" s="625" t="s">
        <v>950</v>
      </c>
      <c r="AE123" s="627">
        <v>73104</v>
      </c>
      <c r="AF123" s="623" t="s">
        <v>952</v>
      </c>
      <c r="AG123" s="627">
        <v>7089987986</v>
      </c>
      <c r="AH123" s="494" t="s">
        <v>953</v>
      </c>
      <c r="AI123" s="625" t="s">
        <v>955</v>
      </c>
      <c r="AJ123" s="627">
        <v>73040</v>
      </c>
      <c r="AK123" s="623" t="s">
        <v>956</v>
      </c>
      <c r="AL123" s="627">
        <v>7087431691</v>
      </c>
      <c r="AM123" s="494" t="s">
        <v>786</v>
      </c>
      <c r="AN123" s="625" t="s">
        <v>901</v>
      </c>
      <c r="AO123" s="627">
        <v>22230</v>
      </c>
      <c r="AP123" s="623" t="s">
        <v>882</v>
      </c>
      <c r="AQ123" s="627">
        <v>7089327433</v>
      </c>
    </row>
    <row r="124" spans="1:43" x14ac:dyDescent="0.25">
      <c r="A124" s="625">
        <v>123</v>
      </c>
      <c r="B124" s="494" t="s">
        <v>944</v>
      </c>
      <c r="C124" s="625">
        <v>1011</v>
      </c>
      <c r="D124" s="494" t="s">
        <v>966</v>
      </c>
      <c r="E124" s="627">
        <v>9504642</v>
      </c>
      <c r="F124" s="627">
        <v>73086</v>
      </c>
      <c r="G124" s="494" t="s">
        <v>969</v>
      </c>
      <c r="S124" s="629">
        <f t="shared" si="2"/>
        <v>0.54166666666666663</v>
      </c>
      <c r="T124" s="629">
        <f t="shared" si="3"/>
        <v>0.5625</v>
      </c>
      <c r="U124" s="494" t="s">
        <v>916</v>
      </c>
      <c r="V124" s="620" t="str">
        <f>Combined_tables[[#This Row],[TimeSlot_Start_text]]</f>
        <v>1300</v>
      </c>
      <c r="W124" s="621" t="s">
        <v>427</v>
      </c>
      <c r="X124" s="621" t="s">
        <v>381</v>
      </c>
      <c r="Y124" s="621" t="s">
        <v>431</v>
      </c>
      <c r="Z124" s="621" t="s">
        <v>381</v>
      </c>
      <c r="AA124" s="621"/>
      <c r="AB124" s="494" t="s">
        <v>1071</v>
      </c>
      <c r="AC124" s="494" t="s">
        <v>949</v>
      </c>
      <c r="AD124" s="625" t="s">
        <v>950</v>
      </c>
      <c r="AE124" s="627">
        <v>73104</v>
      </c>
      <c r="AF124" s="623" t="s">
        <v>952</v>
      </c>
      <c r="AG124" s="627">
        <v>7089987986</v>
      </c>
      <c r="AH124" s="494" t="s">
        <v>953</v>
      </c>
      <c r="AI124" s="625" t="s">
        <v>955</v>
      </c>
      <c r="AJ124" s="627">
        <v>73040</v>
      </c>
      <c r="AK124" s="623" t="s">
        <v>956</v>
      </c>
      <c r="AL124" s="627">
        <v>7087431691</v>
      </c>
      <c r="AM124" s="494" t="s">
        <v>786</v>
      </c>
      <c r="AN124" s="625" t="s">
        <v>901</v>
      </c>
      <c r="AO124" s="627">
        <v>22230</v>
      </c>
      <c r="AP124" s="623" t="s">
        <v>882</v>
      </c>
      <c r="AQ124" s="627">
        <v>7089327433</v>
      </c>
    </row>
    <row r="125" spans="1:43" x14ac:dyDescent="0.25">
      <c r="A125" s="625">
        <v>124</v>
      </c>
      <c r="B125" s="494" t="s">
        <v>944</v>
      </c>
      <c r="C125" s="625">
        <v>1011</v>
      </c>
      <c r="D125" s="494" t="s">
        <v>966</v>
      </c>
      <c r="E125" s="627">
        <v>9504642</v>
      </c>
      <c r="F125" s="627">
        <v>73086</v>
      </c>
      <c r="G125" s="494" t="s">
        <v>969</v>
      </c>
      <c r="S125" s="629">
        <f t="shared" si="2"/>
        <v>0.5625</v>
      </c>
      <c r="T125" s="629">
        <f t="shared" si="3"/>
        <v>0.58333333333333337</v>
      </c>
      <c r="U125" s="494" t="s">
        <v>917</v>
      </c>
      <c r="V125" s="620" t="str">
        <f>Combined_tables[[#This Row],[TimeSlot_Start_text]]</f>
        <v>1330</v>
      </c>
      <c r="W125" s="621" t="s">
        <v>427</v>
      </c>
      <c r="X125" s="621"/>
      <c r="Y125" s="621" t="s">
        <v>431</v>
      </c>
      <c r="Z125" s="621"/>
      <c r="AA125" s="621"/>
      <c r="AB125" s="494" t="s">
        <v>1072</v>
      </c>
      <c r="AC125" s="494" t="s">
        <v>949</v>
      </c>
      <c r="AD125" s="625" t="s">
        <v>950</v>
      </c>
      <c r="AE125" s="627">
        <v>73104</v>
      </c>
      <c r="AF125" s="623" t="s">
        <v>952</v>
      </c>
      <c r="AG125" s="627">
        <v>7089987986</v>
      </c>
      <c r="AH125" s="494" t="s">
        <v>953</v>
      </c>
      <c r="AI125" s="625" t="s">
        <v>955</v>
      </c>
      <c r="AJ125" s="627">
        <v>73040</v>
      </c>
      <c r="AK125" s="623" t="s">
        <v>956</v>
      </c>
      <c r="AL125" s="627">
        <v>7087431691</v>
      </c>
      <c r="AM125" s="494" t="s">
        <v>786</v>
      </c>
      <c r="AN125" s="625" t="s">
        <v>901</v>
      </c>
      <c r="AO125" s="627">
        <v>22230</v>
      </c>
      <c r="AP125" s="623" t="s">
        <v>882</v>
      </c>
      <c r="AQ125" s="627">
        <v>7089327433</v>
      </c>
    </row>
    <row r="126" spans="1:43" x14ac:dyDescent="0.25">
      <c r="A126" s="625">
        <v>125</v>
      </c>
      <c r="B126" s="494" t="s">
        <v>944</v>
      </c>
      <c r="C126" s="625">
        <v>1011</v>
      </c>
      <c r="D126" s="494" t="s">
        <v>966</v>
      </c>
      <c r="E126" s="627">
        <v>9504642</v>
      </c>
      <c r="F126" s="627">
        <v>73086</v>
      </c>
      <c r="G126" s="494" t="s">
        <v>969</v>
      </c>
      <c r="S126" s="629">
        <f t="shared" si="2"/>
        <v>0.58333333333333337</v>
      </c>
      <c r="T126" s="629">
        <f t="shared" si="3"/>
        <v>0.60416666666666674</v>
      </c>
      <c r="U126" s="494" t="s">
        <v>918</v>
      </c>
      <c r="V126" s="620" t="str">
        <f>Combined_tables[[#This Row],[TimeSlot_Start_text]]</f>
        <v>1400</v>
      </c>
      <c r="W126" s="621" t="s">
        <v>427</v>
      </c>
      <c r="X126" s="621"/>
      <c r="Y126" s="621" t="s">
        <v>431</v>
      </c>
      <c r="Z126" s="621"/>
      <c r="AA126" s="621"/>
      <c r="AB126" s="494" t="s">
        <v>1079</v>
      </c>
      <c r="AC126" s="494" t="s">
        <v>949</v>
      </c>
      <c r="AD126" s="625" t="s">
        <v>950</v>
      </c>
      <c r="AE126" s="627">
        <v>73104</v>
      </c>
      <c r="AF126" s="623" t="s">
        <v>952</v>
      </c>
      <c r="AG126" s="627">
        <v>7089987986</v>
      </c>
      <c r="AH126" s="494" t="s">
        <v>953</v>
      </c>
      <c r="AI126" s="625" t="s">
        <v>955</v>
      </c>
      <c r="AJ126" s="627">
        <v>73040</v>
      </c>
      <c r="AK126" s="623" t="s">
        <v>956</v>
      </c>
      <c r="AL126" s="627">
        <v>7087431691</v>
      </c>
      <c r="AM126" s="494" t="s">
        <v>786</v>
      </c>
      <c r="AN126" s="625" t="s">
        <v>901</v>
      </c>
      <c r="AO126" s="627">
        <v>22230</v>
      </c>
      <c r="AP126" s="623" t="s">
        <v>882</v>
      </c>
      <c r="AQ126" s="627">
        <v>7089327433</v>
      </c>
    </row>
    <row r="127" spans="1:43" x14ac:dyDescent="0.25">
      <c r="A127" s="625">
        <v>126</v>
      </c>
      <c r="B127" s="494" t="s">
        <v>944</v>
      </c>
      <c r="C127" s="625">
        <v>1011</v>
      </c>
      <c r="D127" s="494" t="s">
        <v>966</v>
      </c>
      <c r="E127" s="627">
        <v>9504642</v>
      </c>
      <c r="F127" s="627">
        <v>73086</v>
      </c>
      <c r="G127" s="494" t="s">
        <v>969</v>
      </c>
      <c r="S127" s="629">
        <f t="shared" si="2"/>
        <v>0.60416666666666663</v>
      </c>
      <c r="T127" s="629">
        <f t="shared" si="3"/>
        <v>0.625</v>
      </c>
      <c r="U127" s="494" t="s">
        <v>919</v>
      </c>
      <c r="V127" s="620" t="str">
        <f>Combined_tables[[#This Row],[TimeSlot_Start_text]]</f>
        <v>1430</v>
      </c>
      <c r="W127" s="621" t="s">
        <v>427</v>
      </c>
      <c r="X127" s="621"/>
      <c r="Y127" s="621" t="s">
        <v>431</v>
      </c>
      <c r="Z127" s="621" t="s">
        <v>446</v>
      </c>
      <c r="AA127" s="621"/>
      <c r="AB127" s="494" t="s">
        <v>1080</v>
      </c>
      <c r="AC127" s="494" t="s">
        <v>949</v>
      </c>
      <c r="AD127" s="625" t="s">
        <v>950</v>
      </c>
      <c r="AE127" s="627">
        <v>73104</v>
      </c>
      <c r="AF127" s="623" t="s">
        <v>952</v>
      </c>
      <c r="AG127" s="627">
        <v>7089987986</v>
      </c>
      <c r="AH127" s="494" t="s">
        <v>953</v>
      </c>
      <c r="AI127" s="625" t="s">
        <v>955</v>
      </c>
      <c r="AJ127" s="627">
        <v>73040</v>
      </c>
      <c r="AK127" s="623" t="s">
        <v>956</v>
      </c>
      <c r="AL127" s="627">
        <v>7087431691</v>
      </c>
      <c r="AM127" s="494" t="s">
        <v>786</v>
      </c>
      <c r="AN127" s="625" t="s">
        <v>901</v>
      </c>
      <c r="AO127" s="627">
        <v>22230</v>
      </c>
      <c r="AP127" s="623" t="s">
        <v>882</v>
      </c>
      <c r="AQ127" s="627">
        <v>7089327433</v>
      </c>
    </row>
    <row r="128" spans="1:43" x14ac:dyDescent="0.25">
      <c r="A128" s="625">
        <v>127</v>
      </c>
      <c r="B128" s="494" t="s">
        <v>944</v>
      </c>
      <c r="C128" s="625">
        <v>1011</v>
      </c>
      <c r="D128" s="494" t="s">
        <v>966</v>
      </c>
      <c r="E128" s="627">
        <v>9504642</v>
      </c>
      <c r="F128" s="627">
        <v>73086</v>
      </c>
      <c r="G128" s="494" t="s">
        <v>969</v>
      </c>
      <c r="S128" s="629">
        <f t="shared" si="2"/>
        <v>0.625</v>
      </c>
      <c r="T128" s="629">
        <f t="shared" si="3"/>
        <v>0.64583333333333337</v>
      </c>
      <c r="U128" s="494" t="s">
        <v>920</v>
      </c>
      <c r="V128" s="620" t="str">
        <f>Combined_tables[[#This Row],[TimeSlot_Start_text]]</f>
        <v>1500</v>
      </c>
      <c r="W128" s="621" t="s">
        <v>427</v>
      </c>
      <c r="X128" s="621"/>
      <c r="Y128" s="621" t="s">
        <v>431</v>
      </c>
      <c r="Z128" s="621" t="s">
        <v>446</v>
      </c>
      <c r="AA128" s="621"/>
      <c r="AB128" s="494" t="s">
        <v>1081</v>
      </c>
      <c r="AC128" s="494" t="s">
        <v>949</v>
      </c>
      <c r="AD128" s="625" t="s">
        <v>950</v>
      </c>
      <c r="AE128" s="627">
        <v>73104</v>
      </c>
      <c r="AF128" s="623" t="s">
        <v>952</v>
      </c>
      <c r="AG128" s="627">
        <v>7089987986</v>
      </c>
      <c r="AH128" s="494" t="s">
        <v>953</v>
      </c>
      <c r="AI128" s="625" t="s">
        <v>955</v>
      </c>
      <c r="AJ128" s="627">
        <v>73040</v>
      </c>
      <c r="AK128" s="623" t="s">
        <v>956</v>
      </c>
      <c r="AL128" s="627">
        <v>7087431691</v>
      </c>
      <c r="AM128" s="494" t="s">
        <v>786</v>
      </c>
      <c r="AN128" s="625" t="s">
        <v>901</v>
      </c>
      <c r="AO128" s="627">
        <v>22230</v>
      </c>
      <c r="AP128" s="623" t="s">
        <v>882</v>
      </c>
      <c r="AQ128" s="627">
        <v>7089327433</v>
      </c>
    </row>
    <row r="129" spans="1:43" x14ac:dyDescent="0.25">
      <c r="A129" s="625">
        <v>128</v>
      </c>
      <c r="B129" s="494" t="s">
        <v>944</v>
      </c>
      <c r="C129" s="625">
        <v>1011</v>
      </c>
      <c r="D129" s="494" t="s">
        <v>966</v>
      </c>
      <c r="E129" s="627">
        <v>9504642</v>
      </c>
      <c r="F129" s="627">
        <v>73086</v>
      </c>
      <c r="G129" s="494" t="s">
        <v>969</v>
      </c>
      <c r="S129" s="629">
        <f t="shared" si="2"/>
        <v>0.64583333333333337</v>
      </c>
      <c r="T129" s="629">
        <f t="shared" si="3"/>
        <v>0.66666666666666674</v>
      </c>
      <c r="U129" s="494" t="s">
        <v>921</v>
      </c>
      <c r="V129" s="620" t="str">
        <f>Combined_tables[[#This Row],[TimeSlot_Start_text]]</f>
        <v>1530</v>
      </c>
      <c r="W129" s="621" t="s">
        <v>427</v>
      </c>
      <c r="X129" s="621"/>
      <c r="Y129" s="621" t="s">
        <v>431</v>
      </c>
      <c r="Z129" s="621" t="s">
        <v>446</v>
      </c>
      <c r="AA129" s="621"/>
      <c r="AB129" s="494" t="s">
        <v>1082</v>
      </c>
      <c r="AC129" s="494" t="s">
        <v>949</v>
      </c>
      <c r="AD129" s="625" t="s">
        <v>950</v>
      </c>
      <c r="AE129" s="627">
        <v>73104</v>
      </c>
      <c r="AF129" s="623" t="s">
        <v>952</v>
      </c>
      <c r="AG129" s="627">
        <v>7089987986</v>
      </c>
      <c r="AH129" s="494" t="s">
        <v>953</v>
      </c>
      <c r="AI129" s="625" t="s">
        <v>955</v>
      </c>
      <c r="AJ129" s="627">
        <v>73040</v>
      </c>
      <c r="AK129" s="623" t="s">
        <v>956</v>
      </c>
      <c r="AL129" s="627">
        <v>7087431691</v>
      </c>
      <c r="AM129" s="494" t="s">
        <v>786</v>
      </c>
      <c r="AN129" s="625" t="s">
        <v>901</v>
      </c>
      <c r="AO129" s="627">
        <v>22230</v>
      </c>
      <c r="AP129" s="623" t="s">
        <v>882</v>
      </c>
      <c r="AQ129" s="627">
        <v>7089327433</v>
      </c>
    </row>
    <row r="130" spans="1:43" ht="15" customHeight="1" x14ac:dyDescent="0.25">
      <c r="A130" s="625">
        <v>129</v>
      </c>
      <c r="B130" s="494" t="s">
        <v>944</v>
      </c>
      <c r="C130" s="625">
        <v>1012</v>
      </c>
      <c r="D130" s="494" t="s">
        <v>970</v>
      </c>
      <c r="E130" s="627">
        <v>9504643</v>
      </c>
      <c r="F130" s="627">
        <v>73087</v>
      </c>
      <c r="G130" s="494" t="s">
        <v>975</v>
      </c>
      <c r="S130" s="629">
        <f t="shared" ref="S130:S193" si="4">TIME(LEFT(U130,2),RIGHT(U130,2),"00")</f>
        <v>0.33333333333333331</v>
      </c>
      <c r="T130" s="629">
        <f t="shared" ref="T130:T193" si="5">S130+(TIME("00","30","00"))</f>
        <v>0.35416666666666663</v>
      </c>
      <c r="U130" s="494" t="s">
        <v>906</v>
      </c>
      <c r="V130" s="620" t="str">
        <f>Combined_tables[[#This Row],[TimeSlot_Start_text]]</f>
        <v>0800</v>
      </c>
      <c r="W130" s="621"/>
      <c r="X130" s="621" t="s">
        <v>380</v>
      </c>
      <c r="Y130" s="621" t="s">
        <v>380</v>
      </c>
      <c r="Z130" s="621"/>
      <c r="AA130" s="621"/>
      <c r="AB130" s="494" t="s">
        <v>1083</v>
      </c>
      <c r="AC130" s="494" t="s">
        <v>949</v>
      </c>
      <c r="AD130" s="625" t="s">
        <v>950</v>
      </c>
      <c r="AE130" s="627">
        <v>73104</v>
      </c>
      <c r="AF130" s="623" t="s">
        <v>952</v>
      </c>
      <c r="AG130" s="627">
        <v>7089987986</v>
      </c>
      <c r="AH130" s="494" t="s">
        <v>953</v>
      </c>
      <c r="AI130" s="625" t="s">
        <v>955</v>
      </c>
      <c r="AJ130" s="627">
        <v>73040</v>
      </c>
      <c r="AK130" s="623" t="s">
        <v>956</v>
      </c>
      <c r="AL130" s="627">
        <v>7087431691</v>
      </c>
      <c r="AM130" s="494" t="s">
        <v>786</v>
      </c>
      <c r="AN130" s="625" t="s">
        <v>901</v>
      </c>
      <c r="AO130" s="627">
        <v>22230</v>
      </c>
      <c r="AP130" s="623" t="s">
        <v>882</v>
      </c>
      <c r="AQ130" s="627">
        <v>7089327433</v>
      </c>
    </row>
    <row r="131" spans="1:43" ht="15" customHeight="1" x14ac:dyDescent="0.25">
      <c r="A131" s="625">
        <v>130</v>
      </c>
      <c r="B131" s="494" t="s">
        <v>944</v>
      </c>
      <c r="C131" s="625">
        <v>1012</v>
      </c>
      <c r="D131" s="494" t="s">
        <v>970</v>
      </c>
      <c r="E131" s="627">
        <v>9504643</v>
      </c>
      <c r="F131" s="627">
        <v>73087</v>
      </c>
      <c r="G131" s="494" t="s">
        <v>975</v>
      </c>
      <c r="S131" s="629">
        <f t="shared" si="4"/>
        <v>0.35416666666666669</v>
      </c>
      <c r="T131" s="629">
        <f t="shared" si="5"/>
        <v>0.375</v>
      </c>
      <c r="U131" s="494" t="s">
        <v>907</v>
      </c>
      <c r="V131" s="620" t="str">
        <f>Combined_tables[[#This Row],[TimeSlot_Start_text]]</f>
        <v>0830</v>
      </c>
      <c r="W131" s="621"/>
      <c r="X131" s="621"/>
      <c r="Y131" s="621"/>
      <c r="Z131" s="621"/>
      <c r="AA131" s="621"/>
      <c r="AB131" s="494" t="s">
        <v>1084</v>
      </c>
      <c r="AC131" s="494" t="s">
        <v>949</v>
      </c>
      <c r="AD131" s="625" t="s">
        <v>950</v>
      </c>
      <c r="AE131" s="627">
        <v>73104</v>
      </c>
      <c r="AF131" s="623" t="s">
        <v>952</v>
      </c>
      <c r="AG131" s="627">
        <v>7089987986</v>
      </c>
      <c r="AH131" s="494" t="s">
        <v>953</v>
      </c>
      <c r="AI131" s="625" t="s">
        <v>955</v>
      </c>
      <c r="AJ131" s="627">
        <v>73040</v>
      </c>
      <c r="AK131" s="623" t="s">
        <v>956</v>
      </c>
      <c r="AL131" s="627">
        <v>7087431691</v>
      </c>
      <c r="AM131" s="494" t="s">
        <v>786</v>
      </c>
      <c r="AN131" s="625" t="s">
        <v>901</v>
      </c>
      <c r="AO131" s="627">
        <v>22230</v>
      </c>
      <c r="AP131" s="623" t="s">
        <v>882</v>
      </c>
      <c r="AQ131" s="627">
        <v>7089327433</v>
      </c>
    </row>
    <row r="132" spans="1:43" ht="15" customHeight="1" x14ac:dyDescent="0.25">
      <c r="A132" s="625">
        <v>131</v>
      </c>
      <c r="B132" s="494" t="s">
        <v>944</v>
      </c>
      <c r="C132" s="625">
        <v>1012</v>
      </c>
      <c r="D132" s="494" t="s">
        <v>970</v>
      </c>
      <c r="E132" s="627">
        <v>9504643</v>
      </c>
      <c r="F132" s="627">
        <v>73087</v>
      </c>
      <c r="G132" s="494" t="s">
        <v>975</v>
      </c>
      <c r="S132" s="629">
        <f t="shared" si="4"/>
        <v>0.375</v>
      </c>
      <c r="T132" s="629">
        <f t="shared" si="5"/>
        <v>0.39583333333333331</v>
      </c>
      <c r="U132" s="494" t="s">
        <v>908</v>
      </c>
      <c r="V132" s="620" t="str">
        <f>Combined_tables[[#This Row],[TimeSlot_Start_text]]</f>
        <v>0900</v>
      </c>
      <c r="W132" s="621" t="s">
        <v>432</v>
      </c>
      <c r="X132" s="621"/>
      <c r="Y132" s="621"/>
      <c r="Z132" s="621"/>
      <c r="AA132" s="621" t="s">
        <v>380</v>
      </c>
      <c r="AB132" s="494" t="s">
        <v>1085</v>
      </c>
      <c r="AC132" s="494" t="s">
        <v>949</v>
      </c>
      <c r="AD132" s="625" t="s">
        <v>950</v>
      </c>
      <c r="AE132" s="627">
        <v>73104</v>
      </c>
      <c r="AF132" s="623" t="s">
        <v>952</v>
      </c>
      <c r="AG132" s="627">
        <v>7089987986</v>
      </c>
      <c r="AH132" s="494" t="s">
        <v>953</v>
      </c>
      <c r="AI132" s="625" t="s">
        <v>955</v>
      </c>
      <c r="AJ132" s="627">
        <v>73040</v>
      </c>
      <c r="AK132" s="623" t="s">
        <v>956</v>
      </c>
      <c r="AL132" s="627">
        <v>7087431691</v>
      </c>
      <c r="AM132" s="494" t="s">
        <v>786</v>
      </c>
      <c r="AN132" s="625" t="s">
        <v>901</v>
      </c>
      <c r="AO132" s="627">
        <v>22230</v>
      </c>
      <c r="AP132" s="623" t="s">
        <v>882</v>
      </c>
      <c r="AQ132" s="627">
        <v>7089327433</v>
      </c>
    </row>
    <row r="133" spans="1:43" ht="15" customHeight="1" x14ac:dyDescent="0.25">
      <c r="A133" s="625">
        <v>132</v>
      </c>
      <c r="B133" s="494" t="s">
        <v>944</v>
      </c>
      <c r="C133" s="625">
        <v>1012</v>
      </c>
      <c r="D133" s="494" t="s">
        <v>970</v>
      </c>
      <c r="E133" s="627">
        <v>9504643</v>
      </c>
      <c r="F133" s="627">
        <v>73087</v>
      </c>
      <c r="G133" s="494" t="s">
        <v>975</v>
      </c>
      <c r="S133" s="629">
        <f t="shared" si="4"/>
        <v>0.39583333333333331</v>
      </c>
      <c r="T133" s="629">
        <f t="shared" si="5"/>
        <v>0.41666666666666663</v>
      </c>
      <c r="U133" s="494" t="s">
        <v>909</v>
      </c>
      <c r="V133" s="620" t="str">
        <f>Combined_tables[[#This Row],[TimeSlot_Start_text]]</f>
        <v>0930</v>
      </c>
      <c r="W133" s="621" t="s">
        <v>432</v>
      </c>
      <c r="X133" s="621"/>
      <c r="Y133" s="621"/>
      <c r="Z133" s="621"/>
      <c r="AA133" s="621"/>
      <c r="AB133" s="494" t="s">
        <v>1086</v>
      </c>
      <c r="AC133" s="494" t="s">
        <v>949</v>
      </c>
      <c r="AD133" s="625" t="s">
        <v>950</v>
      </c>
      <c r="AE133" s="627">
        <v>73104</v>
      </c>
      <c r="AF133" s="623" t="s">
        <v>952</v>
      </c>
      <c r="AG133" s="627">
        <v>7089987986</v>
      </c>
      <c r="AH133" s="494" t="s">
        <v>953</v>
      </c>
      <c r="AI133" s="625" t="s">
        <v>955</v>
      </c>
      <c r="AJ133" s="627">
        <v>73040</v>
      </c>
      <c r="AK133" s="623" t="s">
        <v>956</v>
      </c>
      <c r="AL133" s="627">
        <v>7087431691</v>
      </c>
      <c r="AM133" s="494" t="s">
        <v>786</v>
      </c>
      <c r="AN133" s="625" t="s">
        <v>901</v>
      </c>
      <c r="AO133" s="627">
        <v>22230</v>
      </c>
      <c r="AP133" s="623" t="s">
        <v>882</v>
      </c>
      <c r="AQ133" s="627">
        <v>7089327433</v>
      </c>
    </row>
    <row r="134" spans="1:43" x14ac:dyDescent="0.25">
      <c r="A134" s="625">
        <v>133</v>
      </c>
      <c r="B134" s="494" t="s">
        <v>944</v>
      </c>
      <c r="C134" s="625">
        <v>1012</v>
      </c>
      <c r="D134" s="494" t="s">
        <v>970</v>
      </c>
      <c r="E134" s="627">
        <v>9504643</v>
      </c>
      <c r="F134" s="627">
        <v>73087</v>
      </c>
      <c r="G134" s="494" t="s">
        <v>975</v>
      </c>
      <c r="S134" s="629">
        <f t="shared" si="4"/>
        <v>0.41666666666666669</v>
      </c>
      <c r="T134" s="629">
        <f t="shared" si="5"/>
        <v>0.4375</v>
      </c>
      <c r="U134" s="494" t="s">
        <v>910</v>
      </c>
      <c r="V134" s="620" t="str">
        <f>Combined_tables[[#This Row],[TimeSlot_Start_text]]</f>
        <v>1000</v>
      </c>
      <c r="W134" s="621" t="s">
        <v>432</v>
      </c>
      <c r="X134" s="621" t="s">
        <v>380</v>
      </c>
      <c r="Y134" s="621" t="s">
        <v>380</v>
      </c>
      <c r="Z134" s="621" t="s">
        <v>435</v>
      </c>
      <c r="AA134" s="621"/>
      <c r="AB134" s="494" t="s">
        <v>1073</v>
      </c>
      <c r="AC134" s="494" t="s">
        <v>949</v>
      </c>
      <c r="AD134" s="625" t="s">
        <v>950</v>
      </c>
      <c r="AE134" s="627">
        <v>73104</v>
      </c>
      <c r="AF134" s="623" t="s">
        <v>952</v>
      </c>
      <c r="AG134" s="627">
        <v>7089987986</v>
      </c>
      <c r="AH134" s="494" t="s">
        <v>953</v>
      </c>
      <c r="AI134" s="625" t="s">
        <v>955</v>
      </c>
      <c r="AJ134" s="627">
        <v>73040</v>
      </c>
      <c r="AK134" s="623" t="s">
        <v>956</v>
      </c>
      <c r="AL134" s="627">
        <v>7087431691</v>
      </c>
      <c r="AM134" s="494" t="s">
        <v>786</v>
      </c>
      <c r="AN134" s="625" t="s">
        <v>901</v>
      </c>
      <c r="AO134" s="627">
        <v>22230</v>
      </c>
      <c r="AP134" s="623" t="s">
        <v>882</v>
      </c>
      <c r="AQ134" s="627">
        <v>7089327433</v>
      </c>
    </row>
    <row r="135" spans="1:43" x14ac:dyDescent="0.25">
      <c r="A135" s="625">
        <v>134</v>
      </c>
      <c r="B135" s="494" t="s">
        <v>944</v>
      </c>
      <c r="C135" s="625">
        <v>1012</v>
      </c>
      <c r="D135" s="494" t="s">
        <v>970</v>
      </c>
      <c r="E135" s="627">
        <v>9504643</v>
      </c>
      <c r="F135" s="627">
        <v>73087</v>
      </c>
      <c r="G135" s="494" t="s">
        <v>975</v>
      </c>
      <c r="S135" s="629">
        <f t="shared" si="4"/>
        <v>0.4375</v>
      </c>
      <c r="T135" s="629">
        <f t="shared" si="5"/>
        <v>0.45833333333333331</v>
      </c>
      <c r="U135" s="494" t="s">
        <v>911</v>
      </c>
      <c r="V135" s="620" t="str">
        <f>Combined_tables[[#This Row],[TimeSlot_Start_text]]</f>
        <v>1030</v>
      </c>
      <c r="W135" s="621" t="s">
        <v>432</v>
      </c>
      <c r="X135" s="621"/>
      <c r="Y135" s="621"/>
      <c r="Z135" s="621" t="s">
        <v>435</v>
      </c>
      <c r="AA135" s="621"/>
      <c r="AB135" s="494" t="s">
        <v>1074</v>
      </c>
      <c r="AC135" s="494" t="s">
        <v>949</v>
      </c>
      <c r="AD135" s="625" t="s">
        <v>950</v>
      </c>
      <c r="AE135" s="627">
        <v>73104</v>
      </c>
      <c r="AF135" s="623" t="s">
        <v>952</v>
      </c>
      <c r="AG135" s="627">
        <v>7089987986</v>
      </c>
      <c r="AH135" s="494" t="s">
        <v>953</v>
      </c>
      <c r="AI135" s="625" t="s">
        <v>955</v>
      </c>
      <c r="AJ135" s="627">
        <v>73040</v>
      </c>
      <c r="AK135" s="623" t="s">
        <v>956</v>
      </c>
      <c r="AL135" s="627">
        <v>7087431691</v>
      </c>
      <c r="AM135" s="494" t="s">
        <v>786</v>
      </c>
      <c r="AN135" s="625" t="s">
        <v>901</v>
      </c>
      <c r="AO135" s="627">
        <v>22230</v>
      </c>
      <c r="AP135" s="623" t="s">
        <v>882</v>
      </c>
      <c r="AQ135" s="627">
        <v>7089327433</v>
      </c>
    </row>
    <row r="136" spans="1:43" x14ac:dyDescent="0.25">
      <c r="A136" s="625">
        <v>135</v>
      </c>
      <c r="B136" s="494" t="s">
        <v>944</v>
      </c>
      <c r="C136" s="625">
        <v>1012</v>
      </c>
      <c r="D136" s="494" t="s">
        <v>970</v>
      </c>
      <c r="E136" s="627">
        <v>9504643</v>
      </c>
      <c r="F136" s="627">
        <v>73087</v>
      </c>
      <c r="G136" s="494" t="s">
        <v>975</v>
      </c>
      <c r="S136" s="629">
        <f t="shared" si="4"/>
        <v>0.45833333333333331</v>
      </c>
      <c r="T136" s="629">
        <f t="shared" si="5"/>
        <v>0.47916666666666663</v>
      </c>
      <c r="U136" s="494" t="s">
        <v>912</v>
      </c>
      <c r="V136" s="620" t="str">
        <f>Combined_tables[[#This Row],[TimeSlot_Start_text]]</f>
        <v>1100</v>
      </c>
      <c r="W136" s="621" t="s">
        <v>432</v>
      </c>
      <c r="X136" s="621"/>
      <c r="Y136" s="621"/>
      <c r="Z136" s="621" t="s">
        <v>435</v>
      </c>
      <c r="AA136" s="621"/>
      <c r="AB136" s="494" t="s">
        <v>1076</v>
      </c>
      <c r="AC136" s="494" t="s">
        <v>949</v>
      </c>
      <c r="AD136" s="625" t="s">
        <v>950</v>
      </c>
      <c r="AE136" s="627">
        <v>73104</v>
      </c>
      <c r="AF136" s="623" t="s">
        <v>952</v>
      </c>
      <c r="AG136" s="627">
        <v>7089987986</v>
      </c>
      <c r="AH136" s="494" t="s">
        <v>953</v>
      </c>
      <c r="AI136" s="625" t="s">
        <v>955</v>
      </c>
      <c r="AJ136" s="627">
        <v>73040</v>
      </c>
      <c r="AK136" s="623" t="s">
        <v>956</v>
      </c>
      <c r="AL136" s="627">
        <v>7087431691</v>
      </c>
      <c r="AM136" s="494" t="s">
        <v>786</v>
      </c>
      <c r="AN136" s="625" t="s">
        <v>901</v>
      </c>
      <c r="AO136" s="627">
        <v>22230</v>
      </c>
      <c r="AP136" s="623" t="s">
        <v>882</v>
      </c>
      <c r="AQ136" s="627">
        <v>7089327433</v>
      </c>
    </row>
    <row r="137" spans="1:43" x14ac:dyDescent="0.25">
      <c r="A137" s="625">
        <v>136</v>
      </c>
      <c r="B137" s="494" t="s">
        <v>944</v>
      </c>
      <c r="C137" s="625">
        <v>1012</v>
      </c>
      <c r="D137" s="494" t="s">
        <v>970</v>
      </c>
      <c r="E137" s="627">
        <v>9504643</v>
      </c>
      <c r="F137" s="627">
        <v>73087</v>
      </c>
      <c r="G137" s="494" t="s">
        <v>975</v>
      </c>
      <c r="S137" s="629">
        <f t="shared" si="4"/>
        <v>0.47916666666666669</v>
      </c>
      <c r="T137" s="629">
        <f t="shared" si="5"/>
        <v>0.5</v>
      </c>
      <c r="U137" s="494" t="s">
        <v>913</v>
      </c>
      <c r="V137" s="620" t="str">
        <f>Combined_tables[[#This Row],[TimeSlot_Start_text]]</f>
        <v>1130</v>
      </c>
      <c r="W137" s="621" t="s">
        <v>432</v>
      </c>
      <c r="X137" s="621"/>
      <c r="Y137" s="621"/>
      <c r="Z137" s="621" t="s">
        <v>435</v>
      </c>
      <c r="AA137" s="621"/>
      <c r="AB137" s="494" t="s">
        <v>1075</v>
      </c>
      <c r="AC137" s="494" t="s">
        <v>949</v>
      </c>
      <c r="AD137" s="625" t="s">
        <v>950</v>
      </c>
      <c r="AE137" s="627">
        <v>73104</v>
      </c>
      <c r="AF137" s="623" t="s">
        <v>952</v>
      </c>
      <c r="AG137" s="627">
        <v>7089987986</v>
      </c>
      <c r="AH137" s="494" t="s">
        <v>953</v>
      </c>
      <c r="AI137" s="625" t="s">
        <v>955</v>
      </c>
      <c r="AJ137" s="627">
        <v>73040</v>
      </c>
      <c r="AK137" s="623" t="s">
        <v>956</v>
      </c>
      <c r="AL137" s="627">
        <v>7087431691</v>
      </c>
      <c r="AM137" s="494" t="s">
        <v>786</v>
      </c>
      <c r="AN137" s="625" t="s">
        <v>901</v>
      </c>
      <c r="AO137" s="627">
        <v>22230</v>
      </c>
      <c r="AP137" s="623" t="s">
        <v>882</v>
      </c>
      <c r="AQ137" s="627">
        <v>7089327433</v>
      </c>
    </row>
    <row r="138" spans="1:43" ht="15" customHeight="1" x14ac:dyDescent="0.25">
      <c r="A138" s="625">
        <v>137</v>
      </c>
      <c r="B138" s="494" t="s">
        <v>944</v>
      </c>
      <c r="C138" s="625">
        <v>1012</v>
      </c>
      <c r="D138" s="494" t="s">
        <v>970</v>
      </c>
      <c r="E138" s="627">
        <v>9504643</v>
      </c>
      <c r="F138" s="627">
        <v>73087</v>
      </c>
      <c r="G138" s="494" t="s">
        <v>975</v>
      </c>
      <c r="S138" s="629">
        <f t="shared" si="4"/>
        <v>0.5</v>
      </c>
      <c r="T138" s="629">
        <f t="shared" si="5"/>
        <v>0.52083333333333337</v>
      </c>
      <c r="U138" s="494" t="s">
        <v>914</v>
      </c>
      <c r="V138" s="620" t="str">
        <f>Combined_tables[[#This Row],[TimeSlot_Start_text]]</f>
        <v>1200</v>
      </c>
      <c r="W138" s="621" t="s">
        <v>354</v>
      </c>
      <c r="X138" s="621" t="s">
        <v>354</v>
      </c>
      <c r="Y138" s="621" t="s">
        <v>354</v>
      </c>
      <c r="Z138" s="621" t="s">
        <v>354</v>
      </c>
      <c r="AA138" s="621" t="s">
        <v>354</v>
      </c>
      <c r="AB138" s="494" t="s">
        <v>1077</v>
      </c>
      <c r="AC138" s="494" t="s">
        <v>949</v>
      </c>
      <c r="AD138" s="625" t="s">
        <v>950</v>
      </c>
      <c r="AE138" s="627">
        <v>73104</v>
      </c>
      <c r="AF138" s="623" t="s">
        <v>952</v>
      </c>
      <c r="AG138" s="627">
        <v>7089987986</v>
      </c>
      <c r="AH138" s="494" t="s">
        <v>953</v>
      </c>
      <c r="AI138" s="625" t="s">
        <v>955</v>
      </c>
      <c r="AJ138" s="627">
        <v>73040</v>
      </c>
      <c r="AK138" s="623" t="s">
        <v>956</v>
      </c>
      <c r="AL138" s="627">
        <v>7087431691</v>
      </c>
      <c r="AM138" s="494" t="s">
        <v>786</v>
      </c>
      <c r="AN138" s="625" t="s">
        <v>901</v>
      </c>
      <c r="AO138" s="627">
        <v>22230</v>
      </c>
      <c r="AP138" s="623" t="s">
        <v>882</v>
      </c>
      <c r="AQ138" s="627">
        <v>7089327433</v>
      </c>
    </row>
    <row r="139" spans="1:43" ht="15.75" customHeight="1" x14ac:dyDescent="0.25">
      <c r="A139" s="625">
        <v>138</v>
      </c>
      <c r="B139" s="494" t="s">
        <v>944</v>
      </c>
      <c r="C139" s="625">
        <v>1012</v>
      </c>
      <c r="D139" s="494" t="s">
        <v>970</v>
      </c>
      <c r="E139" s="627">
        <v>9504643</v>
      </c>
      <c r="F139" s="627">
        <v>73087</v>
      </c>
      <c r="G139" s="494" t="s">
        <v>975</v>
      </c>
      <c r="S139" s="629">
        <f t="shared" si="4"/>
        <v>0.52083333333333337</v>
      </c>
      <c r="T139" s="629">
        <f t="shared" si="5"/>
        <v>0.54166666666666674</v>
      </c>
      <c r="U139" s="494" t="s">
        <v>915</v>
      </c>
      <c r="V139" s="620" t="str">
        <f>Combined_tables[[#This Row],[TimeSlot_Start_text]]</f>
        <v>1230</v>
      </c>
      <c r="W139" s="621" t="s">
        <v>354</v>
      </c>
      <c r="X139" s="621" t="s">
        <v>354</v>
      </c>
      <c r="Y139" s="621" t="s">
        <v>354</v>
      </c>
      <c r="Z139" s="621" t="s">
        <v>354</v>
      </c>
      <c r="AA139" s="621" t="s">
        <v>354</v>
      </c>
      <c r="AB139" s="494" t="s">
        <v>1078</v>
      </c>
      <c r="AC139" s="494" t="s">
        <v>949</v>
      </c>
      <c r="AD139" s="625" t="s">
        <v>950</v>
      </c>
      <c r="AE139" s="627">
        <v>73104</v>
      </c>
      <c r="AF139" s="623" t="s">
        <v>952</v>
      </c>
      <c r="AG139" s="627">
        <v>7089987986</v>
      </c>
      <c r="AH139" s="494" t="s">
        <v>953</v>
      </c>
      <c r="AI139" s="625" t="s">
        <v>955</v>
      </c>
      <c r="AJ139" s="627">
        <v>73040</v>
      </c>
      <c r="AK139" s="623" t="s">
        <v>956</v>
      </c>
      <c r="AL139" s="627">
        <v>7087431691</v>
      </c>
      <c r="AM139" s="494" t="s">
        <v>786</v>
      </c>
      <c r="AN139" s="625" t="s">
        <v>901</v>
      </c>
      <c r="AO139" s="627">
        <v>22230</v>
      </c>
      <c r="AP139" s="623" t="s">
        <v>882</v>
      </c>
      <c r="AQ139" s="627">
        <v>7089327433</v>
      </c>
    </row>
    <row r="140" spans="1:43" x14ac:dyDescent="0.25">
      <c r="A140" s="625">
        <v>139</v>
      </c>
      <c r="B140" s="494" t="s">
        <v>944</v>
      </c>
      <c r="C140" s="625">
        <v>1012</v>
      </c>
      <c r="D140" s="494" t="s">
        <v>970</v>
      </c>
      <c r="E140" s="627">
        <v>9504643</v>
      </c>
      <c r="F140" s="627">
        <v>73087</v>
      </c>
      <c r="G140" s="494" t="s">
        <v>975</v>
      </c>
      <c r="S140" s="629">
        <f t="shared" si="4"/>
        <v>0.54166666666666663</v>
      </c>
      <c r="T140" s="629">
        <f t="shared" si="5"/>
        <v>0.5625</v>
      </c>
      <c r="U140" s="494" t="s">
        <v>916</v>
      </c>
      <c r="V140" s="620" t="str">
        <f>Combined_tables[[#This Row],[TimeSlot_Start_text]]</f>
        <v>1300</v>
      </c>
      <c r="W140" s="621"/>
      <c r="X140" s="621" t="s">
        <v>380</v>
      </c>
      <c r="Y140" s="621" t="s">
        <v>381</v>
      </c>
      <c r="Z140" s="621"/>
      <c r="AA140" s="621"/>
      <c r="AB140" s="494" t="s">
        <v>1071</v>
      </c>
      <c r="AC140" s="494" t="s">
        <v>949</v>
      </c>
      <c r="AD140" s="625" t="s">
        <v>950</v>
      </c>
      <c r="AE140" s="627">
        <v>73104</v>
      </c>
      <c r="AF140" s="623" t="s">
        <v>952</v>
      </c>
      <c r="AG140" s="627">
        <v>7089987986</v>
      </c>
      <c r="AH140" s="494" t="s">
        <v>953</v>
      </c>
      <c r="AI140" s="625" t="s">
        <v>955</v>
      </c>
      <c r="AJ140" s="627">
        <v>73040</v>
      </c>
      <c r="AK140" s="623" t="s">
        <v>956</v>
      </c>
      <c r="AL140" s="627">
        <v>7087431691</v>
      </c>
      <c r="AM140" s="494" t="s">
        <v>786</v>
      </c>
      <c r="AN140" s="625" t="s">
        <v>901</v>
      </c>
      <c r="AO140" s="627">
        <v>22230</v>
      </c>
      <c r="AP140" s="623" t="s">
        <v>882</v>
      </c>
      <c r="AQ140" s="627">
        <v>7089327433</v>
      </c>
    </row>
    <row r="141" spans="1:43" x14ac:dyDescent="0.25">
      <c r="A141" s="625">
        <v>140</v>
      </c>
      <c r="B141" s="494" t="s">
        <v>944</v>
      </c>
      <c r="C141" s="625">
        <v>1012</v>
      </c>
      <c r="D141" s="494" t="s">
        <v>970</v>
      </c>
      <c r="E141" s="627">
        <v>9504643</v>
      </c>
      <c r="F141" s="627">
        <v>73087</v>
      </c>
      <c r="G141" s="494" t="s">
        <v>975</v>
      </c>
      <c r="S141" s="629">
        <f t="shared" si="4"/>
        <v>0.5625</v>
      </c>
      <c r="T141" s="629">
        <f t="shared" si="5"/>
        <v>0.58333333333333337</v>
      </c>
      <c r="U141" s="494" t="s">
        <v>917</v>
      </c>
      <c r="V141" s="620" t="str">
        <f>Combined_tables[[#This Row],[TimeSlot_Start_text]]</f>
        <v>1330</v>
      </c>
      <c r="W141" s="621"/>
      <c r="X141" s="621"/>
      <c r="Y141" s="621"/>
      <c r="Z141" s="621"/>
      <c r="AA141" s="621"/>
      <c r="AB141" s="494" t="s">
        <v>1072</v>
      </c>
      <c r="AC141" s="494" t="s">
        <v>949</v>
      </c>
      <c r="AD141" s="625" t="s">
        <v>950</v>
      </c>
      <c r="AE141" s="627">
        <v>73104</v>
      </c>
      <c r="AF141" s="623" t="s">
        <v>952</v>
      </c>
      <c r="AG141" s="627">
        <v>7089987986</v>
      </c>
      <c r="AH141" s="494" t="s">
        <v>953</v>
      </c>
      <c r="AI141" s="625" t="s">
        <v>955</v>
      </c>
      <c r="AJ141" s="627">
        <v>73040</v>
      </c>
      <c r="AK141" s="623" t="s">
        <v>956</v>
      </c>
      <c r="AL141" s="627">
        <v>7087431691</v>
      </c>
      <c r="AM141" s="494" t="s">
        <v>786</v>
      </c>
      <c r="AN141" s="625" t="s">
        <v>901</v>
      </c>
      <c r="AO141" s="627">
        <v>22230</v>
      </c>
      <c r="AP141" s="623" t="s">
        <v>882</v>
      </c>
      <c r="AQ141" s="627">
        <v>7089327433</v>
      </c>
    </row>
    <row r="142" spans="1:43" x14ac:dyDescent="0.25">
      <c r="A142" s="625">
        <v>141</v>
      </c>
      <c r="B142" s="494" t="s">
        <v>944</v>
      </c>
      <c r="C142" s="625">
        <v>1012</v>
      </c>
      <c r="D142" s="494" t="s">
        <v>970</v>
      </c>
      <c r="E142" s="627">
        <v>9504643</v>
      </c>
      <c r="F142" s="627">
        <v>73087</v>
      </c>
      <c r="G142" s="494" t="s">
        <v>975</v>
      </c>
      <c r="S142" s="629">
        <f t="shared" si="4"/>
        <v>0.58333333333333337</v>
      </c>
      <c r="T142" s="629">
        <f t="shared" si="5"/>
        <v>0.60416666666666674</v>
      </c>
      <c r="U142" s="494" t="s">
        <v>918</v>
      </c>
      <c r="V142" s="620" t="str">
        <f>Combined_tables[[#This Row],[TimeSlot_Start_text]]</f>
        <v>1400</v>
      </c>
      <c r="W142" s="621" t="s">
        <v>380</v>
      </c>
      <c r="X142" s="621"/>
      <c r="Y142" s="621"/>
      <c r="Z142" s="621"/>
      <c r="AA142" s="621"/>
      <c r="AB142" s="494" t="s">
        <v>1079</v>
      </c>
      <c r="AC142" s="494" t="s">
        <v>949</v>
      </c>
      <c r="AD142" s="625" t="s">
        <v>950</v>
      </c>
      <c r="AE142" s="627">
        <v>73104</v>
      </c>
      <c r="AF142" s="623" t="s">
        <v>952</v>
      </c>
      <c r="AG142" s="627">
        <v>7089987986</v>
      </c>
      <c r="AH142" s="494" t="s">
        <v>953</v>
      </c>
      <c r="AI142" s="625" t="s">
        <v>955</v>
      </c>
      <c r="AJ142" s="627">
        <v>73040</v>
      </c>
      <c r="AK142" s="623" t="s">
        <v>956</v>
      </c>
      <c r="AL142" s="627">
        <v>7087431691</v>
      </c>
      <c r="AM142" s="494" t="s">
        <v>786</v>
      </c>
      <c r="AN142" s="625" t="s">
        <v>901</v>
      </c>
      <c r="AO142" s="627">
        <v>22230</v>
      </c>
      <c r="AP142" s="623" t="s">
        <v>882</v>
      </c>
      <c r="AQ142" s="627">
        <v>7089327433</v>
      </c>
    </row>
    <row r="143" spans="1:43" x14ac:dyDescent="0.25">
      <c r="A143" s="625">
        <v>142</v>
      </c>
      <c r="B143" s="494" t="s">
        <v>944</v>
      </c>
      <c r="C143" s="625">
        <v>1012</v>
      </c>
      <c r="D143" s="494" t="s">
        <v>970</v>
      </c>
      <c r="E143" s="627">
        <v>9504643</v>
      </c>
      <c r="F143" s="627">
        <v>73087</v>
      </c>
      <c r="G143" s="494" t="s">
        <v>975</v>
      </c>
      <c r="S143" s="629">
        <f t="shared" si="4"/>
        <v>0.60416666666666663</v>
      </c>
      <c r="T143" s="629">
        <f t="shared" si="5"/>
        <v>0.625</v>
      </c>
      <c r="U143" s="494" t="s">
        <v>919</v>
      </c>
      <c r="V143" s="620" t="str">
        <f>Combined_tables[[#This Row],[TimeSlot_Start_text]]</f>
        <v>1430</v>
      </c>
      <c r="W143" s="621"/>
      <c r="X143" s="621" t="s">
        <v>446</v>
      </c>
      <c r="Y143" s="621"/>
      <c r="Z143" s="621"/>
      <c r="AA143" s="621" t="s">
        <v>446</v>
      </c>
      <c r="AB143" s="494" t="s">
        <v>1080</v>
      </c>
      <c r="AC143" s="494" t="s">
        <v>949</v>
      </c>
      <c r="AD143" s="625" t="s">
        <v>950</v>
      </c>
      <c r="AE143" s="627">
        <v>73104</v>
      </c>
      <c r="AF143" s="623" t="s">
        <v>952</v>
      </c>
      <c r="AG143" s="627">
        <v>7089987986</v>
      </c>
      <c r="AH143" s="494" t="s">
        <v>953</v>
      </c>
      <c r="AI143" s="625" t="s">
        <v>955</v>
      </c>
      <c r="AJ143" s="627">
        <v>73040</v>
      </c>
      <c r="AK143" s="623" t="s">
        <v>956</v>
      </c>
      <c r="AL143" s="627">
        <v>7087431691</v>
      </c>
      <c r="AM143" s="494" t="s">
        <v>786</v>
      </c>
      <c r="AN143" s="625" t="s">
        <v>901</v>
      </c>
      <c r="AO143" s="627">
        <v>22230</v>
      </c>
      <c r="AP143" s="623" t="s">
        <v>882</v>
      </c>
      <c r="AQ143" s="627">
        <v>7089327433</v>
      </c>
    </row>
    <row r="144" spans="1:43" x14ac:dyDescent="0.25">
      <c r="A144" s="625">
        <v>143</v>
      </c>
      <c r="B144" s="494" t="s">
        <v>944</v>
      </c>
      <c r="C144" s="625">
        <v>1012</v>
      </c>
      <c r="D144" s="494" t="s">
        <v>970</v>
      </c>
      <c r="E144" s="627">
        <v>9504643</v>
      </c>
      <c r="F144" s="627">
        <v>73087</v>
      </c>
      <c r="G144" s="494" t="s">
        <v>975</v>
      </c>
      <c r="S144" s="629">
        <f t="shared" si="4"/>
        <v>0.625</v>
      </c>
      <c r="T144" s="629">
        <f t="shared" si="5"/>
        <v>0.64583333333333337</v>
      </c>
      <c r="U144" s="494" t="s">
        <v>920</v>
      </c>
      <c r="V144" s="620" t="str">
        <f>Combined_tables[[#This Row],[TimeSlot_Start_text]]</f>
        <v>1500</v>
      </c>
      <c r="W144" s="621"/>
      <c r="X144" s="621" t="s">
        <v>446</v>
      </c>
      <c r="Y144" s="621"/>
      <c r="Z144" s="621" t="s">
        <v>380</v>
      </c>
      <c r="AA144" s="621" t="s">
        <v>446</v>
      </c>
      <c r="AB144" s="494" t="s">
        <v>1081</v>
      </c>
      <c r="AC144" s="494" t="s">
        <v>949</v>
      </c>
      <c r="AD144" s="625" t="s">
        <v>950</v>
      </c>
      <c r="AE144" s="627">
        <v>73104</v>
      </c>
      <c r="AF144" s="623" t="s">
        <v>952</v>
      </c>
      <c r="AG144" s="627">
        <v>7089987986</v>
      </c>
      <c r="AH144" s="494" t="s">
        <v>953</v>
      </c>
      <c r="AI144" s="625" t="s">
        <v>955</v>
      </c>
      <c r="AJ144" s="627">
        <v>73040</v>
      </c>
      <c r="AK144" s="623" t="s">
        <v>956</v>
      </c>
      <c r="AL144" s="627">
        <v>7087431691</v>
      </c>
      <c r="AM144" s="494" t="s">
        <v>786</v>
      </c>
      <c r="AN144" s="625" t="s">
        <v>901</v>
      </c>
      <c r="AO144" s="627">
        <v>22230</v>
      </c>
      <c r="AP144" s="623" t="s">
        <v>882</v>
      </c>
      <c r="AQ144" s="627">
        <v>7089327433</v>
      </c>
    </row>
    <row r="145" spans="1:43" x14ac:dyDescent="0.25">
      <c r="A145" s="625">
        <v>144</v>
      </c>
      <c r="B145" s="494" t="s">
        <v>944</v>
      </c>
      <c r="C145" s="625">
        <v>1012</v>
      </c>
      <c r="D145" s="494" t="s">
        <v>970</v>
      </c>
      <c r="E145" s="627">
        <v>9504643</v>
      </c>
      <c r="F145" s="627">
        <v>73087</v>
      </c>
      <c r="G145" s="494" t="s">
        <v>975</v>
      </c>
      <c r="S145" s="629">
        <f t="shared" si="4"/>
        <v>0.64583333333333337</v>
      </c>
      <c r="T145" s="629">
        <f t="shared" si="5"/>
        <v>0.66666666666666674</v>
      </c>
      <c r="U145" s="494" t="s">
        <v>921</v>
      </c>
      <c r="V145" s="620" t="str">
        <f>Combined_tables[[#This Row],[TimeSlot_Start_text]]</f>
        <v>1530</v>
      </c>
      <c r="W145" s="621"/>
      <c r="X145" s="621" t="s">
        <v>446</v>
      </c>
      <c r="Y145" s="621"/>
      <c r="Z145" s="621"/>
      <c r="AA145" s="621" t="s">
        <v>446</v>
      </c>
      <c r="AB145" s="494" t="s">
        <v>1082</v>
      </c>
      <c r="AC145" s="494" t="s">
        <v>949</v>
      </c>
      <c r="AD145" s="625" t="s">
        <v>950</v>
      </c>
      <c r="AE145" s="627">
        <v>73104</v>
      </c>
      <c r="AF145" s="623" t="s">
        <v>952</v>
      </c>
      <c r="AG145" s="627">
        <v>7089987986</v>
      </c>
      <c r="AH145" s="494" t="s">
        <v>953</v>
      </c>
      <c r="AI145" s="625" t="s">
        <v>955</v>
      </c>
      <c r="AJ145" s="627">
        <v>73040</v>
      </c>
      <c r="AK145" s="623" t="s">
        <v>956</v>
      </c>
      <c r="AL145" s="627">
        <v>7087431691</v>
      </c>
      <c r="AM145" s="494" t="s">
        <v>786</v>
      </c>
      <c r="AN145" s="625" t="s">
        <v>901</v>
      </c>
      <c r="AO145" s="627">
        <v>22230</v>
      </c>
      <c r="AP145" s="623" t="s">
        <v>882</v>
      </c>
      <c r="AQ145" s="627">
        <v>7089327433</v>
      </c>
    </row>
    <row r="146" spans="1:43" ht="15" customHeight="1" x14ac:dyDescent="0.25">
      <c r="A146" s="625">
        <v>145</v>
      </c>
      <c r="B146" s="494" t="s">
        <v>944</v>
      </c>
      <c r="C146" s="625">
        <v>1013</v>
      </c>
      <c r="D146" s="494" t="s">
        <v>985</v>
      </c>
      <c r="E146" s="627">
        <v>9504644</v>
      </c>
      <c r="F146" s="627">
        <v>73088</v>
      </c>
      <c r="G146" s="494" t="s">
        <v>989</v>
      </c>
      <c r="S146" s="629">
        <f t="shared" si="4"/>
        <v>0.33333333333333331</v>
      </c>
      <c r="T146" s="629">
        <f t="shared" si="5"/>
        <v>0.35416666666666663</v>
      </c>
      <c r="U146" s="494" t="s">
        <v>906</v>
      </c>
      <c r="V146" s="620" t="str">
        <f>Combined_tables[[#This Row],[TimeSlot_Start_text]]</f>
        <v>0800</v>
      </c>
      <c r="W146" s="621" t="s">
        <v>426</v>
      </c>
      <c r="X146" s="621"/>
      <c r="Y146" s="621" t="s">
        <v>426</v>
      </c>
      <c r="Z146" s="621" t="s">
        <v>427</v>
      </c>
      <c r="AA146" s="621"/>
      <c r="AB146" s="494" t="s">
        <v>1083</v>
      </c>
      <c r="AC146" s="494" t="s">
        <v>949</v>
      </c>
      <c r="AD146" s="625" t="s">
        <v>950</v>
      </c>
      <c r="AE146" s="627">
        <v>73104</v>
      </c>
      <c r="AF146" s="623" t="s">
        <v>952</v>
      </c>
      <c r="AG146" s="627">
        <v>7089987986</v>
      </c>
      <c r="AH146" s="494" t="s">
        <v>953</v>
      </c>
      <c r="AI146" s="625" t="s">
        <v>955</v>
      </c>
      <c r="AJ146" s="627">
        <v>73040</v>
      </c>
      <c r="AK146" s="623" t="s">
        <v>956</v>
      </c>
      <c r="AL146" s="627">
        <v>7087431691</v>
      </c>
      <c r="AM146" s="494" t="s">
        <v>786</v>
      </c>
      <c r="AN146" s="625" t="s">
        <v>901</v>
      </c>
      <c r="AO146" s="627">
        <v>22230</v>
      </c>
      <c r="AP146" s="623" t="s">
        <v>882</v>
      </c>
      <c r="AQ146" s="627">
        <v>7089327433</v>
      </c>
    </row>
    <row r="147" spans="1:43" ht="15" customHeight="1" x14ac:dyDescent="0.25">
      <c r="A147" s="625">
        <v>146</v>
      </c>
      <c r="B147" s="494" t="s">
        <v>944</v>
      </c>
      <c r="C147" s="625">
        <v>1013</v>
      </c>
      <c r="D147" s="494" t="s">
        <v>985</v>
      </c>
      <c r="E147" s="627">
        <v>9504644</v>
      </c>
      <c r="F147" s="627">
        <v>73088</v>
      </c>
      <c r="G147" s="494" t="s">
        <v>989</v>
      </c>
      <c r="S147" s="629">
        <f t="shared" si="4"/>
        <v>0.35416666666666669</v>
      </c>
      <c r="T147" s="629">
        <f t="shared" si="5"/>
        <v>0.375</v>
      </c>
      <c r="U147" s="494" t="s">
        <v>907</v>
      </c>
      <c r="V147" s="620" t="str">
        <f>Combined_tables[[#This Row],[TimeSlot_Start_text]]</f>
        <v>0830</v>
      </c>
      <c r="W147" s="621" t="s">
        <v>426</v>
      </c>
      <c r="X147" s="621"/>
      <c r="Y147" s="621" t="s">
        <v>426</v>
      </c>
      <c r="Z147" s="621" t="s">
        <v>427</v>
      </c>
      <c r="AA147" s="621" t="s">
        <v>427</v>
      </c>
      <c r="AB147" s="494" t="s">
        <v>1084</v>
      </c>
      <c r="AC147" s="494" t="s">
        <v>949</v>
      </c>
      <c r="AD147" s="625" t="s">
        <v>950</v>
      </c>
      <c r="AE147" s="627">
        <v>73104</v>
      </c>
      <c r="AF147" s="623" t="s">
        <v>952</v>
      </c>
      <c r="AG147" s="627">
        <v>7089987986</v>
      </c>
      <c r="AH147" s="494" t="s">
        <v>953</v>
      </c>
      <c r="AI147" s="625" t="s">
        <v>955</v>
      </c>
      <c r="AJ147" s="627">
        <v>73040</v>
      </c>
      <c r="AK147" s="623" t="s">
        <v>956</v>
      </c>
      <c r="AL147" s="627">
        <v>7087431691</v>
      </c>
      <c r="AM147" s="494" t="s">
        <v>786</v>
      </c>
      <c r="AN147" s="625" t="s">
        <v>901</v>
      </c>
      <c r="AO147" s="627">
        <v>22230</v>
      </c>
      <c r="AP147" s="623" t="s">
        <v>882</v>
      </c>
      <c r="AQ147" s="627">
        <v>7089327433</v>
      </c>
    </row>
    <row r="148" spans="1:43" ht="15" customHeight="1" x14ac:dyDescent="0.25">
      <c r="A148" s="625">
        <v>147</v>
      </c>
      <c r="B148" s="494" t="s">
        <v>944</v>
      </c>
      <c r="C148" s="625">
        <v>1013</v>
      </c>
      <c r="D148" s="494" t="s">
        <v>985</v>
      </c>
      <c r="E148" s="627">
        <v>9504644</v>
      </c>
      <c r="F148" s="627">
        <v>73088</v>
      </c>
      <c r="G148" s="494" t="s">
        <v>989</v>
      </c>
      <c r="S148" s="629">
        <f t="shared" si="4"/>
        <v>0.375</v>
      </c>
      <c r="T148" s="629">
        <f t="shared" si="5"/>
        <v>0.39583333333333331</v>
      </c>
      <c r="U148" s="494" t="s">
        <v>908</v>
      </c>
      <c r="V148" s="620" t="str">
        <f>Combined_tables[[#This Row],[TimeSlot_Start_text]]</f>
        <v>0900</v>
      </c>
      <c r="W148" s="621" t="s">
        <v>426</v>
      </c>
      <c r="X148" s="621"/>
      <c r="Y148" s="621" t="s">
        <v>426</v>
      </c>
      <c r="Z148" s="621" t="s">
        <v>427</v>
      </c>
      <c r="AA148" s="621" t="s">
        <v>427</v>
      </c>
      <c r="AB148" s="494" t="s">
        <v>1085</v>
      </c>
      <c r="AC148" s="494" t="s">
        <v>949</v>
      </c>
      <c r="AD148" s="625" t="s">
        <v>950</v>
      </c>
      <c r="AE148" s="627">
        <v>73104</v>
      </c>
      <c r="AF148" s="623" t="s">
        <v>952</v>
      </c>
      <c r="AG148" s="627">
        <v>7089987986</v>
      </c>
      <c r="AH148" s="494" t="s">
        <v>953</v>
      </c>
      <c r="AI148" s="625" t="s">
        <v>955</v>
      </c>
      <c r="AJ148" s="627">
        <v>73040</v>
      </c>
      <c r="AK148" s="623" t="s">
        <v>956</v>
      </c>
      <c r="AL148" s="627">
        <v>7087431691</v>
      </c>
      <c r="AM148" s="494" t="s">
        <v>786</v>
      </c>
      <c r="AN148" s="625" t="s">
        <v>901</v>
      </c>
      <c r="AO148" s="627">
        <v>22230</v>
      </c>
      <c r="AP148" s="623" t="s">
        <v>882</v>
      </c>
      <c r="AQ148" s="627">
        <v>7089327433</v>
      </c>
    </row>
    <row r="149" spans="1:43" ht="15" customHeight="1" x14ac:dyDescent="0.25">
      <c r="A149" s="625">
        <v>148</v>
      </c>
      <c r="B149" s="494" t="s">
        <v>944</v>
      </c>
      <c r="C149" s="625">
        <v>1013</v>
      </c>
      <c r="D149" s="494" t="s">
        <v>985</v>
      </c>
      <c r="E149" s="627">
        <v>9504644</v>
      </c>
      <c r="F149" s="627">
        <v>73088</v>
      </c>
      <c r="G149" s="494" t="s">
        <v>989</v>
      </c>
      <c r="S149" s="629">
        <f t="shared" si="4"/>
        <v>0.39583333333333331</v>
      </c>
      <c r="T149" s="629">
        <f t="shared" si="5"/>
        <v>0.41666666666666663</v>
      </c>
      <c r="U149" s="494" t="s">
        <v>909</v>
      </c>
      <c r="V149" s="620" t="str">
        <f>Combined_tables[[#This Row],[TimeSlot_Start_text]]</f>
        <v>0930</v>
      </c>
      <c r="W149" s="621" t="s">
        <v>426</v>
      </c>
      <c r="X149" s="621"/>
      <c r="Y149" s="621" t="s">
        <v>426</v>
      </c>
      <c r="Z149" s="621" t="s">
        <v>427</v>
      </c>
      <c r="AA149" s="621" t="s">
        <v>427</v>
      </c>
      <c r="AB149" s="494" t="s">
        <v>1086</v>
      </c>
      <c r="AC149" s="494" t="s">
        <v>949</v>
      </c>
      <c r="AD149" s="625" t="s">
        <v>950</v>
      </c>
      <c r="AE149" s="627">
        <v>73104</v>
      </c>
      <c r="AF149" s="623" t="s">
        <v>952</v>
      </c>
      <c r="AG149" s="627">
        <v>7089987986</v>
      </c>
      <c r="AH149" s="494" t="s">
        <v>953</v>
      </c>
      <c r="AI149" s="625" t="s">
        <v>955</v>
      </c>
      <c r="AJ149" s="627">
        <v>73040</v>
      </c>
      <c r="AK149" s="623" t="s">
        <v>956</v>
      </c>
      <c r="AL149" s="627">
        <v>7087431691</v>
      </c>
      <c r="AM149" s="494" t="s">
        <v>786</v>
      </c>
      <c r="AN149" s="625" t="s">
        <v>901</v>
      </c>
      <c r="AO149" s="627">
        <v>22230</v>
      </c>
      <c r="AP149" s="623" t="s">
        <v>882</v>
      </c>
      <c r="AQ149" s="627">
        <v>7089327433</v>
      </c>
    </row>
    <row r="150" spans="1:43" x14ac:dyDescent="0.25">
      <c r="A150" s="625">
        <v>149</v>
      </c>
      <c r="B150" s="494" t="s">
        <v>944</v>
      </c>
      <c r="C150" s="625">
        <v>1013</v>
      </c>
      <c r="D150" s="494" t="s">
        <v>985</v>
      </c>
      <c r="E150" s="627">
        <v>9504644</v>
      </c>
      <c r="F150" s="627">
        <v>73088</v>
      </c>
      <c r="G150" s="494" t="s">
        <v>989</v>
      </c>
      <c r="S150" s="629">
        <f t="shared" si="4"/>
        <v>0.41666666666666669</v>
      </c>
      <c r="T150" s="629">
        <f t="shared" si="5"/>
        <v>0.4375</v>
      </c>
      <c r="U150" s="494" t="s">
        <v>910</v>
      </c>
      <c r="V150" s="620" t="str">
        <f>Combined_tables[[#This Row],[TimeSlot_Start_text]]</f>
        <v>1000</v>
      </c>
      <c r="W150" s="621" t="s">
        <v>426</v>
      </c>
      <c r="X150" s="621"/>
      <c r="Y150" s="621" t="s">
        <v>426</v>
      </c>
      <c r="Z150" s="621"/>
      <c r="AA150" s="621"/>
      <c r="AB150" s="494" t="s">
        <v>1073</v>
      </c>
      <c r="AC150" s="494" t="s">
        <v>949</v>
      </c>
      <c r="AD150" s="625" t="s">
        <v>950</v>
      </c>
      <c r="AE150" s="627">
        <v>73104</v>
      </c>
      <c r="AF150" s="623" t="s">
        <v>952</v>
      </c>
      <c r="AG150" s="627">
        <v>7089987986</v>
      </c>
      <c r="AH150" s="494" t="s">
        <v>953</v>
      </c>
      <c r="AI150" s="625" t="s">
        <v>955</v>
      </c>
      <c r="AJ150" s="627">
        <v>73040</v>
      </c>
      <c r="AK150" s="623" t="s">
        <v>956</v>
      </c>
      <c r="AL150" s="627">
        <v>7087431691</v>
      </c>
      <c r="AM150" s="494" t="s">
        <v>786</v>
      </c>
      <c r="AN150" s="625" t="s">
        <v>901</v>
      </c>
      <c r="AO150" s="627">
        <v>22230</v>
      </c>
      <c r="AP150" s="623" t="s">
        <v>882</v>
      </c>
      <c r="AQ150" s="627">
        <v>7089327433</v>
      </c>
    </row>
    <row r="151" spans="1:43" x14ac:dyDescent="0.25">
      <c r="A151" s="625">
        <v>150</v>
      </c>
      <c r="B151" s="494" t="s">
        <v>944</v>
      </c>
      <c r="C151" s="625">
        <v>1013</v>
      </c>
      <c r="D151" s="494" t="s">
        <v>985</v>
      </c>
      <c r="E151" s="627">
        <v>9504644</v>
      </c>
      <c r="F151" s="627">
        <v>73088</v>
      </c>
      <c r="G151" s="494" t="s">
        <v>989</v>
      </c>
      <c r="S151" s="629">
        <f t="shared" si="4"/>
        <v>0.4375</v>
      </c>
      <c r="T151" s="629">
        <f t="shared" si="5"/>
        <v>0.45833333333333331</v>
      </c>
      <c r="U151" s="494" t="s">
        <v>911</v>
      </c>
      <c r="V151" s="620" t="str">
        <f>Combined_tables[[#This Row],[TimeSlot_Start_text]]</f>
        <v>1030</v>
      </c>
      <c r="W151" s="621" t="s">
        <v>426</v>
      </c>
      <c r="X151" s="621"/>
      <c r="Y151" s="621" t="s">
        <v>426</v>
      </c>
      <c r="Z151" s="621" t="s">
        <v>427</v>
      </c>
      <c r="AA151" s="621" t="s">
        <v>427</v>
      </c>
      <c r="AB151" s="494" t="s">
        <v>1074</v>
      </c>
      <c r="AC151" s="494" t="s">
        <v>949</v>
      </c>
      <c r="AD151" s="625" t="s">
        <v>950</v>
      </c>
      <c r="AE151" s="627">
        <v>73104</v>
      </c>
      <c r="AF151" s="623" t="s">
        <v>952</v>
      </c>
      <c r="AG151" s="627">
        <v>7089987986</v>
      </c>
      <c r="AH151" s="494" t="s">
        <v>953</v>
      </c>
      <c r="AI151" s="625" t="s">
        <v>955</v>
      </c>
      <c r="AJ151" s="627">
        <v>73040</v>
      </c>
      <c r="AK151" s="623" t="s">
        <v>956</v>
      </c>
      <c r="AL151" s="627">
        <v>7087431691</v>
      </c>
      <c r="AM151" s="494" t="s">
        <v>786</v>
      </c>
      <c r="AN151" s="625" t="s">
        <v>901</v>
      </c>
      <c r="AO151" s="627">
        <v>22230</v>
      </c>
      <c r="AP151" s="623" t="s">
        <v>882</v>
      </c>
      <c r="AQ151" s="627">
        <v>7089327433</v>
      </c>
    </row>
    <row r="152" spans="1:43" x14ac:dyDescent="0.25">
      <c r="A152" s="625">
        <v>151</v>
      </c>
      <c r="B152" s="494" t="s">
        <v>944</v>
      </c>
      <c r="C152" s="625">
        <v>1013</v>
      </c>
      <c r="D152" s="494" t="s">
        <v>985</v>
      </c>
      <c r="E152" s="627">
        <v>9504644</v>
      </c>
      <c r="F152" s="627">
        <v>73088</v>
      </c>
      <c r="G152" s="494" t="s">
        <v>989</v>
      </c>
      <c r="S152" s="629">
        <f t="shared" si="4"/>
        <v>0.45833333333333331</v>
      </c>
      <c r="T152" s="629">
        <f t="shared" si="5"/>
        <v>0.47916666666666663</v>
      </c>
      <c r="U152" s="494" t="s">
        <v>912</v>
      </c>
      <c r="V152" s="620" t="str">
        <f>Combined_tables[[#This Row],[TimeSlot_Start_text]]</f>
        <v>1100</v>
      </c>
      <c r="W152" s="621"/>
      <c r="X152" s="621"/>
      <c r="Y152" s="621"/>
      <c r="Z152" s="621" t="s">
        <v>427</v>
      </c>
      <c r="AA152" s="621" t="s">
        <v>427</v>
      </c>
      <c r="AB152" s="494" t="s">
        <v>1076</v>
      </c>
      <c r="AC152" s="494" t="s">
        <v>949</v>
      </c>
      <c r="AD152" s="625" t="s">
        <v>950</v>
      </c>
      <c r="AE152" s="627">
        <v>73104</v>
      </c>
      <c r="AF152" s="623" t="s">
        <v>952</v>
      </c>
      <c r="AG152" s="627">
        <v>7089987986</v>
      </c>
      <c r="AH152" s="494" t="s">
        <v>953</v>
      </c>
      <c r="AI152" s="625" t="s">
        <v>955</v>
      </c>
      <c r="AJ152" s="627">
        <v>73040</v>
      </c>
      <c r="AK152" s="623" t="s">
        <v>956</v>
      </c>
      <c r="AL152" s="627">
        <v>7087431691</v>
      </c>
      <c r="AM152" s="494" t="s">
        <v>786</v>
      </c>
      <c r="AN152" s="625" t="s">
        <v>901</v>
      </c>
      <c r="AO152" s="627">
        <v>22230</v>
      </c>
      <c r="AP152" s="623" t="s">
        <v>882</v>
      </c>
      <c r="AQ152" s="627">
        <v>7089327433</v>
      </c>
    </row>
    <row r="153" spans="1:43" x14ac:dyDescent="0.25">
      <c r="A153" s="625">
        <v>152</v>
      </c>
      <c r="B153" s="494" t="s">
        <v>944</v>
      </c>
      <c r="C153" s="625">
        <v>1013</v>
      </c>
      <c r="D153" s="494" t="s">
        <v>985</v>
      </c>
      <c r="E153" s="627">
        <v>9504644</v>
      </c>
      <c r="F153" s="627">
        <v>73088</v>
      </c>
      <c r="G153" s="494" t="s">
        <v>989</v>
      </c>
      <c r="S153" s="629">
        <f t="shared" si="4"/>
        <v>0.47916666666666669</v>
      </c>
      <c r="T153" s="629">
        <f t="shared" si="5"/>
        <v>0.5</v>
      </c>
      <c r="U153" s="494" t="s">
        <v>913</v>
      </c>
      <c r="V153" s="620" t="str">
        <f>Combined_tables[[#This Row],[TimeSlot_Start_text]]</f>
        <v>1130</v>
      </c>
      <c r="W153" s="621"/>
      <c r="X153" s="621"/>
      <c r="Y153" s="621"/>
      <c r="Z153" s="621" t="s">
        <v>427</v>
      </c>
      <c r="AA153" s="621" t="s">
        <v>427</v>
      </c>
      <c r="AB153" s="494" t="s">
        <v>1075</v>
      </c>
      <c r="AC153" s="494" t="s">
        <v>949</v>
      </c>
      <c r="AD153" s="625" t="s">
        <v>950</v>
      </c>
      <c r="AE153" s="627">
        <v>73104</v>
      </c>
      <c r="AF153" s="623" t="s">
        <v>952</v>
      </c>
      <c r="AG153" s="627">
        <v>7089987986</v>
      </c>
      <c r="AH153" s="494" t="s">
        <v>953</v>
      </c>
      <c r="AI153" s="625" t="s">
        <v>955</v>
      </c>
      <c r="AJ153" s="627">
        <v>73040</v>
      </c>
      <c r="AK153" s="623" t="s">
        <v>956</v>
      </c>
      <c r="AL153" s="627">
        <v>7087431691</v>
      </c>
      <c r="AM153" s="494" t="s">
        <v>786</v>
      </c>
      <c r="AN153" s="625" t="s">
        <v>901</v>
      </c>
      <c r="AO153" s="627">
        <v>22230</v>
      </c>
      <c r="AP153" s="623" t="s">
        <v>882</v>
      </c>
      <c r="AQ153" s="627">
        <v>7089327433</v>
      </c>
    </row>
    <row r="154" spans="1:43" ht="15" customHeight="1" x14ac:dyDescent="0.25">
      <c r="A154" s="625">
        <v>153</v>
      </c>
      <c r="B154" s="494" t="s">
        <v>944</v>
      </c>
      <c r="C154" s="625">
        <v>1013</v>
      </c>
      <c r="D154" s="494" t="s">
        <v>985</v>
      </c>
      <c r="E154" s="627">
        <v>9504644</v>
      </c>
      <c r="F154" s="627">
        <v>73088</v>
      </c>
      <c r="G154" s="494" t="s">
        <v>989</v>
      </c>
      <c r="S154" s="629">
        <f t="shared" si="4"/>
        <v>0.5</v>
      </c>
      <c r="T154" s="629">
        <f t="shared" si="5"/>
        <v>0.52083333333333337</v>
      </c>
      <c r="U154" s="494" t="s">
        <v>914</v>
      </c>
      <c r="V154" s="620" t="str">
        <f>Combined_tables[[#This Row],[TimeSlot_Start_text]]</f>
        <v>1200</v>
      </c>
      <c r="W154" s="621" t="s">
        <v>354</v>
      </c>
      <c r="X154" s="621" t="s">
        <v>354</v>
      </c>
      <c r="Y154" s="621" t="s">
        <v>354</v>
      </c>
      <c r="Z154" s="621" t="s">
        <v>354</v>
      </c>
      <c r="AA154" s="621" t="s">
        <v>354</v>
      </c>
      <c r="AB154" s="494" t="s">
        <v>1077</v>
      </c>
      <c r="AC154" s="494" t="s">
        <v>949</v>
      </c>
      <c r="AD154" s="625" t="s">
        <v>950</v>
      </c>
      <c r="AE154" s="627">
        <v>73104</v>
      </c>
      <c r="AF154" s="623" t="s">
        <v>952</v>
      </c>
      <c r="AG154" s="627">
        <v>7089987986</v>
      </c>
      <c r="AH154" s="494" t="s">
        <v>953</v>
      </c>
      <c r="AI154" s="625" t="s">
        <v>955</v>
      </c>
      <c r="AJ154" s="627">
        <v>73040</v>
      </c>
      <c r="AK154" s="623" t="s">
        <v>956</v>
      </c>
      <c r="AL154" s="627">
        <v>7087431691</v>
      </c>
      <c r="AM154" s="494" t="s">
        <v>786</v>
      </c>
      <c r="AN154" s="625" t="s">
        <v>901</v>
      </c>
      <c r="AO154" s="627">
        <v>22230</v>
      </c>
      <c r="AP154" s="623" t="s">
        <v>882</v>
      </c>
      <c r="AQ154" s="627">
        <v>7089327433</v>
      </c>
    </row>
    <row r="155" spans="1:43" ht="15.75" customHeight="1" x14ac:dyDescent="0.25">
      <c r="A155" s="625">
        <v>154</v>
      </c>
      <c r="B155" s="494" t="s">
        <v>944</v>
      </c>
      <c r="C155" s="625">
        <v>1013</v>
      </c>
      <c r="D155" s="494" t="s">
        <v>985</v>
      </c>
      <c r="E155" s="627">
        <v>9504644</v>
      </c>
      <c r="F155" s="627">
        <v>73088</v>
      </c>
      <c r="G155" s="494" t="s">
        <v>989</v>
      </c>
      <c r="S155" s="629">
        <f t="shared" si="4"/>
        <v>0.52083333333333337</v>
      </c>
      <c r="T155" s="629">
        <f t="shared" si="5"/>
        <v>0.54166666666666674</v>
      </c>
      <c r="U155" s="494" t="s">
        <v>915</v>
      </c>
      <c r="V155" s="620" t="str">
        <f>Combined_tables[[#This Row],[TimeSlot_Start_text]]</f>
        <v>1230</v>
      </c>
      <c r="W155" s="621" t="s">
        <v>354</v>
      </c>
      <c r="X155" s="621" t="s">
        <v>354</v>
      </c>
      <c r="Y155" s="621" t="s">
        <v>354</v>
      </c>
      <c r="Z155" s="621" t="s">
        <v>354</v>
      </c>
      <c r="AA155" s="621" t="s">
        <v>354</v>
      </c>
      <c r="AB155" s="494" t="s">
        <v>1078</v>
      </c>
      <c r="AC155" s="494" t="s">
        <v>949</v>
      </c>
      <c r="AD155" s="625" t="s">
        <v>950</v>
      </c>
      <c r="AE155" s="627">
        <v>73104</v>
      </c>
      <c r="AF155" s="623" t="s">
        <v>952</v>
      </c>
      <c r="AG155" s="627">
        <v>7089987986</v>
      </c>
      <c r="AH155" s="494" t="s">
        <v>953</v>
      </c>
      <c r="AI155" s="625" t="s">
        <v>955</v>
      </c>
      <c r="AJ155" s="627">
        <v>73040</v>
      </c>
      <c r="AK155" s="623" t="s">
        <v>956</v>
      </c>
      <c r="AL155" s="627">
        <v>7087431691</v>
      </c>
      <c r="AM155" s="494" t="s">
        <v>786</v>
      </c>
      <c r="AN155" s="625" t="s">
        <v>901</v>
      </c>
      <c r="AO155" s="627">
        <v>22230</v>
      </c>
      <c r="AP155" s="623" t="s">
        <v>882</v>
      </c>
      <c r="AQ155" s="627">
        <v>7089327433</v>
      </c>
    </row>
    <row r="156" spans="1:43" x14ac:dyDescent="0.25">
      <c r="A156" s="625">
        <v>155</v>
      </c>
      <c r="B156" s="494" t="s">
        <v>944</v>
      </c>
      <c r="C156" s="625">
        <v>1013</v>
      </c>
      <c r="D156" s="494" t="s">
        <v>985</v>
      </c>
      <c r="E156" s="627">
        <v>9504644</v>
      </c>
      <c r="F156" s="627">
        <v>73088</v>
      </c>
      <c r="G156" s="494" t="s">
        <v>989</v>
      </c>
      <c r="S156" s="629">
        <f t="shared" si="4"/>
        <v>0.54166666666666663</v>
      </c>
      <c r="T156" s="629">
        <f t="shared" si="5"/>
        <v>0.5625</v>
      </c>
      <c r="U156" s="494" t="s">
        <v>916</v>
      </c>
      <c r="V156" s="620" t="str">
        <f>Combined_tables[[#This Row],[TimeSlot_Start_text]]</f>
        <v>1300</v>
      </c>
      <c r="W156" s="621" t="s">
        <v>426</v>
      </c>
      <c r="X156" s="621" t="s">
        <v>442</v>
      </c>
      <c r="Y156" s="621" t="s">
        <v>442</v>
      </c>
      <c r="Z156" s="621" t="s">
        <v>427</v>
      </c>
      <c r="AA156" s="621" t="s">
        <v>427</v>
      </c>
      <c r="AB156" s="494" t="s">
        <v>1071</v>
      </c>
      <c r="AC156" s="494" t="s">
        <v>949</v>
      </c>
      <c r="AD156" s="625" t="s">
        <v>950</v>
      </c>
      <c r="AE156" s="627">
        <v>73104</v>
      </c>
      <c r="AF156" s="623" t="s">
        <v>952</v>
      </c>
      <c r="AG156" s="627">
        <v>7089987986</v>
      </c>
      <c r="AH156" s="494" t="s">
        <v>953</v>
      </c>
      <c r="AI156" s="625" t="s">
        <v>955</v>
      </c>
      <c r="AJ156" s="627">
        <v>73040</v>
      </c>
      <c r="AK156" s="623" t="s">
        <v>956</v>
      </c>
      <c r="AL156" s="627">
        <v>7087431691</v>
      </c>
      <c r="AM156" s="494" t="s">
        <v>786</v>
      </c>
      <c r="AN156" s="625" t="s">
        <v>901</v>
      </c>
      <c r="AO156" s="627">
        <v>22230</v>
      </c>
      <c r="AP156" s="623" t="s">
        <v>882</v>
      </c>
      <c r="AQ156" s="627">
        <v>7089327433</v>
      </c>
    </row>
    <row r="157" spans="1:43" x14ac:dyDescent="0.25">
      <c r="A157" s="625">
        <v>156</v>
      </c>
      <c r="B157" s="494" t="s">
        <v>944</v>
      </c>
      <c r="C157" s="625">
        <v>1013</v>
      </c>
      <c r="D157" s="494" t="s">
        <v>985</v>
      </c>
      <c r="E157" s="627">
        <v>9504644</v>
      </c>
      <c r="F157" s="627">
        <v>73088</v>
      </c>
      <c r="G157" s="494" t="s">
        <v>989</v>
      </c>
      <c r="S157" s="629">
        <f t="shared" si="4"/>
        <v>0.5625</v>
      </c>
      <c r="T157" s="629">
        <f t="shared" si="5"/>
        <v>0.58333333333333337</v>
      </c>
      <c r="U157" s="494" t="s">
        <v>917</v>
      </c>
      <c r="V157" s="620" t="str">
        <f>Combined_tables[[#This Row],[TimeSlot_Start_text]]</f>
        <v>1330</v>
      </c>
      <c r="W157" s="621" t="s">
        <v>426</v>
      </c>
      <c r="X157" s="621" t="s">
        <v>442</v>
      </c>
      <c r="Y157" s="621" t="s">
        <v>442</v>
      </c>
      <c r="Z157" s="621" t="s">
        <v>427</v>
      </c>
      <c r="AA157" s="621" t="s">
        <v>427</v>
      </c>
      <c r="AB157" s="494" t="s">
        <v>1072</v>
      </c>
      <c r="AC157" s="494" t="s">
        <v>949</v>
      </c>
      <c r="AD157" s="625" t="s">
        <v>950</v>
      </c>
      <c r="AE157" s="627">
        <v>73104</v>
      </c>
      <c r="AF157" s="623" t="s">
        <v>952</v>
      </c>
      <c r="AG157" s="627">
        <v>7089987986</v>
      </c>
      <c r="AH157" s="494" t="s">
        <v>953</v>
      </c>
      <c r="AI157" s="625" t="s">
        <v>955</v>
      </c>
      <c r="AJ157" s="627">
        <v>73040</v>
      </c>
      <c r="AK157" s="623" t="s">
        <v>956</v>
      </c>
      <c r="AL157" s="627">
        <v>7087431691</v>
      </c>
      <c r="AM157" s="494" t="s">
        <v>786</v>
      </c>
      <c r="AN157" s="625" t="s">
        <v>901</v>
      </c>
      <c r="AO157" s="627">
        <v>22230</v>
      </c>
      <c r="AP157" s="623" t="s">
        <v>882</v>
      </c>
      <c r="AQ157" s="627">
        <v>7089327433</v>
      </c>
    </row>
    <row r="158" spans="1:43" x14ac:dyDescent="0.25">
      <c r="A158" s="625">
        <v>157</v>
      </c>
      <c r="B158" s="494" t="s">
        <v>944</v>
      </c>
      <c r="C158" s="625">
        <v>1013</v>
      </c>
      <c r="D158" s="494" t="s">
        <v>985</v>
      </c>
      <c r="E158" s="627">
        <v>9504644</v>
      </c>
      <c r="F158" s="627">
        <v>73088</v>
      </c>
      <c r="G158" s="494" t="s">
        <v>989</v>
      </c>
      <c r="S158" s="629">
        <f t="shared" si="4"/>
        <v>0.58333333333333337</v>
      </c>
      <c r="T158" s="629">
        <f t="shared" si="5"/>
        <v>0.60416666666666674</v>
      </c>
      <c r="U158" s="494" t="s">
        <v>918</v>
      </c>
      <c r="V158" s="620" t="str">
        <f>Combined_tables[[#This Row],[TimeSlot_Start_text]]</f>
        <v>1400</v>
      </c>
      <c r="W158" s="621" t="s">
        <v>426</v>
      </c>
      <c r="X158" s="621"/>
      <c r="Y158" s="621"/>
      <c r="Z158" s="621" t="s">
        <v>427</v>
      </c>
      <c r="AA158" s="621" t="s">
        <v>427</v>
      </c>
      <c r="AB158" s="494" t="s">
        <v>1079</v>
      </c>
      <c r="AC158" s="494" t="s">
        <v>949</v>
      </c>
      <c r="AD158" s="625" t="s">
        <v>950</v>
      </c>
      <c r="AE158" s="627">
        <v>73104</v>
      </c>
      <c r="AF158" s="623" t="s">
        <v>952</v>
      </c>
      <c r="AG158" s="627">
        <v>7089987986</v>
      </c>
      <c r="AH158" s="494" t="s">
        <v>953</v>
      </c>
      <c r="AI158" s="625" t="s">
        <v>955</v>
      </c>
      <c r="AJ158" s="627">
        <v>73040</v>
      </c>
      <c r="AK158" s="623" t="s">
        <v>956</v>
      </c>
      <c r="AL158" s="627">
        <v>7087431691</v>
      </c>
      <c r="AM158" s="494" t="s">
        <v>786</v>
      </c>
      <c r="AN158" s="625" t="s">
        <v>901</v>
      </c>
      <c r="AO158" s="627">
        <v>22230</v>
      </c>
      <c r="AP158" s="623" t="s">
        <v>882</v>
      </c>
      <c r="AQ158" s="627">
        <v>7089327433</v>
      </c>
    </row>
    <row r="159" spans="1:43" x14ac:dyDescent="0.25">
      <c r="A159" s="625">
        <v>158</v>
      </c>
      <c r="B159" s="494" t="s">
        <v>944</v>
      </c>
      <c r="C159" s="625">
        <v>1013</v>
      </c>
      <c r="D159" s="494" t="s">
        <v>985</v>
      </c>
      <c r="E159" s="627">
        <v>9504644</v>
      </c>
      <c r="F159" s="627">
        <v>73088</v>
      </c>
      <c r="G159" s="494" t="s">
        <v>989</v>
      </c>
      <c r="S159" s="629">
        <f t="shared" si="4"/>
        <v>0.60416666666666663</v>
      </c>
      <c r="T159" s="629">
        <f t="shared" si="5"/>
        <v>0.625</v>
      </c>
      <c r="U159" s="494" t="s">
        <v>919</v>
      </c>
      <c r="V159" s="620" t="str">
        <f>Combined_tables[[#This Row],[TimeSlot_Start_text]]</f>
        <v>1430</v>
      </c>
      <c r="W159" s="621" t="s">
        <v>426</v>
      </c>
      <c r="X159" s="621"/>
      <c r="Y159" s="621"/>
      <c r="Z159" s="621" t="s">
        <v>427</v>
      </c>
      <c r="AA159" s="621" t="s">
        <v>427</v>
      </c>
      <c r="AB159" s="494" t="s">
        <v>1080</v>
      </c>
      <c r="AC159" s="494" t="s">
        <v>949</v>
      </c>
      <c r="AD159" s="625" t="s">
        <v>950</v>
      </c>
      <c r="AE159" s="627">
        <v>73104</v>
      </c>
      <c r="AF159" s="623" t="s">
        <v>952</v>
      </c>
      <c r="AG159" s="627">
        <v>7089987986</v>
      </c>
      <c r="AH159" s="494" t="s">
        <v>953</v>
      </c>
      <c r="AI159" s="625" t="s">
        <v>955</v>
      </c>
      <c r="AJ159" s="627">
        <v>73040</v>
      </c>
      <c r="AK159" s="623" t="s">
        <v>956</v>
      </c>
      <c r="AL159" s="627">
        <v>7087431691</v>
      </c>
      <c r="AM159" s="494" t="s">
        <v>786</v>
      </c>
      <c r="AN159" s="625" t="s">
        <v>901</v>
      </c>
      <c r="AO159" s="627">
        <v>22230</v>
      </c>
      <c r="AP159" s="623" t="s">
        <v>882</v>
      </c>
      <c r="AQ159" s="627">
        <v>7089327433</v>
      </c>
    </row>
    <row r="160" spans="1:43" x14ac:dyDescent="0.25">
      <c r="A160" s="625">
        <v>159</v>
      </c>
      <c r="B160" s="494" t="s">
        <v>944</v>
      </c>
      <c r="C160" s="625">
        <v>1013</v>
      </c>
      <c r="D160" s="494" t="s">
        <v>985</v>
      </c>
      <c r="E160" s="627">
        <v>9504644</v>
      </c>
      <c r="F160" s="627">
        <v>73088</v>
      </c>
      <c r="G160" s="494" t="s">
        <v>989</v>
      </c>
      <c r="S160" s="629">
        <f t="shared" si="4"/>
        <v>0.625</v>
      </c>
      <c r="T160" s="629">
        <f t="shared" si="5"/>
        <v>0.64583333333333337</v>
      </c>
      <c r="U160" s="494" t="s">
        <v>920</v>
      </c>
      <c r="V160" s="620" t="str">
        <f>Combined_tables[[#This Row],[TimeSlot_Start_text]]</f>
        <v>1500</v>
      </c>
      <c r="W160" s="621" t="s">
        <v>426</v>
      </c>
      <c r="X160" s="621"/>
      <c r="Y160" s="621"/>
      <c r="Z160" s="621" t="s">
        <v>427</v>
      </c>
      <c r="AA160" s="621" t="s">
        <v>427</v>
      </c>
      <c r="AB160" s="494" t="s">
        <v>1081</v>
      </c>
      <c r="AC160" s="494" t="s">
        <v>949</v>
      </c>
      <c r="AD160" s="625" t="s">
        <v>950</v>
      </c>
      <c r="AE160" s="627">
        <v>73104</v>
      </c>
      <c r="AF160" s="623" t="s">
        <v>952</v>
      </c>
      <c r="AG160" s="627">
        <v>7089987986</v>
      </c>
      <c r="AH160" s="494" t="s">
        <v>953</v>
      </c>
      <c r="AI160" s="625" t="s">
        <v>955</v>
      </c>
      <c r="AJ160" s="627">
        <v>73040</v>
      </c>
      <c r="AK160" s="623" t="s">
        <v>956</v>
      </c>
      <c r="AL160" s="627">
        <v>7087431691</v>
      </c>
      <c r="AM160" s="494" t="s">
        <v>786</v>
      </c>
      <c r="AN160" s="625" t="s">
        <v>901</v>
      </c>
      <c r="AO160" s="627">
        <v>22230</v>
      </c>
      <c r="AP160" s="623" t="s">
        <v>882</v>
      </c>
      <c r="AQ160" s="627">
        <v>7089327433</v>
      </c>
    </row>
    <row r="161" spans="1:43" x14ac:dyDescent="0.25">
      <c r="A161" s="625">
        <v>160</v>
      </c>
      <c r="B161" s="494" t="s">
        <v>944</v>
      </c>
      <c r="C161" s="625">
        <v>1013</v>
      </c>
      <c r="D161" s="494" t="s">
        <v>985</v>
      </c>
      <c r="E161" s="627">
        <v>9504644</v>
      </c>
      <c r="F161" s="627">
        <v>73088</v>
      </c>
      <c r="G161" s="494" t="s">
        <v>989</v>
      </c>
      <c r="S161" s="629">
        <f t="shared" si="4"/>
        <v>0.64583333333333337</v>
      </c>
      <c r="T161" s="629">
        <f t="shared" si="5"/>
        <v>0.66666666666666674</v>
      </c>
      <c r="U161" s="494" t="s">
        <v>921</v>
      </c>
      <c r="V161" s="620" t="str">
        <f>Combined_tables[[#This Row],[TimeSlot_Start_text]]</f>
        <v>1530</v>
      </c>
      <c r="W161" s="621"/>
      <c r="X161" s="621"/>
      <c r="Y161" s="621"/>
      <c r="Z161" s="621" t="s">
        <v>427</v>
      </c>
      <c r="AA161" s="621" t="s">
        <v>427</v>
      </c>
      <c r="AB161" s="494" t="s">
        <v>1082</v>
      </c>
      <c r="AC161" s="494" t="s">
        <v>949</v>
      </c>
      <c r="AD161" s="625" t="s">
        <v>950</v>
      </c>
      <c r="AE161" s="627">
        <v>73104</v>
      </c>
      <c r="AF161" s="623" t="s">
        <v>952</v>
      </c>
      <c r="AG161" s="627">
        <v>7089987986</v>
      </c>
      <c r="AH161" s="494" t="s">
        <v>953</v>
      </c>
      <c r="AI161" s="625" t="s">
        <v>955</v>
      </c>
      <c r="AJ161" s="627">
        <v>73040</v>
      </c>
      <c r="AK161" s="623" t="s">
        <v>956</v>
      </c>
      <c r="AL161" s="627">
        <v>7087431691</v>
      </c>
      <c r="AM161" s="494" t="s">
        <v>786</v>
      </c>
      <c r="AN161" s="625" t="s">
        <v>901</v>
      </c>
      <c r="AO161" s="627">
        <v>22230</v>
      </c>
      <c r="AP161" s="623" t="s">
        <v>882</v>
      </c>
      <c r="AQ161" s="627">
        <v>7089327433</v>
      </c>
    </row>
    <row r="162" spans="1:43" ht="15" customHeight="1" x14ac:dyDescent="0.25">
      <c r="A162" s="625">
        <v>161</v>
      </c>
      <c r="B162" s="494" t="s">
        <v>589</v>
      </c>
      <c r="C162" s="625">
        <v>101</v>
      </c>
      <c r="D162" s="494" t="s">
        <v>1014</v>
      </c>
      <c r="E162" s="627">
        <v>9504579</v>
      </c>
      <c r="F162" s="627">
        <v>29331</v>
      </c>
      <c r="G162" s="494" t="s">
        <v>1018</v>
      </c>
      <c r="S162" s="629">
        <f t="shared" si="4"/>
        <v>0.33333333333333331</v>
      </c>
      <c r="T162" s="629">
        <f t="shared" si="5"/>
        <v>0.35416666666666663</v>
      </c>
      <c r="U162" s="494" t="s">
        <v>906</v>
      </c>
      <c r="V162" s="620" t="str">
        <f>Combined_tables[[#This Row],[TimeSlot_Start_text]]</f>
        <v>0800</v>
      </c>
      <c r="W162" s="621"/>
      <c r="X162" s="621"/>
      <c r="Y162" s="621" t="s">
        <v>381</v>
      </c>
      <c r="Z162" s="621"/>
      <c r="AA162" s="621"/>
      <c r="AB162" s="494" t="s">
        <v>1083</v>
      </c>
      <c r="AD162" s="625" t="s">
        <v>1020</v>
      </c>
      <c r="AG162" s="627"/>
      <c r="AH162" s="494" t="s">
        <v>1021</v>
      </c>
      <c r="AI162" s="625" t="s">
        <v>1022</v>
      </c>
      <c r="AJ162" s="627">
        <v>25092</v>
      </c>
      <c r="AK162" s="623" t="s">
        <v>1024</v>
      </c>
      <c r="AL162" s="627">
        <v>7089287239</v>
      </c>
      <c r="AM162" s="494" t="s">
        <v>786</v>
      </c>
      <c r="AN162" s="625" t="s">
        <v>901</v>
      </c>
      <c r="AO162" s="627">
        <v>22230</v>
      </c>
      <c r="AP162" s="623" t="s">
        <v>882</v>
      </c>
      <c r="AQ162" s="627">
        <v>7089327433</v>
      </c>
    </row>
    <row r="163" spans="1:43" ht="15" customHeight="1" x14ac:dyDescent="0.25">
      <c r="A163" s="625">
        <v>162</v>
      </c>
      <c r="B163" s="494" t="s">
        <v>589</v>
      </c>
      <c r="C163" s="625">
        <v>101</v>
      </c>
      <c r="D163" s="494" t="s">
        <v>1014</v>
      </c>
      <c r="E163" s="627">
        <v>9504579</v>
      </c>
      <c r="F163" s="627">
        <v>29331</v>
      </c>
      <c r="G163" s="494" t="s">
        <v>1018</v>
      </c>
      <c r="S163" s="629">
        <f t="shared" si="4"/>
        <v>0.35416666666666669</v>
      </c>
      <c r="T163" s="629">
        <f t="shared" si="5"/>
        <v>0.375</v>
      </c>
      <c r="U163" s="494" t="s">
        <v>907</v>
      </c>
      <c r="V163" s="620" t="str">
        <f>Combined_tables[[#This Row],[TimeSlot_Start_text]]</f>
        <v>0830</v>
      </c>
      <c r="W163" s="621" t="s">
        <v>618</v>
      </c>
      <c r="X163" s="621"/>
      <c r="Y163" s="621"/>
      <c r="Z163" s="621"/>
      <c r="AA163" s="621"/>
      <c r="AB163" s="494" t="s">
        <v>1084</v>
      </c>
      <c r="AD163" s="625" t="s">
        <v>1020</v>
      </c>
      <c r="AG163" s="627"/>
      <c r="AH163" s="494" t="s">
        <v>1021</v>
      </c>
      <c r="AI163" s="625" t="s">
        <v>1022</v>
      </c>
      <c r="AJ163" s="627">
        <v>25092</v>
      </c>
      <c r="AK163" s="623" t="s">
        <v>1024</v>
      </c>
      <c r="AL163" s="627">
        <v>7089287239</v>
      </c>
      <c r="AM163" s="494" t="s">
        <v>786</v>
      </c>
      <c r="AN163" s="625" t="s">
        <v>901</v>
      </c>
      <c r="AO163" s="627">
        <v>22230</v>
      </c>
      <c r="AP163" s="623" t="s">
        <v>882</v>
      </c>
      <c r="AQ163" s="627">
        <v>7089327433</v>
      </c>
    </row>
    <row r="164" spans="1:43" ht="15" customHeight="1" x14ac:dyDescent="0.25">
      <c r="A164" s="625">
        <v>163</v>
      </c>
      <c r="B164" s="494" t="s">
        <v>589</v>
      </c>
      <c r="C164" s="625">
        <v>101</v>
      </c>
      <c r="D164" s="494" t="s">
        <v>1014</v>
      </c>
      <c r="E164" s="627">
        <v>9504579</v>
      </c>
      <c r="F164" s="627">
        <v>29331</v>
      </c>
      <c r="G164" s="494" t="s">
        <v>1018</v>
      </c>
      <c r="S164" s="629">
        <f t="shared" si="4"/>
        <v>0.375</v>
      </c>
      <c r="T164" s="629">
        <f t="shared" si="5"/>
        <v>0.39583333333333331</v>
      </c>
      <c r="U164" s="494" t="s">
        <v>908</v>
      </c>
      <c r="V164" s="620" t="str">
        <f>Combined_tables[[#This Row],[TimeSlot_Start_text]]</f>
        <v>0900</v>
      </c>
      <c r="W164" s="621" t="s">
        <v>618</v>
      </c>
      <c r="X164" s="621"/>
      <c r="Y164" s="621"/>
      <c r="Z164" s="621"/>
      <c r="AA164" s="621"/>
      <c r="AB164" s="494" t="s">
        <v>1085</v>
      </c>
      <c r="AD164" s="625" t="s">
        <v>1020</v>
      </c>
      <c r="AG164" s="627"/>
      <c r="AH164" s="494" t="s">
        <v>1021</v>
      </c>
      <c r="AI164" s="625" t="s">
        <v>1022</v>
      </c>
      <c r="AJ164" s="627">
        <v>25092</v>
      </c>
      <c r="AK164" s="623" t="s">
        <v>1024</v>
      </c>
      <c r="AL164" s="627">
        <v>7089287239</v>
      </c>
      <c r="AM164" s="494" t="s">
        <v>786</v>
      </c>
      <c r="AN164" s="625" t="s">
        <v>901</v>
      </c>
      <c r="AO164" s="627">
        <v>22230</v>
      </c>
      <c r="AP164" s="623" t="s">
        <v>882</v>
      </c>
      <c r="AQ164" s="627">
        <v>7089327433</v>
      </c>
    </row>
    <row r="165" spans="1:43" ht="15" customHeight="1" x14ac:dyDescent="0.25">
      <c r="A165" s="625">
        <v>164</v>
      </c>
      <c r="B165" s="494" t="s">
        <v>589</v>
      </c>
      <c r="C165" s="625">
        <v>101</v>
      </c>
      <c r="D165" s="494" t="s">
        <v>1014</v>
      </c>
      <c r="E165" s="627">
        <v>9504579</v>
      </c>
      <c r="F165" s="627">
        <v>29331</v>
      </c>
      <c r="G165" s="494" t="s">
        <v>1018</v>
      </c>
      <c r="S165" s="629">
        <f t="shared" si="4"/>
        <v>0.39583333333333331</v>
      </c>
      <c r="T165" s="629">
        <f t="shared" si="5"/>
        <v>0.41666666666666663</v>
      </c>
      <c r="U165" s="494" t="s">
        <v>909</v>
      </c>
      <c r="V165" s="620" t="str">
        <f>Combined_tables[[#This Row],[TimeSlot_Start_text]]</f>
        <v>0930</v>
      </c>
      <c r="W165" s="621" t="s">
        <v>618</v>
      </c>
      <c r="X165" s="621"/>
      <c r="Y165" s="621"/>
      <c r="Z165" s="621"/>
      <c r="AA165" s="621"/>
      <c r="AB165" s="494" t="s">
        <v>1086</v>
      </c>
      <c r="AD165" s="625" t="s">
        <v>1020</v>
      </c>
      <c r="AG165" s="627"/>
      <c r="AH165" s="494" t="s">
        <v>1021</v>
      </c>
      <c r="AI165" s="625" t="s">
        <v>1022</v>
      </c>
      <c r="AJ165" s="627">
        <v>25092</v>
      </c>
      <c r="AK165" s="623" t="s">
        <v>1024</v>
      </c>
      <c r="AL165" s="627">
        <v>7089287239</v>
      </c>
      <c r="AM165" s="494" t="s">
        <v>786</v>
      </c>
      <c r="AN165" s="625" t="s">
        <v>901</v>
      </c>
      <c r="AO165" s="627">
        <v>22230</v>
      </c>
      <c r="AP165" s="623" t="s">
        <v>882</v>
      </c>
      <c r="AQ165" s="627">
        <v>7089327433</v>
      </c>
    </row>
    <row r="166" spans="1:43" x14ac:dyDescent="0.25">
      <c r="A166" s="625">
        <v>165</v>
      </c>
      <c r="B166" s="494" t="s">
        <v>589</v>
      </c>
      <c r="C166" s="625">
        <v>101</v>
      </c>
      <c r="D166" s="494" t="s">
        <v>1014</v>
      </c>
      <c r="E166" s="627">
        <v>9504579</v>
      </c>
      <c r="F166" s="627">
        <v>29331</v>
      </c>
      <c r="G166" s="494" t="s">
        <v>1018</v>
      </c>
      <c r="S166" s="629">
        <f t="shared" si="4"/>
        <v>0.41666666666666669</v>
      </c>
      <c r="T166" s="629">
        <f t="shared" si="5"/>
        <v>0.4375</v>
      </c>
      <c r="U166" s="494" t="s">
        <v>910</v>
      </c>
      <c r="V166" s="620" t="str">
        <f>Combined_tables[[#This Row],[TimeSlot_Start_text]]</f>
        <v>1000</v>
      </c>
      <c r="W166" s="621" t="s">
        <v>618</v>
      </c>
      <c r="X166" s="621"/>
      <c r="Y166" s="621"/>
      <c r="Z166" s="621" t="s">
        <v>380</v>
      </c>
      <c r="AA166" s="621"/>
      <c r="AB166" s="494" t="s">
        <v>1073</v>
      </c>
      <c r="AD166" s="625" t="s">
        <v>1020</v>
      </c>
      <c r="AG166" s="627"/>
      <c r="AH166" s="494" t="s">
        <v>1021</v>
      </c>
      <c r="AI166" s="625" t="s">
        <v>1022</v>
      </c>
      <c r="AJ166" s="627">
        <v>25092</v>
      </c>
      <c r="AK166" s="623" t="s">
        <v>1024</v>
      </c>
      <c r="AL166" s="627">
        <v>7089287239</v>
      </c>
      <c r="AM166" s="494" t="s">
        <v>786</v>
      </c>
      <c r="AN166" s="625" t="s">
        <v>901</v>
      </c>
      <c r="AO166" s="627">
        <v>22230</v>
      </c>
      <c r="AP166" s="623" t="s">
        <v>882</v>
      </c>
      <c r="AQ166" s="627">
        <v>7089327433</v>
      </c>
    </row>
    <row r="167" spans="1:43" x14ac:dyDescent="0.25">
      <c r="A167" s="625">
        <v>166</v>
      </c>
      <c r="B167" s="494" t="s">
        <v>589</v>
      </c>
      <c r="C167" s="625">
        <v>101</v>
      </c>
      <c r="D167" s="494" t="s">
        <v>1014</v>
      </c>
      <c r="E167" s="627">
        <v>9504579</v>
      </c>
      <c r="F167" s="627">
        <v>29331</v>
      </c>
      <c r="G167" s="494" t="s">
        <v>1018</v>
      </c>
      <c r="S167" s="629">
        <f t="shared" si="4"/>
        <v>0.4375</v>
      </c>
      <c r="T167" s="629">
        <f t="shared" si="5"/>
        <v>0.45833333333333331</v>
      </c>
      <c r="U167" s="494" t="s">
        <v>911</v>
      </c>
      <c r="V167" s="620" t="str">
        <f>Combined_tables[[#This Row],[TimeSlot_Start_text]]</f>
        <v>1030</v>
      </c>
      <c r="W167" s="621" t="s">
        <v>618</v>
      </c>
      <c r="X167" s="621"/>
      <c r="Y167" s="621"/>
      <c r="Z167" s="621"/>
      <c r="AA167" s="621"/>
      <c r="AB167" s="494" t="s">
        <v>1074</v>
      </c>
      <c r="AD167" s="625" t="s">
        <v>1020</v>
      </c>
      <c r="AG167" s="627"/>
      <c r="AH167" s="494" t="s">
        <v>1021</v>
      </c>
      <c r="AI167" s="625" t="s">
        <v>1022</v>
      </c>
      <c r="AJ167" s="627">
        <v>25092</v>
      </c>
      <c r="AK167" s="623" t="s">
        <v>1024</v>
      </c>
      <c r="AL167" s="627">
        <v>7089287239</v>
      </c>
      <c r="AM167" s="494" t="s">
        <v>786</v>
      </c>
      <c r="AN167" s="625" t="s">
        <v>901</v>
      </c>
      <c r="AO167" s="627">
        <v>22230</v>
      </c>
      <c r="AP167" s="623" t="s">
        <v>882</v>
      </c>
      <c r="AQ167" s="627">
        <v>7089327433</v>
      </c>
    </row>
    <row r="168" spans="1:43" x14ac:dyDescent="0.25">
      <c r="A168" s="625">
        <v>167</v>
      </c>
      <c r="B168" s="494" t="s">
        <v>589</v>
      </c>
      <c r="C168" s="625">
        <v>101</v>
      </c>
      <c r="D168" s="494" t="s">
        <v>1014</v>
      </c>
      <c r="E168" s="627">
        <v>9504579</v>
      </c>
      <c r="F168" s="627">
        <v>29331</v>
      </c>
      <c r="G168" s="494" t="s">
        <v>1018</v>
      </c>
      <c r="S168" s="629">
        <f t="shared" si="4"/>
        <v>0.45833333333333331</v>
      </c>
      <c r="T168" s="629">
        <f t="shared" si="5"/>
        <v>0.47916666666666663</v>
      </c>
      <c r="U168" s="494" t="s">
        <v>912</v>
      </c>
      <c r="V168" s="620" t="str">
        <f>Combined_tables[[#This Row],[TimeSlot_Start_text]]</f>
        <v>1100</v>
      </c>
      <c r="W168" s="621" t="s">
        <v>618</v>
      </c>
      <c r="X168" s="621"/>
      <c r="Y168" s="621"/>
      <c r="Z168" s="621"/>
      <c r="AA168" s="621"/>
      <c r="AB168" s="494" t="s">
        <v>1076</v>
      </c>
      <c r="AD168" s="625" t="s">
        <v>1020</v>
      </c>
      <c r="AG168" s="627"/>
      <c r="AH168" s="494" t="s">
        <v>1021</v>
      </c>
      <c r="AI168" s="625" t="s">
        <v>1022</v>
      </c>
      <c r="AJ168" s="627">
        <v>25092</v>
      </c>
      <c r="AK168" s="623" t="s">
        <v>1024</v>
      </c>
      <c r="AL168" s="627">
        <v>7089287239</v>
      </c>
      <c r="AM168" s="494" t="s">
        <v>786</v>
      </c>
      <c r="AN168" s="625" t="s">
        <v>901</v>
      </c>
      <c r="AO168" s="627">
        <v>22230</v>
      </c>
      <c r="AP168" s="623" t="s">
        <v>882</v>
      </c>
      <c r="AQ168" s="627">
        <v>7089327433</v>
      </c>
    </row>
    <row r="169" spans="1:43" x14ac:dyDescent="0.25">
      <c r="A169" s="625">
        <v>168</v>
      </c>
      <c r="B169" s="494" t="s">
        <v>589</v>
      </c>
      <c r="C169" s="625">
        <v>101</v>
      </c>
      <c r="D169" s="494" t="s">
        <v>1014</v>
      </c>
      <c r="E169" s="627">
        <v>9504579</v>
      </c>
      <c r="F169" s="627">
        <v>29331</v>
      </c>
      <c r="G169" s="494" t="s">
        <v>1018</v>
      </c>
      <c r="S169" s="629">
        <f t="shared" si="4"/>
        <v>0.47916666666666669</v>
      </c>
      <c r="T169" s="629">
        <f t="shared" si="5"/>
        <v>0.5</v>
      </c>
      <c r="U169" s="494" t="s">
        <v>913</v>
      </c>
      <c r="V169" s="620" t="str">
        <f>Combined_tables[[#This Row],[TimeSlot_Start_text]]</f>
        <v>1130</v>
      </c>
      <c r="W169" s="621" t="s">
        <v>618</v>
      </c>
      <c r="X169" s="621"/>
      <c r="Y169" s="621"/>
      <c r="Z169" s="621"/>
      <c r="AA169" s="621"/>
      <c r="AB169" s="494" t="s">
        <v>1075</v>
      </c>
      <c r="AD169" s="625" t="s">
        <v>1020</v>
      </c>
      <c r="AG169" s="627"/>
      <c r="AH169" s="494" t="s">
        <v>1021</v>
      </c>
      <c r="AI169" s="625" t="s">
        <v>1022</v>
      </c>
      <c r="AJ169" s="627">
        <v>25092</v>
      </c>
      <c r="AK169" s="623" t="s">
        <v>1024</v>
      </c>
      <c r="AL169" s="627">
        <v>7089287239</v>
      </c>
      <c r="AM169" s="494" t="s">
        <v>786</v>
      </c>
      <c r="AN169" s="625" t="s">
        <v>901</v>
      </c>
      <c r="AO169" s="627">
        <v>22230</v>
      </c>
      <c r="AP169" s="623" t="s">
        <v>882</v>
      </c>
      <c r="AQ169" s="627">
        <v>7089327433</v>
      </c>
    </row>
    <row r="170" spans="1:43" ht="15" customHeight="1" x14ac:dyDescent="0.25">
      <c r="A170" s="625">
        <v>169</v>
      </c>
      <c r="B170" s="494" t="s">
        <v>589</v>
      </c>
      <c r="C170" s="625">
        <v>101</v>
      </c>
      <c r="D170" s="494" t="s">
        <v>1014</v>
      </c>
      <c r="E170" s="627">
        <v>9504579</v>
      </c>
      <c r="F170" s="627">
        <v>29331</v>
      </c>
      <c r="G170" s="494" t="s">
        <v>1018</v>
      </c>
      <c r="S170" s="629">
        <f t="shared" si="4"/>
        <v>0.5</v>
      </c>
      <c r="T170" s="629">
        <f t="shared" si="5"/>
        <v>0.52083333333333337</v>
      </c>
      <c r="U170" s="494" t="s">
        <v>914</v>
      </c>
      <c r="V170" s="620" t="str">
        <f>Combined_tables[[#This Row],[TimeSlot_Start_text]]</f>
        <v>1200</v>
      </c>
      <c r="W170" s="621" t="s">
        <v>354</v>
      </c>
      <c r="X170" s="621" t="s">
        <v>354</v>
      </c>
      <c r="Y170" s="621" t="s">
        <v>354</v>
      </c>
      <c r="Z170" s="621" t="s">
        <v>354</v>
      </c>
      <c r="AA170" s="621" t="s">
        <v>354</v>
      </c>
      <c r="AB170" s="494" t="s">
        <v>1077</v>
      </c>
      <c r="AD170" s="625" t="s">
        <v>1020</v>
      </c>
      <c r="AG170" s="627"/>
      <c r="AH170" s="494" t="s">
        <v>1021</v>
      </c>
      <c r="AI170" s="625" t="s">
        <v>1022</v>
      </c>
      <c r="AJ170" s="627">
        <v>25092</v>
      </c>
      <c r="AK170" s="623" t="s">
        <v>1024</v>
      </c>
      <c r="AL170" s="627">
        <v>7089287239</v>
      </c>
      <c r="AM170" s="494" t="s">
        <v>786</v>
      </c>
      <c r="AN170" s="625" t="s">
        <v>901</v>
      </c>
      <c r="AO170" s="627">
        <v>22230</v>
      </c>
      <c r="AP170" s="623" t="s">
        <v>882</v>
      </c>
      <c r="AQ170" s="627">
        <v>7089327433</v>
      </c>
    </row>
    <row r="171" spans="1:43" ht="15.75" customHeight="1" x14ac:dyDescent="0.25">
      <c r="A171" s="625">
        <v>170</v>
      </c>
      <c r="B171" s="494" t="s">
        <v>589</v>
      </c>
      <c r="C171" s="625">
        <v>101</v>
      </c>
      <c r="D171" s="494" t="s">
        <v>1014</v>
      </c>
      <c r="E171" s="627">
        <v>9504579</v>
      </c>
      <c r="F171" s="627">
        <v>29331</v>
      </c>
      <c r="G171" s="494" t="s">
        <v>1018</v>
      </c>
      <c r="S171" s="629">
        <f t="shared" si="4"/>
        <v>0.52083333333333337</v>
      </c>
      <c r="T171" s="629">
        <f t="shared" si="5"/>
        <v>0.54166666666666674</v>
      </c>
      <c r="U171" s="494" t="s">
        <v>915</v>
      </c>
      <c r="V171" s="620" t="str">
        <f>Combined_tables[[#This Row],[TimeSlot_Start_text]]</f>
        <v>1230</v>
      </c>
      <c r="W171" s="621" t="s">
        <v>354</v>
      </c>
      <c r="X171" s="621" t="s">
        <v>354</v>
      </c>
      <c r="Y171" s="621" t="s">
        <v>354</v>
      </c>
      <c r="Z171" s="621" t="s">
        <v>354</v>
      </c>
      <c r="AA171" s="621" t="s">
        <v>354</v>
      </c>
      <c r="AB171" s="494" t="s">
        <v>1078</v>
      </c>
      <c r="AD171" s="625" t="s">
        <v>1020</v>
      </c>
      <c r="AG171" s="627"/>
      <c r="AH171" s="494" t="s">
        <v>1021</v>
      </c>
      <c r="AI171" s="625" t="s">
        <v>1022</v>
      </c>
      <c r="AJ171" s="627">
        <v>25092</v>
      </c>
      <c r="AK171" s="623" t="s">
        <v>1024</v>
      </c>
      <c r="AL171" s="627">
        <v>7089287239</v>
      </c>
      <c r="AM171" s="494" t="s">
        <v>786</v>
      </c>
      <c r="AN171" s="625" t="s">
        <v>901</v>
      </c>
      <c r="AO171" s="627">
        <v>22230</v>
      </c>
      <c r="AP171" s="623" t="s">
        <v>882</v>
      </c>
      <c r="AQ171" s="627">
        <v>7089327433</v>
      </c>
    </row>
    <row r="172" spans="1:43" x14ac:dyDescent="0.25">
      <c r="A172" s="625">
        <v>171</v>
      </c>
      <c r="B172" s="494" t="s">
        <v>589</v>
      </c>
      <c r="C172" s="625">
        <v>101</v>
      </c>
      <c r="D172" s="494" t="s">
        <v>1014</v>
      </c>
      <c r="E172" s="627">
        <v>9504579</v>
      </c>
      <c r="F172" s="627">
        <v>29331</v>
      </c>
      <c r="G172" s="494" t="s">
        <v>1018</v>
      </c>
      <c r="S172" s="629">
        <f t="shared" si="4"/>
        <v>0.54166666666666663</v>
      </c>
      <c r="T172" s="629">
        <f t="shared" si="5"/>
        <v>0.5625</v>
      </c>
      <c r="U172" s="494" t="s">
        <v>916</v>
      </c>
      <c r="V172" s="620" t="str">
        <f>Combined_tables[[#This Row],[TimeSlot_Start_text]]</f>
        <v>1300</v>
      </c>
      <c r="W172" s="621" t="s">
        <v>629</v>
      </c>
      <c r="X172" s="621"/>
      <c r="Y172" s="621"/>
      <c r="Z172" s="621" t="s">
        <v>618</v>
      </c>
      <c r="AA172" s="621"/>
      <c r="AB172" s="494" t="s">
        <v>1071</v>
      </c>
      <c r="AD172" s="625" t="s">
        <v>1020</v>
      </c>
      <c r="AG172" s="627"/>
      <c r="AH172" s="494" t="s">
        <v>1021</v>
      </c>
      <c r="AI172" s="625" t="s">
        <v>1022</v>
      </c>
      <c r="AJ172" s="627">
        <v>25092</v>
      </c>
      <c r="AK172" s="623" t="s">
        <v>1024</v>
      </c>
      <c r="AL172" s="627">
        <v>7089287239</v>
      </c>
      <c r="AM172" s="494" t="s">
        <v>786</v>
      </c>
      <c r="AN172" s="625" t="s">
        <v>901</v>
      </c>
      <c r="AO172" s="627">
        <v>22230</v>
      </c>
      <c r="AP172" s="623" t="s">
        <v>882</v>
      </c>
      <c r="AQ172" s="627">
        <v>7089327433</v>
      </c>
    </row>
    <row r="173" spans="1:43" x14ac:dyDescent="0.25">
      <c r="A173" s="625">
        <v>172</v>
      </c>
      <c r="B173" s="494" t="s">
        <v>589</v>
      </c>
      <c r="C173" s="625">
        <v>101</v>
      </c>
      <c r="D173" s="494" t="s">
        <v>1014</v>
      </c>
      <c r="E173" s="627">
        <v>9504579</v>
      </c>
      <c r="F173" s="627">
        <v>29331</v>
      </c>
      <c r="G173" s="494" t="s">
        <v>1018</v>
      </c>
      <c r="S173" s="629">
        <f t="shared" si="4"/>
        <v>0.5625</v>
      </c>
      <c r="T173" s="629">
        <f t="shared" si="5"/>
        <v>0.58333333333333337</v>
      </c>
      <c r="U173" s="494" t="s">
        <v>917</v>
      </c>
      <c r="V173" s="620" t="str">
        <f>Combined_tables[[#This Row],[TimeSlot_Start_text]]</f>
        <v>1330</v>
      </c>
      <c r="W173" s="621" t="s">
        <v>629</v>
      </c>
      <c r="X173" s="621"/>
      <c r="Y173" s="621"/>
      <c r="Z173" s="621" t="s">
        <v>618</v>
      </c>
      <c r="AA173" s="621"/>
      <c r="AB173" s="494" t="s">
        <v>1072</v>
      </c>
      <c r="AD173" s="625" t="s">
        <v>1020</v>
      </c>
      <c r="AG173" s="627"/>
      <c r="AH173" s="494" t="s">
        <v>1021</v>
      </c>
      <c r="AI173" s="625" t="s">
        <v>1022</v>
      </c>
      <c r="AJ173" s="627">
        <v>25092</v>
      </c>
      <c r="AK173" s="623" t="s">
        <v>1024</v>
      </c>
      <c r="AL173" s="627">
        <v>7089287239</v>
      </c>
      <c r="AM173" s="494" t="s">
        <v>786</v>
      </c>
      <c r="AN173" s="625" t="s">
        <v>901</v>
      </c>
      <c r="AO173" s="627">
        <v>22230</v>
      </c>
      <c r="AP173" s="623" t="s">
        <v>882</v>
      </c>
      <c r="AQ173" s="627">
        <v>7089327433</v>
      </c>
    </row>
    <row r="174" spans="1:43" x14ac:dyDescent="0.25">
      <c r="A174" s="625">
        <v>173</v>
      </c>
      <c r="B174" s="494" t="s">
        <v>589</v>
      </c>
      <c r="C174" s="625">
        <v>101</v>
      </c>
      <c r="D174" s="494" t="s">
        <v>1014</v>
      </c>
      <c r="E174" s="627">
        <v>9504579</v>
      </c>
      <c r="F174" s="627">
        <v>29331</v>
      </c>
      <c r="G174" s="494" t="s">
        <v>1018</v>
      </c>
      <c r="S174" s="629">
        <f t="shared" si="4"/>
        <v>0.58333333333333337</v>
      </c>
      <c r="T174" s="629">
        <f t="shared" si="5"/>
        <v>0.60416666666666674</v>
      </c>
      <c r="U174" s="494" t="s">
        <v>918</v>
      </c>
      <c r="V174" s="620" t="str">
        <f>Combined_tables[[#This Row],[TimeSlot_Start_text]]</f>
        <v>1400</v>
      </c>
      <c r="W174" s="621" t="s">
        <v>629</v>
      </c>
      <c r="X174" s="621" t="s">
        <v>381</v>
      </c>
      <c r="Y174" s="621"/>
      <c r="Z174" s="621" t="s">
        <v>618</v>
      </c>
      <c r="AA174" s="621"/>
      <c r="AB174" s="494" t="s">
        <v>1079</v>
      </c>
      <c r="AD174" s="625" t="s">
        <v>1020</v>
      </c>
      <c r="AG174" s="627"/>
      <c r="AH174" s="494" t="s">
        <v>1021</v>
      </c>
      <c r="AI174" s="625" t="s">
        <v>1022</v>
      </c>
      <c r="AJ174" s="627">
        <v>25092</v>
      </c>
      <c r="AK174" s="623" t="s">
        <v>1024</v>
      </c>
      <c r="AL174" s="627">
        <v>7089287239</v>
      </c>
      <c r="AM174" s="494" t="s">
        <v>786</v>
      </c>
      <c r="AN174" s="625" t="s">
        <v>901</v>
      </c>
      <c r="AO174" s="627">
        <v>22230</v>
      </c>
      <c r="AP174" s="623" t="s">
        <v>882</v>
      </c>
      <c r="AQ174" s="627">
        <v>7089327433</v>
      </c>
    </row>
    <row r="175" spans="1:43" x14ac:dyDescent="0.25">
      <c r="A175" s="625">
        <v>174</v>
      </c>
      <c r="B175" s="494" t="s">
        <v>589</v>
      </c>
      <c r="C175" s="625">
        <v>101</v>
      </c>
      <c r="D175" s="494" t="s">
        <v>1014</v>
      </c>
      <c r="E175" s="627">
        <v>9504579</v>
      </c>
      <c r="F175" s="627">
        <v>29331</v>
      </c>
      <c r="G175" s="494" t="s">
        <v>1018</v>
      </c>
      <c r="S175" s="629">
        <f t="shared" si="4"/>
        <v>0.60416666666666663</v>
      </c>
      <c r="T175" s="629">
        <f t="shared" si="5"/>
        <v>0.625</v>
      </c>
      <c r="U175" s="494" t="s">
        <v>919</v>
      </c>
      <c r="V175" s="620" t="str">
        <f>Combined_tables[[#This Row],[TimeSlot_Start_text]]</f>
        <v>1430</v>
      </c>
      <c r="W175" s="621" t="s">
        <v>629</v>
      </c>
      <c r="X175" s="621"/>
      <c r="Y175" s="621" t="s">
        <v>381</v>
      </c>
      <c r="Z175" s="621" t="s">
        <v>618</v>
      </c>
      <c r="AA175" s="621"/>
      <c r="AB175" s="494" t="s">
        <v>1080</v>
      </c>
      <c r="AD175" s="625" t="s">
        <v>1020</v>
      </c>
      <c r="AG175" s="627"/>
      <c r="AH175" s="494" t="s">
        <v>1021</v>
      </c>
      <c r="AI175" s="625" t="s">
        <v>1022</v>
      </c>
      <c r="AJ175" s="627">
        <v>25092</v>
      </c>
      <c r="AK175" s="623" t="s">
        <v>1024</v>
      </c>
      <c r="AL175" s="627">
        <v>7089287239</v>
      </c>
      <c r="AM175" s="494" t="s">
        <v>786</v>
      </c>
      <c r="AN175" s="625" t="s">
        <v>901</v>
      </c>
      <c r="AO175" s="627">
        <v>22230</v>
      </c>
      <c r="AP175" s="623" t="s">
        <v>882</v>
      </c>
      <c r="AQ175" s="627">
        <v>7089327433</v>
      </c>
    </row>
    <row r="176" spans="1:43" x14ac:dyDescent="0.25">
      <c r="A176" s="625">
        <v>175</v>
      </c>
      <c r="B176" s="494" t="s">
        <v>589</v>
      </c>
      <c r="C176" s="625">
        <v>101</v>
      </c>
      <c r="D176" s="494" t="s">
        <v>1014</v>
      </c>
      <c r="E176" s="627">
        <v>9504579</v>
      </c>
      <c r="F176" s="627">
        <v>29331</v>
      </c>
      <c r="G176" s="494" t="s">
        <v>1018</v>
      </c>
      <c r="S176" s="629">
        <f t="shared" si="4"/>
        <v>0.625</v>
      </c>
      <c r="T176" s="629">
        <f t="shared" si="5"/>
        <v>0.64583333333333337</v>
      </c>
      <c r="U176" s="494" t="s">
        <v>920</v>
      </c>
      <c r="V176" s="620" t="str">
        <f>Combined_tables[[#This Row],[TimeSlot_Start_text]]</f>
        <v>1500</v>
      </c>
      <c r="W176" s="621" t="s">
        <v>629</v>
      </c>
      <c r="X176" s="621"/>
      <c r="Y176" s="621"/>
      <c r="Z176" s="621" t="s">
        <v>618</v>
      </c>
      <c r="AA176" s="621"/>
      <c r="AB176" s="494" t="s">
        <v>1081</v>
      </c>
      <c r="AD176" s="625" t="s">
        <v>1020</v>
      </c>
      <c r="AG176" s="627"/>
      <c r="AH176" s="494" t="s">
        <v>1021</v>
      </c>
      <c r="AI176" s="625" t="s">
        <v>1022</v>
      </c>
      <c r="AJ176" s="627">
        <v>25092</v>
      </c>
      <c r="AK176" s="623" t="s">
        <v>1024</v>
      </c>
      <c r="AL176" s="627">
        <v>7089287239</v>
      </c>
      <c r="AM176" s="494" t="s">
        <v>786</v>
      </c>
      <c r="AN176" s="625" t="s">
        <v>901</v>
      </c>
      <c r="AO176" s="627">
        <v>22230</v>
      </c>
      <c r="AP176" s="623" t="s">
        <v>882</v>
      </c>
      <c r="AQ176" s="627">
        <v>7089327433</v>
      </c>
    </row>
    <row r="177" spans="1:43" x14ac:dyDescent="0.25">
      <c r="A177" s="625">
        <v>176</v>
      </c>
      <c r="B177" s="494" t="s">
        <v>589</v>
      </c>
      <c r="C177" s="625">
        <v>101</v>
      </c>
      <c r="D177" s="494" t="s">
        <v>1014</v>
      </c>
      <c r="E177" s="627">
        <v>9504579</v>
      </c>
      <c r="F177" s="627">
        <v>29331</v>
      </c>
      <c r="G177" s="494" t="s">
        <v>1018</v>
      </c>
      <c r="S177" s="629">
        <f t="shared" si="4"/>
        <v>0.64583333333333337</v>
      </c>
      <c r="T177" s="629">
        <f t="shared" si="5"/>
        <v>0.66666666666666674</v>
      </c>
      <c r="U177" s="494" t="s">
        <v>921</v>
      </c>
      <c r="V177" s="620" t="str">
        <f>Combined_tables[[#This Row],[TimeSlot_Start_text]]</f>
        <v>1530</v>
      </c>
      <c r="W177" s="621" t="s">
        <v>629</v>
      </c>
      <c r="X177" s="621"/>
      <c r="Y177" s="621"/>
      <c r="Z177" s="621" t="s">
        <v>618</v>
      </c>
      <c r="AA177" s="621"/>
      <c r="AB177" s="494" t="s">
        <v>1082</v>
      </c>
      <c r="AD177" s="625" t="s">
        <v>1020</v>
      </c>
      <c r="AG177" s="627"/>
      <c r="AH177" s="494" t="s">
        <v>1021</v>
      </c>
      <c r="AI177" s="625" t="s">
        <v>1022</v>
      </c>
      <c r="AJ177" s="627">
        <v>25092</v>
      </c>
      <c r="AK177" s="623" t="s">
        <v>1024</v>
      </c>
      <c r="AL177" s="627">
        <v>7089287239</v>
      </c>
      <c r="AM177" s="494" t="s">
        <v>786</v>
      </c>
      <c r="AN177" s="625" t="s">
        <v>901</v>
      </c>
      <c r="AO177" s="627">
        <v>22230</v>
      </c>
      <c r="AP177" s="623" t="s">
        <v>882</v>
      </c>
      <c r="AQ177" s="627">
        <v>7089327433</v>
      </c>
    </row>
    <row r="178" spans="1:43" ht="15" customHeight="1" x14ac:dyDescent="0.25">
      <c r="A178" s="625">
        <v>177</v>
      </c>
      <c r="B178" s="494" t="s">
        <v>589</v>
      </c>
      <c r="C178" s="625">
        <v>102</v>
      </c>
      <c r="D178" s="494" t="s">
        <v>1026</v>
      </c>
      <c r="E178" s="627">
        <v>9504453</v>
      </c>
      <c r="F178" s="627">
        <v>29332</v>
      </c>
      <c r="G178" s="494" t="s">
        <v>1029</v>
      </c>
      <c r="S178" s="629">
        <f t="shared" si="4"/>
        <v>0.33333333333333331</v>
      </c>
      <c r="T178" s="629">
        <f t="shared" si="5"/>
        <v>0.35416666666666663</v>
      </c>
      <c r="U178" s="494" t="s">
        <v>906</v>
      </c>
      <c r="V178" s="620" t="str">
        <f>Combined_tables[[#This Row],[TimeSlot_Start_text]]</f>
        <v>0800</v>
      </c>
      <c r="W178" s="621" t="s">
        <v>381</v>
      </c>
      <c r="X178" s="621" t="s">
        <v>380</v>
      </c>
      <c r="Y178" s="621"/>
      <c r="Z178" s="621"/>
      <c r="AA178" s="621"/>
      <c r="AB178" s="494" t="s">
        <v>1083</v>
      </c>
      <c r="AD178" s="625" t="s">
        <v>1020</v>
      </c>
      <c r="AG178" s="627"/>
      <c r="AH178" s="494" t="s">
        <v>1021</v>
      </c>
      <c r="AI178" s="625" t="s">
        <v>1022</v>
      </c>
      <c r="AJ178" s="627">
        <v>25092</v>
      </c>
      <c r="AK178" s="623" t="s">
        <v>1024</v>
      </c>
      <c r="AL178" s="627">
        <v>7089287239</v>
      </c>
      <c r="AM178" s="494" t="s">
        <v>786</v>
      </c>
      <c r="AN178" s="625" t="s">
        <v>901</v>
      </c>
      <c r="AO178" s="627">
        <v>22230</v>
      </c>
      <c r="AP178" s="623" t="s">
        <v>882</v>
      </c>
      <c r="AQ178" s="627">
        <v>7089327433</v>
      </c>
    </row>
    <row r="179" spans="1:43" ht="15" customHeight="1" x14ac:dyDescent="0.25">
      <c r="A179" s="625">
        <v>178</v>
      </c>
      <c r="B179" s="494" t="s">
        <v>589</v>
      </c>
      <c r="C179" s="625">
        <v>102</v>
      </c>
      <c r="D179" s="494" t="s">
        <v>1026</v>
      </c>
      <c r="E179" s="627">
        <v>9504453</v>
      </c>
      <c r="F179" s="627">
        <v>29332</v>
      </c>
      <c r="G179" s="494" t="s">
        <v>1029</v>
      </c>
      <c r="S179" s="629">
        <f t="shared" si="4"/>
        <v>0.35416666666666669</v>
      </c>
      <c r="T179" s="629">
        <f t="shared" si="5"/>
        <v>0.375</v>
      </c>
      <c r="U179" s="494" t="s">
        <v>907</v>
      </c>
      <c r="V179" s="620" t="str">
        <f>Combined_tables[[#This Row],[TimeSlot_Start_text]]</f>
        <v>0830</v>
      </c>
      <c r="W179" s="621"/>
      <c r="X179" s="621" t="s">
        <v>619</v>
      </c>
      <c r="Y179" s="621"/>
      <c r="Z179" s="621" t="s">
        <v>619</v>
      </c>
      <c r="AA179" s="621"/>
      <c r="AB179" s="494" t="s">
        <v>1084</v>
      </c>
      <c r="AD179" s="625" t="s">
        <v>1020</v>
      </c>
      <c r="AG179" s="627"/>
      <c r="AH179" s="494" t="s">
        <v>1021</v>
      </c>
      <c r="AI179" s="625" t="s">
        <v>1022</v>
      </c>
      <c r="AJ179" s="627">
        <v>25092</v>
      </c>
      <c r="AK179" s="623" t="s">
        <v>1024</v>
      </c>
      <c r="AL179" s="627">
        <v>7089287239</v>
      </c>
      <c r="AM179" s="494" t="s">
        <v>786</v>
      </c>
      <c r="AN179" s="625" t="s">
        <v>901</v>
      </c>
      <c r="AO179" s="627">
        <v>22230</v>
      </c>
      <c r="AP179" s="623" t="s">
        <v>882</v>
      </c>
      <c r="AQ179" s="627">
        <v>7089327433</v>
      </c>
    </row>
    <row r="180" spans="1:43" ht="15" customHeight="1" x14ac:dyDescent="0.25">
      <c r="A180" s="625">
        <v>179</v>
      </c>
      <c r="B180" s="494" t="s">
        <v>589</v>
      </c>
      <c r="C180" s="625">
        <v>102</v>
      </c>
      <c r="D180" s="494" t="s">
        <v>1026</v>
      </c>
      <c r="E180" s="627">
        <v>9504453</v>
      </c>
      <c r="F180" s="627">
        <v>29332</v>
      </c>
      <c r="G180" s="494" t="s">
        <v>1029</v>
      </c>
      <c r="S180" s="629">
        <f t="shared" si="4"/>
        <v>0.375</v>
      </c>
      <c r="T180" s="629">
        <f t="shared" si="5"/>
        <v>0.39583333333333331</v>
      </c>
      <c r="U180" s="494" t="s">
        <v>908</v>
      </c>
      <c r="V180" s="620" t="str">
        <f>Combined_tables[[#This Row],[TimeSlot_Start_text]]</f>
        <v>0900</v>
      </c>
      <c r="W180" s="621"/>
      <c r="X180" s="621" t="s">
        <v>619</v>
      </c>
      <c r="Y180" s="621"/>
      <c r="Z180" s="621" t="s">
        <v>619</v>
      </c>
      <c r="AA180" s="621"/>
      <c r="AB180" s="494" t="s">
        <v>1085</v>
      </c>
      <c r="AD180" s="625" t="s">
        <v>1020</v>
      </c>
      <c r="AG180" s="627"/>
      <c r="AH180" s="494" t="s">
        <v>1021</v>
      </c>
      <c r="AI180" s="625" t="s">
        <v>1022</v>
      </c>
      <c r="AJ180" s="627">
        <v>25092</v>
      </c>
      <c r="AK180" s="623" t="s">
        <v>1024</v>
      </c>
      <c r="AL180" s="627">
        <v>7089287239</v>
      </c>
      <c r="AM180" s="494" t="s">
        <v>786</v>
      </c>
      <c r="AN180" s="625" t="s">
        <v>901</v>
      </c>
      <c r="AO180" s="627">
        <v>22230</v>
      </c>
      <c r="AP180" s="623" t="s">
        <v>882</v>
      </c>
      <c r="AQ180" s="627">
        <v>7089327433</v>
      </c>
    </row>
    <row r="181" spans="1:43" ht="15" customHeight="1" x14ac:dyDescent="0.25">
      <c r="A181" s="625">
        <v>180</v>
      </c>
      <c r="B181" s="494" t="s">
        <v>589</v>
      </c>
      <c r="C181" s="625">
        <v>102</v>
      </c>
      <c r="D181" s="494" t="s">
        <v>1026</v>
      </c>
      <c r="E181" s="627">
        <v>9504453</v>
      </c>
      <c r="F181" s="627">
        <v>29332</v>
      </c>
      <c r="G181" s="494" t="s">
        <v>1029</v>
      </c>
      <c r="S181" s="629">
        <f t="shared" si="4"/>
        <v>0.39583333333333331</v>
      </c>
      <c r="T181" s="629">
        <f t="shared" si="5"/>
        <v>0.41666666666666663</v>
      </c>
      <c r="U181" s="494" t="s">
        <v>909</v>
      </c>
      <c r="V181" s="620" t="str">
        <f>Combined_tables[[#This Row],[TimeSlot_Start_text]]</f>
        <v>0930</v>
      </c>
      <c r="W181" s="621" t="s">
        <v>380</v>
      </c>
      <c r="X181" s="621" t="s">
        <v>619</v>
      </c>
      <c r="Y181" s="621"/>
      <c r="Z181" s="621" t="s">
        <v>619</v>
      </c>
      <c r="AA181" s="621"/>
      <c r="AB181" s="494" t="s">
        <v>1086</v>
      </c>
      <c r="AD181" s="625" t="s">
        <v>1020</v>
      </c>
      <c r="AG181" s="627"/>
      <c r="AH181" s="494" t="s">
        <v>1021</v>
      </c>
      <c r="AI181" s="625" t="s">
        <v>1022</v>
      </c>
      <c r="AJ181" s="627">
        <v>25092</v>
      </c>
      <c r="AK181" s="623" t="s">
        <v>1024</v>
      </c>
      <c r="AL181" s="627">
        <v>7089287239</v>
      </c>
      <c r="AM181" s="494" t="s">
        <v>786</v>
      </c>
      <c r="AN181" s="625" t="s">
        <v>901</v>
      </c>
      <c r="AO181" s="627">
        <v>22230</v>
      </c>
      <c r="AP181" s="623" t="s">
        <v>882</v>
      </c>
      <c r="AQ181" s="627">
        <v>7089327433</v>
      </c>
    </row>
    <row r="182" spans="1:43" x14ac:dyDescent="0.25">
      <c r="A182" s="625">
        <v>181</v>
      </c>
      <c r="B182" s="494" t="s">
        <v>589</v>
      </c>
      <c r="C182" s="625">
        <v>102</v>
      </c>
      <c r="D182" s="494" t="s">
        <v>1026</v>
      </c>
      <c r="E182" s="627">
        <v>9504453</v>
      </c>
      <c r="F182" s="627">
        <v>29332</v>
      </c>
      <c r="G182" s="494" t="s">
        <v>1029</v>
      </c>
      <c r="S182" s="629">
        <f t="shared" si="4"/>
        <v>0.41666666666666669</v>
      </c>
      <c r="T182" s="629">
        <f t="shared" si="5"/>
        <v>0.4375</v>
      </c>
      <c r="U182" s="494" t="s">
        <v>910</v>
      </c>
      <c r="V182" s="620" t="str">
        <f>Combined_tables[[#This Row],[TimeSlot_Start_text]]</f>
        <v>1000</v>
      </c>
      <c r="W182" s="621"/>
      <c r="X182" s="621"/>
      <c r="Y182" s="621" t="s">
        <v>380</v>
      </c>
      <c r="Z182" s="621"/>
      <c r="AA182" s="621"/>
      <c r="AB182" s="494" t="s">
        <v>1073</v>
      </c>
      <c r="AD182" s="625" t="s">
        <v>1020</v>
      </c>
      <c r="AG182" s="627"/>
      <c r="AH182" s="494" t="s">
        <v>1021</v>
      </c>
      <c r="AI182" s="625" t="s">
        <v>1022</v>
      </c>
      <c r="AJ182" s="627">
        <v>25092</v>
      </c>
      <c r="AK182" s="623" t="s">
        <v>1024</v>
      </c>
      <c r="AL182" s="627">
        <v>7089287239</v>
      </c>
      <c r="AM182" s="494" t="s">
        <v>786</v>
      </c>
      <c r="AN182" s="625" t="s">
        <v>901</v>
      </c>
      <c r="AO182" s="627">
        <v>22230</v>
      </c>
      <c r="AP182" s="623" t="s">
        <v>882</v>
      </c>
      <c r="AQ182" s="627">
        <v>7089327433</v>
      </c>
    </row>
    <row r="183" spans="1:43" x14ac:dyDescent="0.25">
      <c r="A183" s="625">
        <v>182</v>
      </c>
      <c r="B183" s="494" t="s">
        <v>589</v>
      </c>
      <c r="C183" s="625">
        <v>102</v>
      </c>
      <c r="D183" s="494" t="s">
        <v>1026</v>
      </c>
      <c r="E183" s="627">
        <v>9504453</v>
      </c>
      <c r="F183" s="627">
        <v>29332</v>
      </c>
      <c r="G183" s="494" t="s">
        <v>1029</v>
      </c>
      <c r="S183" s="629">
        <f t="shared" si="4"/>
        <v>0.4375</v>
      </c>
      <c r="T183" s="629">
        <f t="shared" si="5"/>
        <v>0.45833333333333331</v>
      </c>
      <c r="U183" s="494" t="s">
        <v>911</v>
      </c>
      <c r="V183" s="620" t="str">
        <f>Combined_tables[[#This Row],[TimeSlot_Start_text]]</f>
        <v>1030</v>
      </c>
      <c r="W183" s="621" t="s">
        <v>380</v>
      </c>
      <c r="X183" s="621" t="s">
        <v>619</v>
      </c>
      <c r="Y183" s="621"/>
      <c r="Z183" s="621" t="s">
        <v>619</v>
      </c>
      <c r="AA183" s="621"/>
      <c r="AB183" s="494" t="s">
        <v>1074</v>
      </c>
      <c r="AD183" s="625" t="s">
        <v>1020</v>
      </c>
      <c r="AG183" s="627"/>
      <c r="AH183" s="494" t="s">
        <v>1021</v>
      </c>
      <c r="AI183" s="625" t="s">
        <v>1022</v>
      </c>
      <c r="AJ183" s="627">
        <v>25092</v>
      </c>
      <c r="AK183" s="623" t="s">
        <v>1024</v>
      </c>
      <c r="AL183" s="627">
        <v>7089287239</v>
      </c>
      <c r="AM183" s="494" t="s">
        <v>786</v>
      </c>
      <c r="AN183" s="625" t="s">
        <v>901</v>
      </c>
      <c r="AO183" s="627">
        <v>22230</v>
      </c>
      <c r="AP183" s="623" t="s">
        <v>882</v>
      </c>
      <c r="AQ183" s="627">
        <v>7089327433</v>
      </c>
    </row>
    <row r="184" spans="1:43" x14ac:dyDescent="0.25">
      <c r="A184" s="625">
        <v>183</v>
      </c>
      <c r="B184" s="494" t="s">
        <v>589</v>
      </c>
      <c r="C184" s="625">
        <v>102</v>
      </c>
      <c r="D184" s="494" t="s">
        <v>1026</v>
      </c>
      <c r="E184" s="627">
        <v>9504453</v>
      </c>
      <c r="F184" s="627">
        <v>29332</v>
      </c>
      <c r="G184" s="494" t="s">
        <v>1029</v>
      </c>
      <c r="S184" s="629">
        <f t="shared" si="4"/>
        <v>0.45833333333333331</v>
      </c>
      <c r="T184" s="629">
        <f t="shared" si="5"/>
        <v>0.47916666666666663</v>
      </c>
      <c r="U184" s="494" t="s">
        <v>912</v>
      </c>
      <c r="V184" s="620" t="str">
        <f>Combined_tables[[#This Row],[TimeSlot_Start_text]]</f>
        <v>1100</v>
      </c>
      <c r="W184" s="621"/>
      <c r="X184" s="621" t="s">
        <v>619</v>
      </c>
      <c r="Y184" s="621" t="s">
        <v>380</v>
      </c>
      <c r="Z184" s="621" t="s">
        <v>619</v>
      </c>
      <c r="AA184" s="621"/>
      <c r="AB184" s="494" t="s">
        <v>1076</v>
      </c>
      <c r="AD184" s="625" t="s">
        <v>1020</v>
      </c>
      <c r="AG184" s="627"/>
      <c r="AH184" s="494" t="s">
        <v>1021</v>
      </c>
      <c r="AI184" s="625" t="s">
        <v>1022</v>
      </c>
      <c r="AJ184" s="627">
        <v>25092</v>
      </c>
      <c r="AK184" s="623" t="s">
        <v>1024</v>
      </c>
      <c r="AL184" s="627">
        <v>7089287239</v>
      </c>
      <c r="AM184" s="494" t="s">
        <v>786</v>
      </c>
      <c r="AN184" s="625" t="s">
        <v>901</v>
      </c>
      <c r="AO184" s="627">
        <v>22230</v>
      </c>
      <c r="AP184" s="623" t="s">
        <v>882</v>
      </c>
      <c r="AQ184" s="627">
        <v>7089327433</v>
      </c>
    </row>
    <row r="185" spans="1:43" x14ac:dyDescent="0.25">
      <c r="A185" s="625">
        <v>184</v>
      </c>
      <c r="B185" s="494" t="s">
        <v>589</v>
      </c>
      <c r="C185" s="625">
        <v>102</v>
      </c>
      <c r="D185" s="494" t="s">
        <v>1026</v>
      </c>
      <c r="E185" s="627">
        <v>9504453</v>
      </c>
      <c r="F185" s="627">
        <v>29332</v>
      </c>
      <c r="G185" s="494" t="s">
        <v>1029</v>
      </c>
      <c r="S185" s="629">
        <f t="shared" si="4"/>
        <v>0.47916666666666669</v>
      </c>
      <c r="T185" s="629">
        <f t="shared" si="5"/>
        <v>0.5</v>
      </c>
      <c r="U185" s="494" t="s">
        <v>913</v>
      </c>
      <c r="V185" s="620" t="str">
        <f>Combined_tables[[#This Row],[TimeSlot_Start_text]]</f>
        <v>1130</v>
      </c>
      <c r="W185" s="621"/>
      <c r="X185" s="621" t="s">
        <v>619</v>
      </c>
      <c r="Y185" s="621"/>
      <c r="Z185" s="621" t="s">
        <v>619</v>
      </c>
      <c r="AA185" s="621"/>
      <c r="AB185" s="494" t="s">
        <v>1075</v>
      </c>
      <c r="AD185" s="625" t="s">
        <v>1020</v>
      </c>
      <c r="AG185" s="627"/>
      <c r="AH185" s="494" t="s">
        <v>1021</v>
      </c>
      <c r="AI185" s="625" t="s">
        <v>1022</v>
      </c>
      <c r="AJ185" s="627">
        <v>25092</v>
      </c>
      <c r="AK185" s="623" t="s">
        <v>1024</v>
      </c>
      <c r="AL185" s="627">
        <v>7089287239</v>
      </c>
      <c r="AM185" s="494" t="s">
        <v>786</v>
      </c>
      <c r="AN185" s="625" t="s">
        <v>901</v>
      </c>
      <c r="AO185" s="627">
        <v>22230</v>
      </c>
      <c r="AP185" s="623" t="s">
        <v>882</v>
      </c>
      <c r="AQ185" s="627">
        <v>7089327433</v>
      </c>
    </row>
    <row r="186" spans="1:43" ht="15" customHeight="1" x14ac:dyDescent="0.25">
      <c r="A186" s="625">
        <v>185</v>
      </c>
      <c r="B186" s="494" t="s">
        <v>589</v>
      </c>
      <c r="C186" s="625">
        <v>102</v>
      </c>
      <c r="D186" s="494" t="s">
        <v>1026</v>
      </c>
      <c r="E186" s="627">
        <v>9504453</v>
      </c>
      <c r="F186" s="627">
        <v>29332</v>
      </c>
      <c r="G186" s="494" t="s">
        <v>1029</v>
      </c>
      <c r="S186" s="629">
        <f t="shared" si="4"/>
        <v>0.5</v>
      </c>
      <c r="T186" s="629">
        <f t="shared" si="5"/>
        <v>0.52083333333333337</v>
      </c>
      <c r="U186" s="494" t="s">
        <v>914</v>
      </c>
      <c r="V186" s="620" t="str">
        <f>Combined_tables[[#This Row],[TimeSlot_Start_text]]</f>
        <v>1200</v>
      </c>
      <c r="W186" s="621" t="s">
        <v>354</v>
      </c>
      <c r="X186" s="621" t="s">
        <v>354</v>
      </c>
      <c r="Y186" s="621" t="s">
        <v>354</v>
      </c>
      <c r="Z186" s="621" t="s">
        <v>354</v>
      </c>
      <c r="AA186" s="621" t="s">
        <v>354</v>
      </c>
      <c r="AB186" s="494" t="s">
        <v>1077</v>
      </c>
      <c r="AD186" s="625" t="s">
        <v>1020</v>
      </c>
      <c r="AG186" s="627"/>
      <c r="AH186" s="494" t="s">
        <v>1021</v>
      </c>
      <c r="AI186" s="625" t="s">
        <v>1022</v>
      </c>
      <c r="AJ186" s="627">
        <v>25092</v>
      </c>
      <c r="AK186" s="623" t="s">
        <v>1024</v>
      </c>
      <c r="AL186" s="627">
        <v>7089287239</v>
      </c>
      <c r="AM186" s="494" t="s">
        <v>786</v>
      </c>
      <c r="AN186" s="625" t="s">
        <v>901</v>
      </c>
      <c r="AO186" s="627">
        <v>22230</v>
      </c>
      <c r="AP186" s="623" t="s">
        <v>882</v>
      </c>
      <c r="AQ186" s="627">
        <v>7089327433</v>
      </c>
    </row>
    <row r="187" spans="1:43" ht="15.75" customHeight="1" x14ac:dyDescent="0.25">
      <c r="A187" s="625">
        <v>186</v>
      </c>
      <c r="B187" s="494" t="s">
        <v>589</v>
      </c>
      <c r="C187" s="625">
        <v>102</v>
      </c>
      <c r="D187" s="494" t="s">
        <v>1026</v>
      </c>
      <c r="E187" s="627">
        <v>9504453</v>
      </c>
      <c r="F187" s="627">
        <v>29332</v>
      </c>
      <c r="G187" s="494" t="s">
        <v>1029</v>
      </c>
      <c r="S187" s="629">
        <f t="shared" si="4"/>
        <v>0.52083333333333337</v>
      </c>
      <c r="T187" s="629">
        <f t="shared" si="5"/>
        <v>0.54166666666666674</v>
      </c>
      <c r="U187" s="494" t="s">
        <v>915</v>
      </c>
      <c r="V187" s="620" t="str">
        <f>Combined_tables[[#This Row],[TimeSlot_Start_text]]</f>
        <v>1230</v>
      </c>
      <c r="W187" s="621" t="s">
        <v>354</v>
      </c>
      <c r="X187" s="621" t="s">
        <v>354</v>
      </c>
      <c r="Y187" s="621" t="s">
        <v>354</v>
      </c>
      <c r="Z187" s="621" t="s">
        <v>354</v>
      </c>
      <c r="AA187" s="621" t="s">
        <v>354</v>
      </c>
      <c r="AB187" s="494" t="s">
        <v>1078</v>
      </c>
      <c r="AD187" s="625" t="s">
        <v>1020</v>
      </c>
      <c r="AG187" s="627"/>
      <c r="AH187" s="494" t="s">
        <v>1021</v>
      </c>
      <c r="AI187" s="625" t="s">
        <v>1022</v>
      </c>
      <c r="AJ187" s="627">
        <v>25092</v>
      </c>
      <c r="AK187" s="623" t="s">
        <v>1024</v>
      </c>
      <c r="AL187" s="627">
        <v>7089287239</v>
      </c>
      <c r="AM187" s="494" t="s">
        <v>786</v>
      </c>
      <c r="AN187" s="625" t="s">
        <v>901</v>
      </c>
      <c r="AO187" s="627">
        <v>22230</v>
      </c>
      <c r="AP187" s="623" t="s">
        <v>882</v>
      </c>
      <c r="AQ187" s="627">
        <v>7089327433</v>
      </c>
    </row>
    <row r="188" spans="1:43" x14ac:dyDescent="0.25">
      <c r="A188" s="625">
        <v>187</v>
      </c>
      <c r="B188" s="494" t="s">
        <v>589</v>
      </c>
      <c r="C188" s="625">
        <v>102</v>
      </c>
      <c r="D188" s="494" t="s">
        <v>1026</v>
      </c>
      <c r="E188" s="627">
        <v>9504453</v>
      </c>
      <c r="F188" s="627">
        <v>29332</v>
      </c>
      <c r="G188" s="494" t="s">
        <v>1029</v>
      </c>
      <c r="S188" s="629">
        <f t="shared" si="4"/>
        <v>0.54166666666666663</v>
      </c>
      <c r="T188" s="629">
        <f t="shared" si="5"/>
        <v>0.5625</v>
      </c>
      <c r="U188" s="494" t="s">
        <v>916</v>
      </c>
      <c r="V188" s="620" t="str">
        <f>Combined_tables[[#This Row],[TimeSlot_Start_text]]</f>
        <v>1300</v>
      </c>
      <c r="W188" s="621"/>
      <c r="X188" s="621" t="s">
        <v>619</v>
      </c>
      <c r="Y188" s="621" t="s">
        <v>380</v>
      </c>
      <c r="Z188" s="621" t="s">
        <v>619</v>
      </c>
      <c r="AA188" s="621"/>
      <c r="AB188" s="494" t="s">
        <v>1071</v>
      </c>
      <c r="AD188" s="625" t="s">
        <v>1020</v>
      </c>
      <c r="AG188" s="627"/>
      <c r="AH188" s="494" t="s">
        <v>1021</v>
      </c>
      <c r="AI188" s="625" t="s">
        <v>1022</v>
      </c>
      <c r="AJ188" s="627">
        <v>25092</v>
      </c>
      <c r="AK188" s="623" t="s">
        <v>1024</v>
      </c>
      <c r="AL188" s="627">
        <v>7089287239</v>
      </c>
      <c r="AM188" s="494" t="s">
        <v>786</v>
      </c>
      <c r="AN188" s="625" t="s">
        <v>901</v>
      </c>
      <c r="AO188" s="627">
        <v>22230</v>
      </c>
      <c r="AP188" s="623" t="s">
        <v>882</v>
      </c>
      <c r="AQ188" s="627">
        <v>7089327433</v>
      </c>
    </row>
    <row r="189" spans="1:43" x14ac:dyDescent="0.25">
      <c r="A189" s="625">
        <v>188</v>
      </c>
      <c r="B189" s="494" t="s">
        <v>589</v>
      </c>
      <c r="C189" s="625">
        <v>102</v>
      </c>
      <c r="D189" s="494" t="s">
        <v>1026</v>
      </c>
      <c r="E189" s="627">
        <v>9504453</v>
      </c>
      <c r="F189" s="627">
        <v>29332</v>
      </c>
      <c r="G189" s="494" t="s">
        <v>1029</v>
      </c>
      <c r="S189" s="629">
        <f t="shared" si="4"/>
        <v>0.5625</v>
      </c>
      <c r="T189" s="629">
        <f t="shared" si="5"/>
        <v>0.58333333333333337</v>
      </c>
      <c r="U189" s="494" t="s">
        <v>917</v>
      </c>
      <c r="V189" s="620" t="str">
        <f>Combined_tables[[#This Row],[TimeSlot_Start_text]]</f>
        <v>1330</v>
      </c>
      <c r="W189" s="621"/>
      <c r="X189" s="621" t="s">
        <v>619</v>
      </c>
      <c r="Y189" s="621"/>
      <c r="Z189" s="621" t="s">
        <v>619</v>
      </c>
      <c r="AA189" s="621"/>
      <c r="AB189" s="494" t="s">
        <v>1072</v>
      </c>
      <c r="AD189" s="625" t="s">
        <v>1020</v>
      </c>
      <c r="AG189" s="627"/>
      <c r="AH189" s="494" t="s">
        <v>1021</v>
      </c>
      <c r="AI189" s="625" t="s">
        <v>1022</v>
      </c>
      <c r="AJ189" s="627">
        <v>25092</v>
      </c>
      <c r="AK189" s="623" t="s">
        <v>1024</v>
      </c>
      <c r="AL189" s="627">
        <v>7089287239</v>
      </c>
      <c r="AM189" s="494" t="s">
        <v>786</v>
      </c>
      <c r="AN189" s="625" t="s">
        <v>901</v>
      </c>
      <c r="AO189" s="627">
        <v>22230</v>
      </c>
      <c r="AP189" s="623" t="s">
        <v>882</v>
      </c>
      <c r="AQ189" s="627">
        <v>7089327433</v>
      </c>
    </row>
    <row r="190" spans="1:43" x14ac:dyDescent="0.25">
      <c r="A190" s="625">
        <v>189</v>
      </c>
      <c r="B190" s="494" t="s">
        <v>589</v>
      </c>
      <c r="C190" s="625">
        <v>102</v>
      </c>
      <c r="D190" s="494" t="s">
        <v>1026</v>
      </c>
      <c r="E190" s="627">
        <v>9504453</v>
      </c>
      <c r="F190" s="627">
        <v>29332</v>
      </c>
      <c r="G190" s="494" t="s">
        <v>1029</v>
      </c>
      <c r="S190" s="629">
        <f t="shared" si="4"/>
        <v>0.58333333333333337</v>
      </c>
      <c r="T190" s="629">
        <f t="shared" si="5"/>
        <v>0.60416666666666674</v>
      </c>
      <c r="U190" s="494" t="s">
        <v>918</v>
      </c>
      <c r="V190" s="620" t="str">
        <f>Combined_tables[[#This Row],[TimeSlot_Start_text]]</f>
        <v>1400</v>
      </c>
      <c r="W190" s="621"/>
      <c r="X190" s="621" t="s">
        <v>619</v>
      </c>
      <c r="Y190" s="621"/>
      <c r="Z190" s="621" t="s">
        <v>619</v>
      </c>
      <c r="AA190" s="621"/>
      <c r="AB190" s="494" t="s">
        <v>1079</v>
      </c>
      <c r="AD190" s="625" t="s">
        <v>1020</v>
      </c>
      <c r="AG190" s="627"/>
      <c r="AH190" s="494" t="s">
        <v>1021</v>
      </c>
      <c r="AI190" s="625" t="s">
        <v>1022</v>
      </c>
      <c r="AJ190" s="627">
        <v>25092</v>
      </c>
      <c r="AK190" s="623" t="s">
        <v>1024</v>
      </c>
      <c r="AL190" s="627">
        <v>7089287239</v>
      </c>
      <c r="AM190" s="494" t="s">
        <v>786</v>
      </c>
      <c r="AN190" s="625" t="s">
        <v>901</v>
      </c>
      <c r="AO190" s="627">
        <v>22230</v>
      </c>
      <c r="AP190" s="623" t="s">
        <v>882</v>
      </c>
      <c r="AQ190" s="627">
        <v>7089327433</v>
      </c>
    </row>
    <row r="191" spans="1:43" x14ac:dyDescent="0.25">
      <c r="A191" s="625">
        <v>190</v>
      </c>
      <c r="B191" s="494" t="s">
        <v>589</v>
      </c>
      <c r="C191" s="625">
        <v>102</v>
      </c>
      <c r="D191" s="494" t="s">
        <v>1026</v>
      </c>
      <c r="E191" s="627">
        <v>9504453</v>
      </c>
      <c r="F191" s="627">
        <v>29332</v>
      </c>
      <c r="G191" s="494" t="s">
        <v>1029</v>
      </c>
      <c r="S191" s="629">
        <f t="shared" si="4"/>
        <v>0.60416666666666663</v>
      </c>
      <c r="T191" s="629">
        <f t="shared" si="5"/>
        <v>0.625</v>
      </c>
      <c r="U191" s="494" t="s">
        <v>919</v>
      </c>
      <c r="V191" s="620" t="str">
        <f>Combined_tables[[#This Row],[TimeSlot_Start_text]]</f>
        <v>1430</v>
      </c>
      <c r="W191" s="621"/>
      <c r="X191" s="621" t="s">
        <v>619</v>
      </c>
      <c r="Y191" s="621"/>
      <c r="Z191" s="621" t="s">
        <v>619</v>
      </c>
      <c r="AA191" s="621"/>
      <c r="AB191" s="494" t="s">
        <v>1080</v>
      </c>
      <c r="AD191" s="625" t="s">
        <v>1020</v>
      </c>
      <c r="AG191" s="627"/>
      <c r="AH191" s="494" t="s">
        <v>1021</v>
      </c>
      <c r="AI191" s="625" t="s">
        <v>1022</v>
      </c>
      <c r="AJ191" s="627">
        <v>25092</v>
      </c>
      <c r="AK191" s="623" t="s">
        <v>1024</v>
      </c>
      <c r="AL191" s="627">
        <v>7089287239</v>
      </c>
      <c r="AM191" s="494" t="s">
        <v>786</v>
      </c>
      <c r="AN191" s="625" t="s">
        <v>901</v>
      </c>
      <c r="AO191" s="627">
        <v>22230</v>
      </c>
      <c r="AP191" s="623" t="s">
        <v>882</v>
      </c>
      <c r="AQ191" s="627">
        <v>7089327433</v>
      </c>
    </row>
    <row r="192" spans="1:43" x14ac:dyDescent="0.25">
      <c r="A192" s="625">
        <v>191</v>
      </c>
      <c r="B192" s="494" t="s">
        <v>589</v>
      </c>
      <c r="C192" s="625">
        <v>102</v>
      </c>
      <c r="D192" s="494" t="s">
        <v>1026</v>
      </c>
      <c r="E192" s="627">
        <v>9504453</v>
      </c>
      <c r="F192" s="627">
        <v>29332</v>
      </c>
      <c r="G192" s="494" t="s">
        <v>1029</v>
      </c>
      <c r="S192" s="629">
        <f t="shared" si="4"/>
        <v>0.625</v>
      </c>
      <c r="T192" s="629">
        <f t="shared" si="5"/>
        <v>0.64583333333333337</v>
      </c>
      <c r="U192" s="494" t="s">
        <v>920</v>
      </c>
      <c r="V192" s="620" t="str">
        <f>Combined_tables[[#This Row],[TimeSlot_Start_text]]</f>
        <v>1500</v>
      </c>
      <c r="W192" s="621"/>
      <c r="X192" s="621" t="s">
        <v>619</v>
      </c>
      <c r="Y192" s="621"/>
      <c r="Z192" s="621" t="s">
        <v>619</v>
      </c>
      <c r="AA192" s="621"/>
      <c r="AB192" s="494" t="s">
        <v>1081</v>
      </c>
      <c r="AD192" s="625" t="s">
        <v>1020</v>
      </c>
      <c r="AG192" s="627"/>
      <c r="AH192" s="494" t="s">
        <v>1021</v>
      </c>
      <c r="AI192" s="625" t="s">
        <v>1022</v>
      </c>
      <c r="AJ192" s="627">
        <v>25092</v>
      </c>
      <c r="AK192" s="623" t="s">
        <v>1024</v>
      </c>
      <c r="AL192" s="627">
        <v>7089287239</v>
      </c>
      <c r="AM192" s="494" t="s">
        <v>786</v>
      </c>
      <c r="AN192" s="625" t="s">
        <v>901</v>
      </c>
      <c r="AO192" s="627">
        <v>22230</v>
      </c>
      <c r="AP192" s="623" t="s">
        <v>882</v>
      </c>
      <c r="AQ192" s="627">
        <v>7089327433</v>
      </c>
    </row>
    <row r="193" spans="1:43" x14ac:dyDescent="0.25">
      <c r="A193" s="625">
        <v>192</v>
      </c>
      <c r="B193" s="494" t="s">
        <v>589</v>
      </c>
      <c r="C193" s="625">
        <v>102</v>
      </c>
      <c r="D193" s="494" t="s">
        <v>1026</v>
      </c>
      <c r="E193" s="627">
        <v>9504453</v>
      </c>
      <c r="F193" s="627">
        <v>29332</v>
      </c>
      <c r="G193" s="494" t="s">
        <v>1029</v>
      </c>
      <c r="S193" s="629">
        <f t="shared" si="4"/>
        <v>0.64583333333333337</v>
      </c>
      <c r="T193" s="629">
        <f t="shared" si="5"/>
        <v>0.66666666666666674</v>
      </c>
      <c r="U193" s="494" t="s">
        <v>921</v>
      </c>
      <c r="V193" s="620" t="str">
        <f>Combined_tables[[#This Row],[TimeSlot_Start_text]]</f>
        <v>1530</v>
      </c>
      <c r="W193" s="621"/>
      <c r="X193" s="621" t="s">
        <v>619</v>
      </c>
      <c r="Y193" s="621"/>
      <c r="Z193" s="621" t="s">
        <v>619</v>
      </c>
      <c r="AA193" s="621"/>
      <c r="AB193" s="494" t="s">
        <v>1082</v>
      </c>
      <c r="AD193" s="625" t="s">
        <v>1020</v>
      </c>
      <c r="AG193" s="627"/>
      <c r="AH193" s="494" t="s">
        <v>1021</v>
      </c>
      <c r="AI193" s="625" t="s">
        <v>1022</v>
      </c>
      <c r="AJ193" s="627">
        <v>25092</v>
      </c>
      <c r="AK193" s="623" t="s">
        <v>1024</v>
      </c>
      <c r="AL193" s="627">
        <v>7089287239</v>
      </c>
      <c r="AM193" s="494" t="s">
        <v>786</v>
      </c>
      <c r="AN193" s="625" t="s">
        <v>901</v>
      </c>
      <c r="AO193" s="627">
        <v>22230</v>
      </c>
      <c r="AP193" s="623" t="s">
        <v>882</v>
      </c>
      <c r="AQ193" s="627">
        <v>7089327433</v>
      </c>
    </row>
    <row r="194" spans="1:43" ht="15" customHeight="1" x14ac:dyDescent="0.25">
      <c r="A194" s="625">
        <v>193</v>
      </c>
      <c r="B194" s="494" t="s">
        <v>589</v>
      </c>
      <c r="C194" s="625">
        <v>103</v>
      </c>
      <c r="D194" s="494" t="s">
        <v>1030</v>
      </c>
      <c r="E194" s="627">
        <v>9504647</v>
      </c>
      <c r="F194" s="627">
        <v>29333</v>
      </c>
      <c r="G194" s="494" t="s">
        <v>1033</v>
      </c>
      <c r="S194" s="629">
        <f t="shared" ref="S194:S257" si="6">TIME(LEFT(U194,2),RIGHT(U194,2),"00")</f>
        <v>0.33333333333333331</v>
      </c>
      <c r="T194" s="629">
        <f t="shared" ref="T194:T257" si="7">S194+(TIME("00","30","00"))</f>
        <v>0.35416666666666663</v>
      </c>
      <c r="U194" s="494" t="s">
        <v>906</v>
      </c>
      <c r="V194" s="620" t="str">
        <f>Combined_tables[[#This Row],[TimeSlot_Start_text]]</f>
        <v>0800</v>
      </c>
      <c r="W194" s="621"/>
      <c r="X194" s="621"/>
      <c r="Y194" s="621"/>
      <c r="Z194" s="621"/>
      <c r="AA194" s="621"/>
      <c r="AB194" s="494" t="s">
        <v>1083</v>
      </c>
      <c r="AD194" s="625" t="s">
        <v>1020</v>
      </c>
      <c r="AG194" s="627"/>
      <c r="AH194" s="494" t="s">
        <v>1021</v>
      </c>
      <c r="AI194" s="625" t="s">
        <v>1022</v>
      </c>
      <c r="AJ194" s="627">
        <v>25092</v>
      </c>
      <c r="AK194" s="623" t="s">
        <v>1024</v>
      </c>
      <c r="AL194" s="627">
        <v>7089287239</v>
      </c>
      <c r="AM194" s="494" t="s">
        <v>786</v>
      </c>
      <c r="AN194" s="625" t="s">
        <v>901</v>
      </c>
      <c r="AO194" s="627">
        <v>22230</v>
      </c>
      <c r="AP194" s="623" t="s">
        <v>882</v>
      </c>
      <c r="AQ194" s="627">
        <v>7089327433</v>
      </c>
    </row>
    <row r="195" spans="1:43" ht="15" customHeight="1" x14ac:dyDescent="0.25">
      <c r="A195" s="625">
        <v>194</v>
      </c>
      <c r="B195" s="494" t="s">
        <v>589</v>
      </c>
      <c r="C195" s="625">
        <v>103</v>
      </c>
      <c r="D195" s="494" t="s">
        <v>1030</v>
      </c>
      <c r="E195" s="627">
        <v>9504647</v>
      </c>
      <c r="F195" s="627">
        <v>29333</v>
      </c>
      <c r="G195" s="494" t="s">
        <v>1033</v>
      </c>
      <c r="S195" s="629">
        <f t="shared" si="6"/>
        <v>0.35416666666666669</v>
      </c>
      <c r="T195" s="629">
        <f t="shared" si="7"/>
        <v>0.375</v>
      </c>
      <c r="U195" s="494" t="s">
        <v>907</v>
      </c>
      <c r="V195" s="620" t="str">
        <f>Combined_tables[[#This Row],[TimeSlot_Start_text]]</f>
        <v>0830</v>
      </c>
      <c r="W195" s="621"/>
      <c r="X195" s="621"/>
      <c r="Y195" s="621"/>
      <c r="Z195" s="621"/>
      <c r="AA195" s="621"/>
      <c r="AB195" s="494" t="s">
        <v>1084</v>
      </c>
      <c r="AD195" s="625" t="s">
        <v>1020</v>
      </c>
      <c r="AG195" s="627"/>
      <c r="AH195" s="494" t="s">
        <v>1021</v>
      </c>
      <c r="AI195" s="625" t="s">
        <v>1022</v>
      </c>
      <c r="AJ195" s="627">
        <v>25092</v>
      </c>
      <c r="AK195" s="623" t="s">
        <v>1024</v>
      </c>
      <c r="AL195" s="627">
        <v>7089287239</v>
      </c>
      <c r="AM195" s="494" t="s">
        <v>786</v>
      </c>
      <c r="AN195" s="625" t="s">
        <v>901</v>
      </c>
      <c r="AO195" s="627">
        <v>22230</v>
      </c>
      <c r="AP195" s="623" t="s">
        <v>882</v>
      </c>
      <c r="AQ195" s="627">
        <v>7089327433</v>
      </c>
    </row>
    <row r="196" spans="1:43" ht="15" customHeight="1" x14ac:dyDescent="0.25">
      <c r="A196" s="625">
        <v>195</v>
      </c>
      <c r="B196" s="494" t="s">
        <v>589</v>
      </c>
      <c r="C196" s="625">
        <v>103</v>
      </c>
      <c r="D196" s="494" t="s">
        <v>1030</v>
      </c>
      <c r="E196" s="627">
        <v>9504647</v>
      </c>
      <c r="F196" s="627">
        <v>29333</v>
      </c>
      <c r="G196" s="494" t="s">
        <v>1033</v>
      </c>
      <c r="S196" s="629">
        <f t="shared" si="6"/>
        <v>0.375</v>
      </c>
      <c r="T196" s="629">
        <f t="shared" si="7"/>
        <v>0.39583333333333331</v>
      </c>
      <c r="U196" s="494" t="s">
        <v>908</v>
      </c>
      <c r="V196" s="620" t="str">
        <f>Combined_tables[[#This Row],[TimeSlot_Start_text]]</f>
        <v>0900</v>
      </c>
      <c r="W196" s="621"/>
      <c r="X196" s="621"/>
      <c r="Y196" s="621"/>
      <c r="Z196" s="621"/>
      <c r="AA196" s="621"/>
      <c r="AB196" s="494" t="s">
        <v>1085</v>
      </c>
      <c r="AD196" s="625" t="s">
        <v>1020</v>
      </c>
      <c r="AG196" s="627"/>
      <c r="AH196" s="494" t="s">
        <v>1021</v>
      </c>
      <c r="AI196" s="625" t="s">
        <v>1022</v>
      </c>
      <c r="AJ196" s="627">
        <v>25092</v>
      </c>
      <c r="AK196" s="623" t="s">
        <v>1024</v>
      </c>
      <c r="AL196" s="627">
        <v>7089287239</v>
      </c>
      <c r="AM196" s="494" t="s">
        <v>786</v>
      </c>
      <c r="AN196" s="625" t="s">
        <v>901</v>
      </c>
      <c r="AO196" s="627">
        <v>22230</v>
      </c>
      <c r="AP196" s="623" t="s">
        <v>882</v>
      </c>
      <c r="AQ196" s="627">
        <v>7089327433</v>
      </c>
    </row>
    <row r="197" spans="1:43" ht="15" customHeight="1" x14ac:dyDescent="0.25">
      <c r="A197" s="625">
        <v>196</v>
      </c>
      <c r="B197" s="494" t="s">
        <v>589</v>
      </c>
      <c r="C197" s="625">
        <v>103</v>
      </c>
      <c r="D197" s="494" t="s">
        <v>1030</v>
      </c>
      <c r="E197" s="627">
        <v>9504647</v>
      </c>
      <c r="F197" s="627">
        <v>29333</v>
      </c>
      <c r="G197" s="494" t="s">
        <v>1033</v>
      </c>
      <c r="S197" s="629">
        <f t="shared" si="6"/>
        <v>0.39583333333333331</v>
      </c>
      <c r="T197" s="629">
        <f t="shared" si="7"/>
        <v>0.41666666666666663</v>
      </c>
      <c r="U197" s="494" t="s">
        <v>909</v>
      </c>
      <c r="V197" s="620" t="str">
        <f>Combined_tables[[#This Row],[TimeSlot_Start_text]]</f>
        <v>0930</v>
      </c>
      <c r="W197" s="621"/>
      <c r="X197" s="621"/>
      <c r="Y197" s="621"/>
      <c r="Z197" s="621"/>
      <c r="AA197" s="621"/>
      <c r="AB197" s="494" t="s">
        <v>1086</v>
      </c>
      <c r="AD197" s="625" t="s">
        <v>1020</v>
      </c>
      <c r="AG197" s="627"/>
      <c r="AH197" s="494" t="s">
        <v>1021</v>
      </c>
      <c r="AI197" s="625" t="s">
        <v>1022</v>
      </c>
      <c r="AJ197" s="627">
        <v>25092</v>
      </c>
      <c r="AK197" s="623" t="s">
        <v>1024</v>
      </c>
      <c r="AL197" s="627">
        <v>7089287239</v>
      </c>
      <c r="AM197" s="494" t="s">
        <v>786</v>
      </c>
      <c r="AN197" s="625" t="s">
        <v>901</v>
      </c>
      <c r="AO197" s="627">
        <v>22230</v>
      </c>
      <c r="AP197" s="623" t="s">
        <v>882</v>
      </c>
      <c r="AQ197" s="627">
        <v>7089327433</v>
      </c>
    </row>
    <row r="198" spans="1:43" x14ac:dyDescent="0.25">
      <c r="A198" s="625">
        <v>197</v>
      </c>
      <c r="B198" s="494" t="s">
        <v>589</v>
      </c>
      <c r="C198" s="625">
        <v>103</v>
      </c>
      <c r="D198" s="494" t="s">
        <v>1030</v>
      </c>
      <c r="E198" s="627">
        <v>9504647</v>
      </c>
      <c r="F198" s="627">
        <v>29333</v>
      </c>
      <c r="G198" s="494" t="s">
        <v>1033</v>
      </c>
      <c r="S198" s="629">
        <f t="shared" si="6"/>
        <v>0.41666666666666669</v>
      </c>
      <c r="T198" s="629">
        <f t="shared" si="7"/>
        <v>0.4375</v>
      </c>
      <c r="U198" s="494" t="s">
        <v>910</v>
      </c>
      <c r="V198" s="620" t="str">
        <f>Combined_tables[[#This Row],[TimeSlot_Start_text]]</f>
        <v>1000</v>
      </c>
      <c r="W198" s="621"/>
      <c r="X198" s="621"/>
      <c r="Y198" s="621"/>
      <c r="Z198" s="621"/>
      <c r="AA198" s="621"/>
      <c r="AB198" s="494" t="s">
        <v>1073</v>
      </c>
      <c r="AD198" s="625" t="s">
        <v>1020</v>
      </c>
      <c r="AG198" s="627"/>
      <c r="AH198" s="494" t="s">
        <v>1021</v>
      </c>
      <c r="AI198" s="625" t="s">
        <v>1022</v>
      </c>
      <c r="AJ198" s="627">
        <v>25092</v>
      </c>
      <c r="AK198" s="623" t="s">
        <v>1024</v>
      </c>
      <c r="AL198" s="627">
        <v>7089287239</v>
      </c>
      <c r="AM198" s="494" t="s">
        <v>786</v>
      </c>
      <c r="AN198" s="625" t="s">
        <v>901</v>
      </c>
      <c r="AO198" s="627">
        <v>22230</v>
      </c>
      <c r="AP198" s="623" t="s">
        <v>882</v>
      </c>
      <c r="AQ198" s="627">
        <v>7089327433</v>
      </c>
    </row>
    <row r="199" spans="1:43" x14ac:dyDescent="0.25">
      <c r="A199" s="625">
        <v>198</v>
      </c>
      <c r="B199" s="494" t="s">
        <v>589</v>
      </c>
      <c r="C199" s="625">
        <v>103</v>
      </c>
      <c r="D199" s="494" t="s">
        <v>1030</v>
      </c>
      <c r="E199" s="627">
        <v>9504647</v>
      </c>
      <c r="F199" s="627">
        <v>29333</v>
      </c>
      <c r="G199" s="494" t="s">
        <v>1033</v>
      </c>
      <c r="S199" s="629">
        <f t="shared" si="6"/>
        <v>0.4375</v>
      </c>
      <c r="T199" s="629">
        <f t="shared" si="7"/>
        <v>0.45833333333333331</v>
      </c>
      <c r="U199" s="494" t="s">
        <v>911</v>
      </c>
      <c r="V199" s="620" t="str">
        <f>Combined_tables[[#This Row],[TimeSlot_Start_text]]</f>
        <v>1030</v>
      </c>
      <c r="W199" s="621"/>
      <c r="X199" s="621"/>
      <c r="Y199" s="621"/>
      <c r="Z199" s="621"/>
      <c r="AA199" s="621"/>
      <c r="AB199" s="494" t="s">
        <v>1074</v>
      </c>
      <c r="AD199" s="625" t="s">
        <v>1020</v>
      </c>
      <c r="AG199" s="627"/>
      <c r="AH199" s="494" t="s">
        <v>1021</v>
      </c>
      <c r="AI199" s="625" t="s">
        <v>1022</v>
      </c>
      <c r="AJ199" s="627">
        <v>25092</v>
      </c>
      <c r="AK199" s="623" t="s">
        <v>1024</v>
      </c>
      <c r="AL199" s="627">
        <v>7089287239</v>
      </c>
      <c r="AM199" s="494" t="s">
        <v>786</v>
      </c>
      <c r="AN199" s="625" t="s">
        <v>901</v>
      </c>
      <c r="AO199" s="627">
        <v>22230</v>
      </c>
      <c r="AP199" s="623" t="s">
        <v>882</v>
      </c>
      <c r="AQ199" s="627">
        <v>7089327433</v>
      </c>
    </row>
    <row r="200" spans="1:43" x14ac:dyDescent="0.25">
      <c r="A200" s="625">
        <v>199</v>
      </c>
      <c r="B200" s="494" t="s">
        <v>589</v>
      </c>
      <c r="C200" s="625">
        <v>103</v>
      </c>
      <c r="D200" s="494" t="s">
        <v>1030</v>
      </c>
      <c r="E200" s="627">
        <v>9504647</v>
      </c>
      <c r="F200" s="627">
        <v>29333</v>
      </c>
      <c r="G200" s="494" t="s">
        <v>1033</v>
      </c>
      <c r="S200" s="629">
        <f t="shared" si="6"/>
        <v>0.45833333333333331</v>
      </c>
      <c r="T200" s="629">
        <f t="shared" si="7"/>
        <v>0.47916666666666663</v>
      </c>
      <c r="U200" s="494" t="s">
        <v>912</v>
      </c>
      <c r="V200" s="620" t="str">
        <f>Combined_tables[[#This Row],[TimeSlot_Start_text]]</f>
        <v>1100</v>
      </c>
      <c r="W200" s="621"/>
      <c r="X200" s="621"/>
      <c r="Y200" s="621"/>
      <c r="Z200" s="621"/>
      <c r="AA200" s="621"/>
      <c r="AB200" s="494" t="s">
        <v>1076</v>
      </c>
      <c r="AD200" s="625" t="s">
        <v>1020</v>
      </c>
      <c r="AG200" s="627"/>
      <c r="AH200" s="494" t="s">
        <v>1021</v>
      </c>
      <c r="AI200" s="625" t="s">
        <v>1022</v>
      </c>
      <c r="AJ200" s="627">
        <v>25092</v>
      </c>
      <c r="AK200" s="623" t="s">
        <v>1024</v>
      </c>
      <c r="AL200" s="627">
        <v>7089287239</v>
      </c>
      <c r="AM200" s="494" t="s">
        <v>786</v>
      </c>
      <c r="AN200" s="625" t="s">
        <v>901</v>
      </c>
      <c r="AO200" s="627">
        <v>22230</v>
      </c>
      <c r="AP200" s="623" t="s">
        <v>882</v>
      </c>
      <c r="AQ200" s="627">
        <v>7089327433</v>
      </c>
    </row>
    <row r="201" spans="1:43" x14ac:dyDescent="0.25">
      <c r="A201" s="625">
        <v>200</v>
      </c>
      <c r="B201" s="494" t="s">
        <v>589</v>
      </c>
      <c r="C201" s="625">
        <v>103</v>
      </c>
      <c r="D201" s="494" t="s">
        <v>1030</v>
      </c>
      <c r="E201" s="627">
        <v>9504647</v>
      </c>
      <c r="F201" s="627">
        <v>29333</v>
      </c>
      <c r="G201" s="494" t="s">
        <v>1033</v>
      </c>
      <c r="S201" s="629">
        <f t="shared" si="6"/>
        <v>0.47916666666666669</v>
      </c>
      <c r="T201" s="629">
        <f t="shared" si="7"/>
        <v>0.5</v>
      </c>
      <c r="U201" s="494" t="s">
        <v>913</v>
      </c>
      <c r="V201" s="620" t="str">
        <f>Combined_tables[[#This Row],[TimeSlot_Start_text]]</f>
        <v>1130</v>
      </c>
      <c r="W201" s="621"/>
      <c r="X201" s="621"/>
      <c r="Y201" s="621"/>
      <c r="Z201" s="621"/>
      <c r="AA201" s="621"/>
      <c r="AB201" s="494" t="s">
        <v>1075</v>
      </c>
      <c r="AD201" s="625" t="s">
        <v>1020</v>
      </c>
      <c r="AG201" s="627"/>
      <c r="AH201" s="494" t="s">
        <v>1021</v>
      </c>
      <c r="AI201" s="625" t="s">
        <v>1022</v>
      </c>
      <c r="AJ201" s="627">
        <v>25092</v>
      </c>
      <c r="AK201" s="623" t="s">
        <v>1024</v>
      </c>
      <c r="AL201" s="627">
        <v>7089287239</v>
      </c>
      <c r="AM201" s="494" t="s">
        <v>786</v>
      </c>
      <c r="AN201" s="625" t="s">
        <v>901</v>
      </c>
      <c r="AO201" s="627">
        <v>22230</v>
      </c>
      <c r="AP201" s="623" t="s">
        <v>882</v>
      </c>
      <c r="AQ201" s="627">
        <v>7089327433</v>
      </c>
    </row>
    <row r="202" spans="1:43" ht="15" customHeight="1" x14ac:dyDescent="0.25">
      <c r="A202" s="625">
        <v>201</v>
      </c>
      <c r="B202" s="494" t="s">
        <v>589</v>
      </c>
      <c r="C202" s="625">
        <v>103</v>
      </c>
      <c r="D202" s="494" t="s">
        <v>1030</v>
      </c>
      <c r="E202" s="627">
        <v>9504647</v>
      </c>
      <c r="F202" s="627">
        <v>29333</v>
      </c>
      <c r="G202" s="494" t="s">
        <v>1033</v>
      </c>
      <c r="S202" s="629">
        <f t="shared" si="6"/>
        <v>0.5</v>
      </c>
      <c r="T202" s="629">
        <f t="shared" si="7"/>
        <v>0.52083333333333337</v>
      </c>
      <c r="U202" s="494" t="s">
        <v>914</v>
      </c>
      <c r="V202" s="620" t="str">
        <f>Combined_tables[[#This Row],[TimeSlot_Start_text]]</f>
        <v>1200</v>
      </c>
      <c r="W202" s="621" t="s">
        <v>354</v>
      </c>
      <c r="X202" s="621" t="s">
        <v>354</v>
      </c>
      <c r="Y202" s="621" t="s">
        <v>354</v>
      </c>
      <c r="Z202" s="621" t="s">
        <v>354</v>
      </c>
      <c r="AA202" s="621" t="s">
        <v>354</v>
      </c>
      <c r="AB202" s="494" t="s">
        <v>1077</v>
      </c>
      <c r="AD202" s="625" t="s">
        <v>1020</v>
      </c>
      <c r="AG202" s="627"/>
      <c r="AH202" s="494" t="s">
        <v>1021</v>
      </c>
      <c r="AI202" s="625" t="s">
        <v>1022</v>
      </c>
      <c r="AJ202" s="627">
        <v>25092</v>
      </c>
      <c r="AK202" s="623" t="s">
        <v>1024</v>
      </c>
      <c r="AL202" s="627">
        <v>7089287239</v>
      </c>
      <c r="AM202" s="494" t="s">
        <v>786</v>
      </c>
      <c r="AN202" s="625" t="s">
        <v>901</v>
      </c>
      <c r="AO202" s="627">
        <v>22230</v>
      </c>
      <c r="AP202" s="623" t="s">
        <v>882</v>
      </c>
      <c r="AQ202" s="627">
        <v>7089327433</v>
      </c>
    </row>
    <row r="203" spans="1:43" ht="15.75" customHeight="1" x14ac:dyDescent="0.25">
      <c r="A203" s="625">
        <v>202</v>
      </c>
      <c r="B203" s="494" t="s">
        <v>589</v>
      </c>
      <c r="C203" s="625">
        <v>103</v>
      </c>
      <c r="D203" s="494" t="s">
        <v>1030</v>
      </c>
      <c r="E203" s="627">
        <v>9504647</v>
      </c>
      <c r="F203" s="627">
        <v>29333</v>
      </c>
      <c r="G203" s="494" t="s">
        <v>1033</v>
      </c>
      <c r="S203" s="629">
        <f t="shared" si="6"/>
        <v>0.52083333333333337</v>
      </c>
      <c r="T203" s="629">
        <f t="shared" si="7"/>
        <v>0.54166666666666674</v>
      </c>
      <c r="U203" s="494" t="s">
        <v>915</v>
      </c>
      <c r="V203" s="620" t="str">
        <f>Combined_tables[[#This Row],[TimeSlot_Start_text]]</f>
        <v>1230</v>
      </c>
      <c r="W203" s="621" t="s">
        <v>354</v>
      </c>
      <c r="X203" s="621" t="s">
        <v>354</v>
      </c>
      <c r="Y203" s="621" t="s">
        <v>354</v>
      </c>
      <c r="Z203" s="621" t="s">
        <v>354</v>
      </c>
      <c r="AA203" s="621" t="s">
        <v>354</v>
      </c>
      <c r="AB203" s="494" t="s">
        <v>1078</v>
      </c>
      <c r="AD203" s="625" t="s">
        <v>1020</v>
      </c>
      <c r="AG203" s="627"/>
      <c r="AH203" s="494" t="s">
        <v>1021</v>
      </c>
      <c r="AI203" s="625" t="s">
        <v>1022</v>
      </c>
      <c r="AJ203" s="627">
        <v>25092</v>
      </c>
      <c r="AK203" s="623" t="s">
        <v>1024</v>
      </c>
      <c r="AL203" s="627">
        <v>7089287239</v>
      </c>
      <c r="AM203" s="494" t="s">
        <v>786</v>
      </c>
      <c r="AN203" s="625" t="s">
        <v>901</v>
      </c>
      <c r="AO203" s="627">
        <v>22230</v>
      </c>
      <c r="AP203" s="623" t="s">
        <v>882</v>
      </c>
      <c r="AQ203" s="627">
        <v>7089327433</v>
      </c>
    </row>
    <row r="204" spans="1:43" x14ac:dyDescent="0.25">
      <c r="A204" s="625">
        <v>203</v>
      </c>
      <c r="B204" s="494" t="s">
        <v>589</v>
      </c>
      <c r="C204" s="625">
        <v>103</v>
      </c>
      <c r="D204" s="494" t="s">
        <v>1030</v>
      </c>
      <c r="E204" s="627">
        <v>9504647</v>
      </c>
      <c r="F204" s="627">
        <v>29333</v>
      </c>
      <c r="G204" s="494" t="s">
        <v>1033</v>
      </c>
      <c r="S204" s="629">
        <f t="shared" si="6"/>
        <v>0.54166666666666663</v>
      </c>
      <c r="T204" s="629">
        <f t="shared" si="7"/>
        <v>0.5625</v>
      </c>
      <c r="U204" s="494" t="s">
        <v>916</v>
      </c>
      <c r="V204" s="620" t="str">
        <f>Combined_tables[[#This Row],[TimeSlot_Start_text]]</f>
        <v>1300</v>
      </c>
      <c r="W204" s="621"/>
      <c r="X204" s="621"/>
      <c r="Y204" s="621"/>
      <c r="Z204" s="621"/>
      <c r="AA204" s="621" t="s">
        <v>630</v>
      </c>
      <c r="AB204" s="494" t="s">
        <v>1071</v>
      </c>
      <c r="AD204" s="625" t="s">
        <v>1020</v>
      </c>
      <c r="AG204" s="627"/>
      <c r="AH204" s="494" t="s">
        <v>1021</v>
      </c>
      <c r="AI204" s="625" t="s">
        <v>1022</v>
      </c>
      <c r="AJ204" s="627">
        <v>25092</v>
      </c>
      <c r="AK204" s="623" t="s">
        <v>1024</v>
      </c>
      <c r="AL204" s="627">
        <v>7089287239</v>
      </c>
      <c r="AM204" s="494" t="s">
        <v>786</v>
      </c>
      <c r="AN204" s="625" t="s">
        <v>901</v>
      </c>
      <c r="AO204" s="627">
        <v>22230</v>
      </c>
      <c r="AP204" s="623" t="s">
        <v>882</v>
      </c>
      <c r="AQ204" s="627">
        <v>7089327433</v>
      </c>
    </row>
    <row r="205" spans="1:43" x14ac:dyDescent="0.25">
      <c r="A205" s="625">
        <v>204</v>
      </c>
      <c r="B205" s="494" t="s">
        <v>589</v>
      </c>
      <c r="C205" s="625">
        <v>103</v>
      </c>
      <c r="D205" s="494" t="s">
        <v>1030</v>
      </c>
      <c r="E205" s="627">
        <v>9504647</v>
      </c>
      <c r="F205" s="627">
        <v>29333</v>
      </c>
      <c r="G205" s="494" t="s">
        <v>1033</v>
      </c>
      <c r="S205" s="629">
        <f t="shared" si="6"/>
        <v>0.5625</v>
      </c>
      <c r="T205" s="629">
        <f t="shared" si="7"/>
        <v>0.58333333333333337</v>
      </c>
      <c r="U205" s="494" t="s">
        <v>917</v>
      </c>
      <c r="V205" s="620" t="str">
        <f>Combined_tables[[#This Row],[TimeSlot_Start_text]]</f>
        <v>1330</v>
      </c>
      <c r="W205" s="621"/>
      <c r="X205" s="621"/>
      <c r="Y205" s="621"/>
      <c r="Z205" s="621"/>
      <c r="AA205" s="621" t="s">
        <v>630</v>
      </c>
      <c r="AB205" s="494" t="s">
        <v>1072</v>
      </c>
      <c r="AD205" s="625" t="s">
        <v>1020</v>
      </c>
      <c r="AG205" s="627"/>
      <c r="AH205" s="494" t="s">
        <v>1021</v>
      </c>
      <c r="AI205" s="625" t="s">
        <v>1022</v>
      </c>
      <c r="AJ205" s="627">
        <v>25092</v>
      </c>
      <c r="AK205" s="623" t="s">
        <v>1024</v>
      </c>
      <c r="AL205" s="627">
        <v>7089287239</v>
      </c>
      <c r="AM205" s="494" t="s">
        <v>786</v>
      </c>
      <c r="AN205" s="625" t="s">
        <v>901</v>
      </c>
      <c r="AO205" s="627">
        <v>22230</v>
      </c>
      <c r="AP205" s="623" t="s">
        <v>882</v>
      </c>
      <c r="AQ205" s="627">
        <v>7089327433</v>
      </c>
    </row>
    <row r="206" spans="1:43" x14ac:dyDescent="0.25">
      <c r="A206" s="625">
        <v>205</v>
      </c>
      <c r="B206" s="494" t="s">
        <v>589</v>
      </c>
      <c r="C206" s="625">
        <v>103</v>
      </c>
      <c r="D206" s="494" t="s">
        <v>1030</v>
      </c>
      <c r="E206" s="627">
        <v>9504647</v>
      </c>
      <c r="F206" s="627">
        <v>29333</v>
      </c>
      <c r="G206" s="494" t="s">
        <v>1033</v>
      </c>
      <c r="S206" s="629">
        <f t="shared" si="6"/>
        <v>0.58333333333333337</v>
      </c>
      <c r="T206" s="629">
        <f t="shared" si="7"/>
        <v>0.60416666666666674</v>
      </c>
      <c r="U206" s="494" t="s">
        <v>918</v>
      </c>
      <c r="V206" s="620" t="str">
        <f>Combined_tables[[#This Row],[TimeSlot_Start_text]]</f>
        <v>1400</v>
      </c>
      <c r="W206" s="621"/>
      <c r="X206" s="621"/>
      <c r="Y206" s="621"/>
      <c r="Z206" s="621"/>
      <c r="AA206" s="621" t="s">
        <v>630</v>
      </c>
      <c r="AB206" s="494" t="s">
        <v>1079</v>
      </c>
      <c r="AD206" s="625" t="s">
        <v>1020</v>
      </c>
      <c r="AG206" s="627"/>
      <c r="AH206" s="494" t="s">
        <v>1021</v>
      </c>
      <c r="AI206" s="625" t="s">
        <v>1022</v>
      </c>
      <c r="AJ206" s="627">
        <v>25092</v>
      </c>
      <c r="AK206" s="623" t="s">
        <v>1024</v>
      </c>
      <c r="AL206" s="627">
        <v>7089287239</v>
      </c>
      <c r="AM206" s="494" t="s">
        <v>786</v>
      </c>
      <c r="AN206" s="625" t="s">
        <v>901</v>
      </c>
      <c r="AO206" s="627">
        <v>22230</v>
      </c>
      <c r="AP206" s="623" t="s">
        <v>882</v>
      </c>
      <c r="AQ206" s="627">
        <v>7089327433</v>
      </c>
    </row>
    <row r="207" spans="1:43" x14ac:dyDescent="0.25">
      <c r="A207" s="625">
        <v>206</v>
      </c>
      <c r="B207" s="494" t="s">
        <v>589</v>
      </c>
      <c r="C207" s="625">
        <v>103</v>
      </c>
      <c r="D207" s="494" t="s">
        <v>1030</v>
      </c>
      <c r="E207" s="627">
        <v>9504647</v>
      </c>
      <c r="F207" s="627">
        <v>29333</v>
      </c>
      <c r="G207" s="494" t="s">
        <v>1033</v>
      </c>
      <c r="S207" s="629">
        <f t="shared" si="6"/>
        <v>0.60416666666666663</v>
      </c>
      <c r="T207" s="629">
        <f t="shared" si="7"/>
        <v>0.625</v>
      </c>
      <c r="U207" s="494" t="s">
        <v>919</v>
      </c>
      <c r="V207" s="620" t="str">
        <f>Combined_tables[[#This Row],[TimeSlot_Start_text]]</f>
        <v>1430</v>
      </c>
      <c r="W207" s="621"/>
      <c r="X207" s="621"/>
      <c r="Y207" s="621"/>
      <c r="Z207" s="621"/>
      <c r="AA207" s="621" t="s">
        <v>630</v>
      </c>
      <c r="AB207" s="494" t="s">
        <v>1080</v>
      </c>
      <c r="AD207" s="625" t="s">
        <v>1020</v>
      </c>
      <c r="AG207" s="627"/>
      <c r="AH207" s="494" t="s">
        <v>1021</v>
      </c>
      <c r="AI207" s="625" t="s">
        <v>1022</v>
      </c>
      <c r="AJ207" s="627">
        <v>25092</v>
      </c>
      <c r="AK207" s="623" t="s">
        <v>1024</v>
      </c>
      <c r="AL207" s="627">
        <v>7089287239</v>
      </c>
      <c r="AM207" s="494" t="s">
        <v>786</v>
      </c>
      <c r="AN207" s="625" t="s">
        <v>901</v>
      </c>
      <c r="AO207" s="627">
        <v>22230</v>
      </c>
      <c r="AP207" s="623" t="s">
        <v>882</v>
      </c>
      <c r="AQ207" s="627">
        <v>7089327433</v>
      </c>
    </row>
    <row r="208" spans="1:43" x14ac:dyDescent="0.25">
      <c r="A208" s="625">
        <v>207</v>
      </c>
      <c r="B208" s="494" t="s">
        <v>589</v>
      </c>
      <c r="C208" s="625">
        <v>103</v>
      </c>
      <c r="D208" s="494" t="s">
        <v>1030</v>
      </c>
      <c r="E208" s="627">
        <v>9504647</v>
      </c>
      <c r="F208" s="627">
        <v>29333</v>
      </c>
      <c r="G208" s="494" t="s">
        <v>1033</v>
      </c>
      <c r="S208" s="629">
        <f t="shared" si="6"/>
        <v>0.625</v>
      </c>
      <c r="T208" s="629">
        <f t="shared" si="7"/>
        <v>0.64583333333333337</v>
      </c>
      <c r="U208" s="494" t="s">
        <v>920</v>
      </c>
      <c r="V208" s="620" t="str">
        <f>Combined_tables[[#This Row],[TimeSlot_Start_text]]</f>
        <v>1500</v>
      </c>
      <c r="W208" s="621"/>
      <c r="X208" s="621"/>
      <c r="Y208" s="621"/>
      <c r="Z208" s="621"/>
      <c r="AA208" s="621"/>
      <c r="AB208" s="494" t="s">
        <v>1081</v>
      </c>
      <c r="AD208" s="625" t="s">
        <v>1020</v>
      </c>
      <c r="AG208" s="627"/>
      <c r="AH208" s="494" t="s">
        <v>1021</v>
      </c>
      <c r="AI208" s="625" t="s">
        <v>1022</v>
      </c>
      <c r="AJ208" s="627">
        <v>25092</v>
      </c>
      <c r="AK208" s="623" t="s">
        <v>1024</v>
      </c>
      <c r="AL208" s="627">
        <v>7089287239</v>
      </c>
      <c r="AM208" s="494" t="s">
        <v>786</v>
      </c>
      <c r="AN208" s="625" t="s">
        <v>901</v>
      </c>
      <c r="AO208" s="627">
        <v>22230</v>
      </c>
      <c r="AP208" s="623" t="s">
        <v>882</v>
      </c>
      <c r="AQ208" s="627">
        <v>7089327433</v>
      </c>
    </row>
    <row r="209" spans="1:43" x14ac:dyDescent="0.25">
      <c r="A209" s="625">
        <v>208</v>
      </c>
      <c r="B209" s="494" t="s">
        <v>589</v>
      </c>
      <c r="C209" s="625">
        <v>103</v>
      </c>
      <c r="D209" s="494" t="s">
        <v>1030</v>
      </c>
      <c r="E209" s="627">
        <v>9504647</v>
      </c>
      <c r="F209" s="627">
        <v>29333</v>
      </c>
      <c r="G209" s="494" t="s">
        <v>1033</v>
      </c>
      <c r="S209" s="629">
        <f t="shared" si="6"/>
        <v>0.64583333333333337</v>
      </c>
      <c r="T209" s="629">
        <f t="shared" si="7"/>
        <v>0.66666666666666674</v>
      </c>
      <c r="U209" s="494" t="s">
        <v>921</v>
      </c>
      <c r="V209" s="620" t="str">
        <f>Combined_tables[[#This Row],[TimeSlot_Start_text]]</f>
        <v>1530</v>
      </c>
      <c r="W209" s="621"/>
      <c r="X209" s="621"/>
      <c r="Y209" s="621"/>
      <c r="Z209" s="621"/>
      <c r="AA209" s="621"/>
      <c r="AB209" s="494" t="s">
        <v>1082</v>
      </c>
      <c r="AD209" s="625" t="s">
        <v>1020</v>
      </c>
      <c r="AG209" s="627"/>
      <c r="AH209" s="494" t="s">
        <v>1021</v>
      </c>
      <c r="AI209" s="625" t="s">
        <v>1022</v>
      </c>
      <c r="AJ209" s="627">
        <v>25092</v>
      </c>
      <c r="AK209" s="623" t="s">
        <v>1024</v>
      </c>
      <c r="AL209" s="627">
        <v>7089287239</v>
      </c>
      <c r="AM209" s="494" t="s">
        <v>786</v>
      </c>
      <c r="AN209" s="625" t="s">
        <v>901</v>
      </c>
      <c r="AO209" s="627">
        <v>22230</v>
      </c>
      <c r="AP209" s="623" t="s">
        <v>882</v>
      </c>
      <c r="AQ209" s="627">
        <v>7089327433</v>
      </c>
    </row>
    <row r="210" spans="1:43" ht="15" customHeight="1" x14ac:dyDescent="0.25">
      <c r="A210" s="625">
        <v>209</v>
      </c>
      <c r="B210" s="494" t="s">
        <v>589</v>
      </c>
      <c r="C210" s="625">
        <v>104</v>
      </c>
      <c r="D210" s="494" t="s">
        <v>1034</v>
      </c>
      <c r="E210" s="627">
        <v>9504469</v>
      </c>
      <c r="F210" s="627">
        <v>29334</v>
      </c>
      <c r="G210" s="494" t="s">
        <v>1037</v>
      </c>
      <c r="S210" s="629">
        <f t="shared" si="6"/>
        <v>0.33333333333333331</v>
      </c>
      <c r="T210" s="629">
        <f t="shared" si="7"/>
        <v>0.35416666666666663</v>
      </c>
      <c r="U210" s="494" t="s">
        <v>906</v>
      </c>
      <c r="V210" s="620" t="str">
        <f>Combined_tables[[#This Row],[TimeSlot_Start_text]]</f>
        <v>0800</v>
      </c>
      <c r="W210" s="621"/>
      <c r="X210" s="621"/>
      <c r="Y210" s="621"/>
      <c r="Z210" s="621"/>
      <c r="AA210" s="621"/>
      <c r="AB210" s="494" t="s">
        <v>1083</v>
      </c>
      <c r="AD210" s="625" t="s">
        <v>1020</v>
      </c>
      <c r="AG210" s="627"/>
      <c r="AH210" s="494" t="s">
        <v>1021</v>
      </c>
      <c r="AI210" s="625" t="s">
        <v>1022</v>
      </c>
      <c r="AJ210" s="627">
        <v>25092</v>
      </c>
      <c r="AK210" s="623" t="s">
        <v>1024</v>
      </c>
      <c r="AL210" s="627">
        <v>7089287239</v>
      </c>
      <c r="AM210" s="494" t="s">
        <v>786</v>
      </c>
      <c r="AN210" s="625" t="s">
        <v>901</v>
      </c>
      <c r="AO210" s="627">
        <v>22230</v>
      </c>
      <c r="AP210" s="623" t="s">
        <v>882</v>
      </c>
      <c r="AQ210" s="627">
        <v>7089327433</v>
      </c>
    </row>
    <row r="211" spans="1:43" ht="15" customHeight="1" x14ac:dyDescent="0.25">
      <c r="A211" s="625">
        <v>210</v>
      </c>
      <c r="B211" s="494" t="s">
        <v>589</v>
      </c>
      <c r="C211" s="625">
        <v>104</v>
      </c>
      <c r="D211" s="494" t="s">
        <v>1034</v>
      </c>
      <c r="E211" s="627">
        <v>9504469</v>
      </c>
      <c r="F211" s="627">
        <v>29334</v>
      </c>
      <c r="G211" s="494" t="s">
        <v>1037</v>
      </c>
      <c r="S211" s="629">
        <f t="shared" si="6"/>
        <v>0.35416666666666669</v>
      </c>
      <c r="T211" s="629">
        <f t="shared" si="7"/>
        <v>0.375</v>
      </c>
      <c r="U211" s="494" t="s">
        <v>907</v>
      </c>
      <c r="V211" s="620" t="str">
        <f>Combined_tables[[#This Row],[TimeSlot_Start_text]]</f>
        <v>0830</v>
      </c>
      <c r="W211" s="621"/>
      <c r="X211" s="621"/>
      <c r="Y211" s="621"/>
      <c r="Z211" s="621"/>
      <c r="AA211" s="621"/>
      <c r="AB211" s="494" t="s">
        <v>1084</v>
      </c>
      <c r="AD211" s="625" t="s">
        <v>1020</v>
      </c>
      <c r="AG211" s="627"/>
      <c r="AH211" s="494" t="s">
        <v>1021</v>
      </c>
      <c r="AI211" s="625" t="s">
        <v>1022</v>
      </c>
      <c r="AJ211" s="627">
        <v>25092</v>
      </c>
      <c r="AK211" s="623" t="s">
        <v>1024</v>
      </c>
      <c r="AL211" s="627">
        <v>7089287239</v>
      </c>
      <c r="AM211" s="494" t="s">
        <v>786</v>
      </c>
      <c r="AN211" s="625" t="s">
        <v>901</v>
      </c>
      <c r="AO211" s="627">
        <v>22230</v>
      </c>
      <c r="AP211" s="623" t="s">
        <v>882</v>
      </c>
      <c r="AQ211" s="627">
        <v>7089327433</v>
      </c>
    </row>
    <row r="212" spans="1:43" ht="15" customHeight="1" x14ac:dyDescent="0.25">
      <c r="A212" s="625">
        <v>211</v>
      </c>
      <c r="B212" s="494" t="s">
        <v>589</v>
      </c>
      <c r="C212" s="625">
        <v>104</v>
      </c>
      <c r="D212" s="494" t="s">
        <v>1034</v>
      </c>
      <c r="E212" s="627">
        <v>9504469</v>
      </c>
      <c r="F212" s="627">
        <v>29334</v>
      </c>
      <c r="G212" s="494" t="s">
        <v>1037</v>
      </c>
      <c r="S212" s="629">
        <f t="shared" si="6"/>
        <v>0.375</v>
      </c>
      <c r="T212" s="629">
        <f t="shared" si="7"/>
        <v>0.39583333333333331</v>
      </c>
      <c r="U212" s="494" t="s">
        <v>908</v>
      </c>
      <c r="V212" s="620" t="str">
        <f>Combined_tables[[#This Row],[TimeSlot_Start_text]]</f>
        <v>0900</v>
      </c>
      <c r="W212" s="621"/>
      <c r="X212" s="621"/>
      <c r="Y212" s="621"/>
      <c r="Z212" s="621"/>
      <c r="AA212" s="621"/>
      <c r="AB212" s="494" t="s">
        <v>1085</v>
      </c>
      <c r="AD212" s="625" t="s">
        <v>1020</v>
      </c>
      <c r="AG212" s="627"/>
      <c r="AH212" s="494" t="s">
        <v>1021</v>
      </c>
      <c r="AI212" s="625" t="s">
        <v>1022</v>
      </c>
      <c r="AJ212" s="627">
        <v>25092</v>
      </c>
      <c r="AK212" s="623" t="s">
        <v>1024</v>
      </c>
      <c r="AL212" s="627">
        <v>7089287239</v>
      </c>
      <c r="AM212" s="494" t="s">
        <v>786</v>
      </c>
      <c r="AN212" s="625" t="s">
        <v>901</v>
      </c>
      <c r="AO212" s="627">
        <v>22230</v>
      </c>
      <c r="AP212" s="623" t="s">
        <v>882</v>
      </c>
      <c r="AQ212" s="627">
        <v>7089327433</v>
      </c>
    </row>
    <row r="213" spans="1:43" ht="15" customHeight="1" x14ac:dyDescent="0.25">
      <c r="A213" s="625">
        <v>212</v>
      </c>
      <c r="B213" s="494" t="s">
        <v>589</v>
      </c>
      <c r="C213" s="625">
        <v>104</v>
      </c>
      <c r="D213" s="494" t="s">
        <v>1034</v>
      </c>
      <c r="E213" s="627">
        <v>9504469</v>
      </c>
      <c r="F213" s="627">
        <v>29334</v>
      </c>
      <c r="G213" s="494" t="s">
        <v>1037</v>
      </c>
      <c r="S213" s="629">
        <f t="shared" si="6"/>
        <v>0.39583333333333331</v>
      </c>
      <c r="T213" s="629">
        <f t="shared" si="7"/>
        <v>0.41666666666666663</v>
      </c>
      <c r="U213" s="494" t="s">
        <v>909</v>
      </c>
      <c r="V213" s="620" t="str">
        <f>Combined_tables[[#This Row],[TimeSlot_Start_text]]</f>
        <v>0930</v>
      </c>
      <c r="W213" s="621"/>
      <c r="X213" s="621"/>
      <c r="Y213" s="621"/>
      <c r="Z213" s="621"/>
      <c r="AA213" s="621"/>
      <c r="AB213" s="494" t="s">
        <v>1086</v>
      </c>
      <c r="AD213" s="625" t="s">
        <v>1020</v>
      </c>
      <c r="AG213" s="627"/>
      <c r="AH213" s="494" t="s">
        <v>1021</v>
      </c>
      <c r="AI213" s="625" t="s">
        <v>1022</v>
      </c>
      <c r="AJ213" s="627">
        <v>25092</v>
      </c>
      <c r="AK213" s="623" t="s">
        <v>1024</v>
      </c>
      <c r="AL213" s="627">
        <v>7089287239</v>
      </c>
      <c r="AM213" s="494" t="s">
        <v>786</v>
      </c>
      <c r="AN213" s="625" t="s">
        <v>901</v>
      </c>
      <c r="AO213" s="627">
        <v>22230</v>
      </c>
      <c r="AP213" s="623" t="s">
        <v>882</v>
      </c>
      <c r="AQ213" s="627">
        <v>7089327433</v>
      </c>
    </row>
    <row r="214" spans="1:43" x14ac:dyDescent="0.25">
      <c r="A214" s="625">
        <v>213</v>
      </c>
      <c r="B214" s="494" t="s">
        <v>589</v>
      </c>
      <c r="C214" s="625">
        <v>104</v>
      </c>
      <c r="D214" s="494" t="s">
        <v>1034</v>
      </c>
      <c r="E214" s="627">
        <v>9504469</v>
      </c>
      <c r="F214" s="627">
        <v>29334</v>
      </c>
      <c r="G214" s="494" t="s">
        <v>1037</v>
      </c>
      <c r="S214" s="629">
        <f t="shared" si="6"/>
        <v>0.41666666666666669</v>
      </c>
      <c r="T214" s="629">
        <f t="shared" si="7"/>
        <v>0.4375</v>
      </c>
      <c r="U214" s="494" t="s">
        <v>910</v>
      </c>
      <c r="V214" s="620" t="str">
        <f>Combined_tables[[#This Row],[TimeSlot_Start_text]]</f>
        <v>1000</v>
      </c>
      <c r="W214" s="621"/>
      <c r="X214" s="621"/>
      <c r="Y214" s="621"/>
      <c r="Z214" s="621"/>
      <c r="AA214" s="621"/>
      <c r="AB214" s="494" t="s">
        <v>1073</v>
      </c>
      <c r="AD214" s="625" t="s">
        <v>1020</v>
      </c>
      <c r="AG214" s="627"/>
      <c r="AH214" s="494" t="s">
        <v>1021</v>
      </c>
      <c r="AI214" s="625" t="s">
        <v>1022</v>
      </c>
      <c r="AJ214" s="627">
        <v>25092</v>
      </c>
      <c r="AK214" s="623" t="s">
        <v>1024</v>
      </c>
      <c r="AL214" s="627">
        <v>7089287239</v>
      </c>
      <c r="AM214" s="494" t="s">
        <v>786</v>
      </c>
      <c r="AN214" s="625" t="s">
        <v>901</v>
      </c>
      <c r="AO214" s="627">
        <v>22230</v>
      </c>
      <c r="AP214" s="623" t="s">
        <v>882</v>
      </c>
      <c r="AQ214" s="627">
        <v>7089327433</v>
      </c>
    </row>
    <row r="215" spans="1:43" x14ac:dyDescent="0.25">
      <c r="A215" s="625">
        <v>214</v>
      </c>
      <c r="B215" s="494" t="s">
        <v>589</v>
      </c>
      <c r="C215" s="625">
        <v>104</v>
      </c>
      <c r="D215" s="494" t="s">
        <v>1034</v>
      </c>
      <c r="E215" s="627">
        <v>9504469</v>
      </c>
      <c r="F215" s="627">
        <v>29334</v>
      </c>
      <c r="G215" s="494" t="s">
        <v>1037</v>
      </c>
      <c r="S215" s="629">
        <f t="shared" si="6"/>
        <v>0.4375</v>
      </c>
      <c r="T215" s="629">
        <f t="shared" si="7"/>
        <v>0.45833333333333331</v>
      </c>
      <c r="U215" s="494" t="s">
        <v>911</v>
      </c>
      <c r="V215" s="620" t="str">
        <f>Combined_tables[[#This Row],[TimeSlot_Start_text]]</f>
        <v>1030</v>
      </c>
      <c r="W215" s="621"/>
      <c r="X215" s="621"/>
      <c r="Y215" s="621"/>
      <c r="Z215" s="621"/>
      <c r="AA215" s="621"/>
      <c r="AB215" s="494" t="s">
        <v>1074</v>
      </c>
      <c r="AD215" s="625" t="s">
        <v>1020</v>
      </c>
      <c r="AG215" s="627"/>
      <c r="AH215" s="494" t="s">
        <v>1021</v>
      </c>
      <c r="AI215" s="625" t="s">
        <v>1022</v>
      </c>
      <c r="AJ215" s="627">
        <v>25092</v>
      </c>
      <c r="AK215" s="623" t="s">
        <v>1024</v>
      </c>
      <c r="AL215" s="627">
        <v>7089287239</v>
      </c>
      <c r="AM215" s="494" t="s">
        <v>786</v>
      </c>
      <c r="AN215" s="625" t="s">
        <v>901</v>
      </c>
      <c r="AO215" s="627">
        <v>22230</v>
      </c>
      <c r="AP215" s="623" t="s">
        <v>882</v>
      </c>
      <c r="AQ215" s="627">
        <v>7089327433</v>
      </c>
    </row>
    <row r="216" spans="1:43" x14ac:dyDescent="0.25">
      <c r="A216" s="625">
        <v>215</v>
      </c>
      <c r="B216" s="494" t="s">
        <v>589</v>
      </c>
      <c r="C216" s="625">
        <v>104</v>
      </c>
      <c r="D216" s="494" t="s">
        <v>1034</v>
      </c>
      <c r="E216" s="627">
        <v>9504469</v>
      </c>
      <c r="F216" s="627">
        <v>29334</v>
      </c>
      <c r="G216" s="494" t="s">
        <v>1037</v>
      </c>
      <c r="S216" s="629">
        <f t="shared" si="6"/>
        <v>0.45833333333333331</v>
      </c>
      <c r="T216" s="629">
        <f t="shared" si="7"/>
        <v>0.47916666666666663</v>
      </c>
      <c r="U216" s="494" t="s">
        <v>912</v>
      </c>
      <c r="V216" s="620" t="str">
        <f>Combined_tables[[#This Row],[TimeSlot_Start_text]]</f>
        <v>1100</v>
      </c>
      <c r="W216" s="621"/>
      <c r="X216" s="621"/>
      <c r="Y216" s="621"/>
      <c r="Z216" s="621"/>
      <c r="AA216" s="621"/>
      <c r="AB216" s="494" t="s">
        <v>1076</v>
      </c>
      <c r="AD216" s="625" t="s">
        <v>1020</v>
      </c>
      <c r="AG216" s="627"/>
      <c r="AH216" s="494" t="s">
        <v>1021</v>
      </c>
      <c r="AI216" s="625" t="s">
        <v>1022</v>
      </c>
      <c r="AJ216" s="627">
        <v>25092</v>
      </c>
      <c r="AK216" s="623" t="s">
        <v>1024</v>
      </c>
      <c r="AL216" s="627">
        <v>7089287239</v>
      </c>
      <c r="AM216" s="494" t="s">
        <v>786</v>
      </c>
      <c r="AN216" s="625" t="s">
        <v>901</v>
      </c>
      <c r="AO216" s="627">
        <v>22230</v>
      </c>
      <c r="AP216" s="623" t="s">
        <v>882</v>
      </c>
      <c r="AQ216" s="627">
        <v>7089327433</v>
      </c>
    </row>
    <row r="217" spans="1:43" x14ac:dyDescent="0.25">
      <c r="A217" s="625">
        <v>216</v>
      </c>
      <c r="B217" s="494" t="s">
        <v>589</v>
      </c>
      <c r="C217" s="625">
        <v>104</v>
      </c>
      <c r="D217" s="494" t="s">
        <v>1034</v>
      </c>
      <c r="E217" s="627">
        <v>9504469</v>
      </c>
      <c r="F217" s="627">
        <v>29334</v>
      </c>
      <c r="G217" s="494" t="s">
        <v>1037</v>
      </c>
      <c r="S217" s="629">
        <f t="shared" si="6"/>
        <v>0.47916666666666669</v>
      </c>
      <c r="T217" s="629">
        <f t="shared" si="7"/>
        <v>0.5</v>
      </c>
      <c r="U217" s="494" t="s">
        <v>913</v>
      </c>
      <c r="V217" s="620" t="str">
        <f>Combined_tables[[#This Row],[TimeSlot_Start_text]]</f>
        <v>1130</v>
      </c>
      <c r="W217" s="621"/>
      <c r="X217" s="621"/>
      <c r="Y217" s="621"/>
      <c r="Z217" s="621"/>
      <c r="AA217" s="621"/>
      <c r="AB217" s="494" t="s">
        <v>1075</v>
      </c>
      <c r="AD217" s="625" t="s">
        <v>1020</v>
      </c>
      <c r="AG217" s="627"/>
      <c r="AH217" s="494" t="s">
        <v>1021</v>
      </c>
      <c r="AI217" s="625" t="s">
        <v>1022</v>
      </c>
      <c r="AJ217" s="627">
        <v>25092</v>
      </c>
      <c r="AK217" s="623" t="s">
        <v>1024</v>
      </c>
      <c r="AL217" s="627">
        <v>7089287239</v>
      </c>
      <c r="AM217" s="494" t="s">
        <v>786</v>
      </c>
      <c r="AN217" s="625" t="s">
        <v>901</v>
      </c>
      <c r="AO217" s="627">
        <v>22230</v>
      </c>
      <c r="AP217" s="623" t="s">
        <v>882</v>
      </c>
      <c r="AQ217" s="627">
        <v>7089327433</v>
      </c>
    </row>
    <row r="218" spans="1:43" ht="15" customHeight="1" x14ac:dyDescent="0.25">
      <c r="A218" s="625">
        <v>217</v>
      </c>
      <c r="B218" s="494" t="s">
        <v>589</v>
      </c>
      <c r="C218" s="625">
        <v>104</v>
      </c>
      <c r="D218" s="494" t="s">
        <v>1034</v>
      </c>
      <c r="E218" s="627">
        <v>9504469</v>
      </c>
      <c r="F218" s="627">
        <v>29334</v>
      </c>
      <c r="G218" s="494" t="s">
        <v>1037</v>
      </c>
      <c r="S218" s="629">
        <f t="shared" si="6"/>
        <v>0.5</v>
      </c>
      <c r="T218" s="629">
        <f t="shared" si="7"/>
        <v>0.52083333333333337</v>
      </c>
      <c r="U218" s="494" t="s">
        <v>914</v>
      </c>
      <c r="V218" s="620" t="str">
        <f>Combined_tables[[#This Row],[TimeSlot_Start_text]]</f>
        <v>1200</v>
      </c>
      <c r="W218" s="621" t="s">
        <v>354</v>
      </c>
      <c r="X218" s="621" t="s">
        <v>354</v>
      </c>
      <c r="Y218" s="621" t="s">
        <v>354</v>
      </c>
      <c r="Z218" s="621" t="s">
        <v>354</v>
      </c>
      <c r="AA218" s="621" t="s">
        <v>354</v>
      </c>
      <c r="AB218" s="494" t="s">
        <v>1077</v>
      </c>
      <c r="AD218" s="625" t="s">
        <v>1020</v>
      </c>
      <c r="AG218" s="627"/>
      <c r="AH218" s="494" t="s">
        <v>1021</v>
      </c>
      <c r="AI218" s="625" t="s">
        <v>1022</v>
      </c>
      <c r="AJ218" s="627">
        <v>25092</v>
      </c>
      <c r="AK218" s="623" t="s">
        <v>1024</v>
      </c>
      <c r="AL218" s="627">
        <v>7089287239</v>
      </c>
      <c r="AM218" s="494" t="s">
        <v>786</v>
      </c>
      <c r="AN218" s="625" t="s">
        <v>901</v>
      </c>
      <c r="AO218" s="627">
        <v>22230</v>
      </c>
      <c r="AP218" s="623" t="s">
        <v>882</v>
      </c>
      <c r="AQ218" s="627">
        <v>7089327433</v>
      </c>
    </row>
    <row r="219" spans="1:43" ht="15.75" customHeight="1" x14ac:dyDescent="0.25">
      <c r="A219" s="625">
        <v>218</v>
      </c>
      <c r="B219" s="494" t="s">
        <v>589</v>
      </c>
      <c r="C219" s="625">
        <v>104</v>
      </c>
      <c r="D219" s="494" t="s">
        <v>1034</v>
      </c>
      <c r="E219" s="627">
        <v>9504469</v>
      </c>
      <c r="F219" s="627">
        <v>29334</v>
      </c>
      <c r="G219" s="494" t="s">
        <v>1037</v>
      </c>
      <c r="S219" s="629">
        <f t="shared" si="6"/>
        <v>0.52083333333333337</v>
      </c>
      <c r="T219" s="629">
        <f t="shared" si="7"/>
        <v>0.54166666666666674</v>
      </c>
      <c r="U219" s="494" t="s">
        <v>915</v>
      </c>
      <c r="V219" s="620" t="str">
        <f>Combined_tables[[#This Row],[TimeSlot_Start_text]]</f>
        <v>1230</v>
      </c>
      <c r="W219" s="621" t="s">
        <v>354</v>
      </c>
      <c r="X219" s="621" t="s">
        <v>354</v>
      </c>
      <c r="Y219" s="621" t="s">
        <v>354</v>
      </c>
      <c r="Z219" s="621" t="s">
        <v>354</v>
      </c>
      <c r="AA219" s="621" t="s">
        <v>354</v>
      </c>
      <c r="AB219" s="494" t="s">
        <v>1078</v>
      </c>
      <c r="AD219" s="625" t="s">
        <v>1020</v>
      </c>
      <c r="AG219" s="627"/>
      <c r="AH219" s="494" t="s">
        <v>1021</v>
      </c>
      <c r="AI219" s="625" t="s">
        <v>1022</v>
      </c>
      <c r="AJ219" s="627">
        <v>25092</v>
      </c>
      <c r="AK219" s="623" t="s">
        <v>1024</v>
      </c>
      <c r="AL219" s="627">
        <v>7089287239</v>
      </c>
      <c r="AM219" s="494" t="s">
        <v>786</v>
      </c>
      <c r="AN219" s="625" t="s">
        <v>901</v>
      </c>
      <c r="AO219" s="627">
        <v>22230</v>
      </c>
      <c r="AP219" s="623" t="s">
        <v>882</v>
      </c>
      <c r="AQ219" s="627">
        <v>7089327433</v>
      </c>
    </row>
    <row r="220" spans="1:43" x14ac:dyDescent="0.25">
      <c r="A220" s="625">
        <v>219</v>
      </c>
      <c r="B220" s="494" t="s">
        <v>589</v>
      </c>
      <c r="C220" s="625">
        <v>104</v>
      </c>
      <c r="D220" s="494" t="s">
        <v>1034</v>
      </c>
      <c r="E220" s="627">
        <v>9504469</v>
      </c>
      <c r="F220" s="627">
        <v>29334</v>
      </c>
      <c r="G220" s="494" t="s">
        <v>1037</v>
      </c>
      <c r="S220" s="629">
        <f t="shared" si="6"/>
        <v>0.54166666666666663</v>
      </c>
      <c r="T220" s="629">
        <f t="shared" si="7"/>
        <v>0.5625</v>
      </c>
      <c r="U220" s="494" t="s">
        <v>916</v>
      </c>
      <c r="V220" s="620" t="str">
        <f>Combined_tables[[#This Row],[TimeSlot_Start_text]]</f>
        <v>1300</v>
      </c>
      <c r="W220" s="621"/>
      <c r="X220" s="621"/>
      <c r="Y220" s="621"/>
      <c r="Z220" s="621"/>
      <c r="AA220" s="621"/>
      <c r="AB220" s="494" t="s">
        <v>1071</v>
      </c>
      <c r="AD220" s="625" t="s">
        <v>1020</v>
      </c>
      <c r="AG220" s="627"/>
      <c r="AH220" s="494" t="s">
        <v>1021</v>
      </c>
      <c r="AI220" s="625" t="s">
        <v>1022</v>
      </c>
      <c r="AJ220" s="627">
        <v>25092</v>
      </c>
      <c r="AK220" s="623" t="s">
        <v>1024</v>
      </c>
      <c r="AL220" s="627">
        <v>7089287239</v>
      </c>
      <c r="AM220" s="494" t="s">
        <v>786</v>
      </c>
      <c r="AN220" s="625" t="s">
        <v>901</v>
      </c>
      <c r="AO220" s="627">
        <v>22230</v>
      </c>
      <c r="AP220" s="623" t="s">
        <v>882</v>
      </c>
      <c r="AQ220" s="627">
        <v>7089327433</v>
      </c>
    </row>
    <row r="221" spans="1:43" x14ac:dyDescent="0.25">
      <c r="A221" s="625">
        <v>220</v>
      </c>
      <c r="B221" s="494" t="s">
        <v>589</v>
      </c>
      <c r="C221" s="625">
        <v>104</v>
      </c>
      <c r="D221" s="494" t="s">
        <v>1034</v>
      </c>
      <c r="E221" s="627">
        <v>9504469</v>
      </c>
      <c r="F221" s="627">
        <v>29334</v>
      </c>
      <c r="G221" s="494" t="s">
        <v>1037</v>
      </c>
      <c r="S221" s="629">
        <f t="shared" si="6"/>
        <v>0.5625</v>
      </c>
      <c r="T221" s="629">
        <f t="shared" si="7"/>
        <v>0.58333333333333337</v>
      </c>
      <c r="U221" s="494" t="s">
        <v>917</v>
      </c>
      <c r="V221" s="620" t="str">
        <f>Combined_tables[[#This Row],[TimeSlot_Start_text]]</f>
        <v>1330</v>
      </c>
      <c r="W221" s="621"/>
      <c r="X221" s="621"/>
      <c r="Y221" s="621"/>
      <c r="Z221" s="621"/>
      <c r="AA221" s="621"/>
      <c r="AB221" s="494" t="s">
        <v>1072</v>
      </c>
      <c r="AD221" s="625" t="s">
        <v>1020</v>
      </c>
      <c r="AG221" s="627"/>
      <c r="AH221" s="494" t="s">
        <v>1021</v>
      </c>
      <c r="AI221" s="625" t="s">
        <v>1022</v>
      </c>
      <c r="AJ221" s="627">
        <v>25092</v>
      </c>
      <c r="AK221" s="623" t="s">
        <v>1024</v>
      </c>
      <c r="AL221" s="627">
        <v>7089287239</v>
      </c>
      <c r="AM221" s="494" t="s">
        <v>786</v>
      </c>
      <c r="AN221" s="625" t="s">
        <v>901</v>
      </c>
      <c r="AO221" s="627">
        <v>22230</v>
      </c>
      <c r="AP221" s="623" t="s">
        <v>882</v>
      </c>
      <c r="AQ221" s="627">
        <v>7089327433</v>
      </c>
    </row>
    <row r="222" spans="1:43" x14ac:dyDescent="0.25">
      <c r="A222" s="625">
        <v>221</v>
      </c>
      <c r="B222" s="494" t="s">
        <v>589</v>
      </c>
      <c r="C222" s="625">
        <v>104</v>
      </c>
      <c r="D222" s="494" t="s">
        <v>1034</v>
      </c>
      <c r="E222" s="627">
        <v>9504469</v>
      </c>
      <c r="F222" s="627">
        <v>29334</v>
      </c>
      <c r="G222" s="494" t="s">
        <v>1037</v>
      </c>
      <c r="S222" s="629">
        <f t="shared" si="6"/>
        <v>0.58333333333333337</v>
      </c>
      <c r="T222" s="629">
        <f t="shared" si="7"/>
        <v>0.60416666666666674</v>
      </c>
      <c r="U222" s="494" t="s">
        <v>918</v>
      </c>
      <c r="V222" s="620" t="str">
        <f>Combined_tables[[#This Row],[TimeSlot_Start_text]]</f>
        <v>1400</v>
      </c>
      <c r="W222" s="621"/>
      <c r="X222" s="621"/>
      <c r="Y222" s="621"/>
      <c r="Z222" s="621"/>
      <c r="AA222" s="621"/>
      <c r="AB222" s="494" t="s">
        <v>1079</v>
      </c>
      <c r="AD222" s="625" t="s">
        <v>1020</v>
      </c>
      <c r="AG222" s="627"/>
      <c r="AH222" s="494" t="s">
        <v>1021</v>
      </c>
      <c r="AI222" s="625" t="s">
        <v>1022</v>
      </c>
      <c r="AJ222" s="627">
        <v>25092</v>
      </c>
      <c r="AK222" s="623" t="s">
        <v>1024</v>
      </c>
      <c r="AL222" s="627">
        <v>7089287239</v>
      </c>
      <c r="AM222" s="494" t="s">
        <v>786</v>
      </c>
      <c r="AN222" s="625" t="s">
        <v>901</v>
      </c>
      <c r="AO222" s="627">
        <v>22230</v>
      </c>
      <c r="AP222" s="623" t="s">
        <v>882</v>
      </c>
      <c r="AQ222" s="627">
        <v>7089327433</v>
      </c>
    </row>
    <row r="223" spans="1:43" x14ac:dyDescent="0.25">
      <c r="A223" s="625">
        <v>222</v>
      </c>
      <c r="B223" s="494" t="s">
        <v>589</v>
      </c>
      <c r="C223" s="625">
        <v>104</v>
      </c>
      <c r="D223" s="494" t="s">
        <v>1034</v>
      </c>
      <c r="E223" s="627">
        <v>9504469</v>
      </c>
      <c r="F223" s="627">
        <v>29334</v>
      </c>
      <c r="G223" s="494" t="s">
        <v>1037</v>
      </c>
      <c r="S223" s="629">
        <f t="shared" si="6"/>
        <v>0.60416666666666663</v>
      </c>
      <c r="T223" s="629">
        <f t="shared" si="7"/>
        <v>0.625</v>
      </c>
      <c r="U223" s="494" t="s">
        <v>919</v>
      </c>
      <c r="V223" s="620" t="str">
        <f>Combined_tables[[#This Row],[TimeSlot_Start_text]]</f>
        <v>1430</v>
      </c>
      <c r="W223" s="621"/>
      <c r="X223" s="621"/>
      <c r="Y223" s="621"/>
      <c r="Z223" s="621"/>
      <c r="AA223" s="621"/>
      <c r="AB223" s="494" t="s">
        <v>1080</v>
      </c>
      <c r="AD223" s="625" t="s">
        <v>1020</v>
      </c>
      <c r="AG223" s="627"/>
      <c r="AH223" s="494" t="s">
        <v>1021</v>
      </c>
      <c r="AI223" s="625" t="s">
        <v>1022</v>
      </c>
      <c r="AJ223" s="627">
        <v>25092</v>
      </c>
      <c r="AK223" s="623" t="s">
        <v>1024</v>
      </c>
      <c r="AL223" s="627">
        <v>7089287239</v>
      </c>
      <c r="AM223" s="494" t="s">
        <v>786</v>
      </c>
      <c r="AN223" s="625" t="s">
        <v>901</v>
      </c>
      <c r="AO223" s="627">
        <v>22230</v>
      </c>
      <c r="AP223" s="623" t="s">
        <v>882</v>
      </c>
      <c r="AQ223" s="627">
        <v>7089327433</v>
      </c>
    </row>
    <row r="224" spans="1:43" x14ac:dyDescent="0.25">
      <c r="A224" s="625">
        <v>223</v>
      </c>
      <c r="B224" s="494" t="s">
        <v>589</v>
      </c>
      <c r="C224" s="625">
        <v>104</v>
      </c>
      <c r="D224" s="494" t="s">
        <v>1034</v>
      </c>
      <c r="E224" s="627">
        <v>9504469</v>
      </c>
      <c r="F224" s="627">
        <v>29334</v>
      </c>
      <c r="G224" s="494" t="s">
        <v>1037</v>
      </c>
      <c r="S224" s="629">
        <f t="shared" si="6"/>
        <v>0.625</v>
      </c>
      <c r="T224" s="629">
        <f t="shared" si="7"/>
        <v>0.64583333333333337</v>
      </c>
      <c r="U224" s="494" t="s">
        <v>920</v>
      </c>
      <c r="V224" s="620" t="str">
        <f>Combined_tables[[#This Row],[TimeSlot_Start_text]]</f>
        <v>1500</v>
      </c>
      <c r="W224" s="621"/>
      <c r="X224" s="621"/>
      <c r="Y224" s="621"/>
      <c r="Z224" s="621"/>
      <c r="AA224" s="621"/>
      <c r="AB224" s="494" t="s">
        <v>1081</v>
      </c>
      <c r="AD224" s="625" t="s">
        <v>1020</v>
      </c>
      <c r="AG224" s="627"/>
      <c r="AH224" s="494" t="s">
        <v>1021</v>
      </c>
      <c r="AI224" s="625" t="s">
        <v>1022</v>
      </c>
      <c r="AJ224" s="627">
        <v>25092</v>
      </c>
      <c r="AK224" s="623" t="s">
        <v>1024</v>
      </c>
      <c r="AL224" s="627">
        <v>7089287239</v>
      </c>
      <c r="AM224" s="494" t="s">
        <v>786</v>
      </c>
      <c r="AN224" s="625" t="s">
        <v>901</v>
      </c>
      <c r="AO224" s="627">
        <v>22230</v>
      </c>
      <c r="AP224" s="623" t="s">
        <v>882</v>
      </c>
      <c r="AQ224" s="627">
        <v>7089327433</v>
      </c>
    </row>
    <row r="225" spans="1:43" x14ac:dyDescent="0.25">
      <c r="A225" s="625">
        <v>224</v>
      </c>
      <c r="B225" s="494" t="s">
        <v>589</v>
      </c>
      <c r="C225" s="625">
        <v>104</v>
      </c>
      <c r="D225" s="494" t="s">
        <v>1034</v>
      </c>
      <c r="E225" s="627">
        <v>9504469</v>
      </c>
      <c r="F225" s="627">
        <v>29334</v>
      </c>
      <c r="G225" s="494" t="s">
        <v>1037</v>
      </c>
      <c r="S225" s="629">
        <f t="shared" si="6"/>
        <v>0.64583333333333337</v>
      </c>
      <c r="T225" s="629">
        <f t="shared" si="7"/>
        <v>0.66666666666666674</v>
      </c>
      <c r="U225" s="494" t="s">
        <v>921</v>
      </c>
      <c r="V225" s="620" t="str">
        <f>Combined_tables[[#This Row],[TimeSlot_Start_text]]</f>
        <v>1530</v>
      </c>
      <c r="W225" s="621"/>
      <c r="X225" s="621"/>
      <c r="Y225" s="621"/>
      <c r="Z225" s="621"/>
      <c r="AA225" s="621"/>
      <c r="AB225" s="494" t="s">
        <v>1082</v>
      </c>
      <c r="AD225" s="625" t="s">
        <v>1020</v>
      </c>
      <c r="AG225" s="627"/>
      <c r="AH225" s="494" t="s">
        <v>1021</v>
      </c>
      <c r="AI225" s="625" t="s">
        <v>1022</v>
      </c>
      <c r="AJ225" s="627">
        <v>25092</v>
      </c>
      <c r="AK225" s="623" t="s">
        <v>1024</v>
      </c>
      <c r="AL225" s="627">
        <v>7089287239</v>
      </c>
      <c r="AM225" s="494" t="s">
        <v>786</v>
      </c>
      <c r="AN225" s="625" t="s">
        <v>901</v>
      </c>
      <c r="AO225" s="627">
        <v>22230</v>
      </c>
      <c r="AP225" s="623" t="s">
        <v>882</v>
      </c>
      <c r="AQ225" s="627">
        <v>7089327433</v>
      </c>
    </row>
    <row r="226" spans="1:43" ht="15" customHeight="1" x14ac:dyDescent="0.25">
      <c r="A226" s="625">
        <v>225</v>
      </c>
      <c r="B226" s="494" t="s">
        <v>589</v>
      </c>
      <c r="C226" s="625">
        <v>113</v>
      </c>
      <c r="D226" s="494" t="s">
        <v>1038</v>
      </c>
      <c r="F226" s="627">
        <v>29329</v>
      </c>
      <c r="S226" s="629">
        <f t="shared" si="6"/>
        <v>0.33333333333333331</v>
      </c>
      <c r="T226" s="629">
        <f t="shared" si="7"/>
        <v>0.35416666666666663</v>
      </c>
      <c r="U226" s="494" t="s">
        <v>906</v>
      </c>
      <c r="V226" s="620" t="str">
        <f>Combined_tables[[#This Row],[TimeSlot_Start_text]]</f>
        <v>0800</v>
      </c>
      <c r="W226" s="621"/>
      <c r="X226" s="621"/>
      <c r="Y226" s="621"/>
      <c r="Z226" s="621"/>
      <c r="AA226" s="621"/>
      <c r="AB226" s="494" t="s">
        <v>1083</v>
      </c>
      <c r="AD226" s="625" t="s">
        <v>1020</v>
      </c>
      <c r="AG226" s="627"/>
      <c r="AH226" s="494" t="s">
        <v>1021</v>
      </c>
      <c r="AI226" s="625" t="s">
        <v>1022</v>
      </c>
      <c r="AJ226" s="627">
        <v>25092</v>
      </c>
      <c r="AK226" s="623" t="s">
        <v>1024</v>
      </c>
      <c r="AL226" s="627">
        <v>7089287239</v>
      </c>
      <c r="AM226" s="494" t="s">
        <v>786</v>
      </c>
      <c r="AN226" s="625" t="s">
        <v>901</v>
      </c>
      <c r="AO226" s="627">
        <v>22230</v>
      </c>
      <c r="AP226" s="623" t="s">
        <v>882</v>
      </c>
      <c r="AQ226" s="627">
        <v>7089327433</v>
      </c>
    </row>
    <row r="227" spans="1:43" ht="15" customHeight="1" x14ac:dyDescent="0.25">
      <c r="A227" s="625">
        <v>226</v>
      </c>
      <c r="B227" s="494" t="s">
        <v>589</v>
      </c>
      <c r="C227" s="625">
        <v>113</v>
      </c>
      <c r="D227" s="494" t="s">
        <v>1038</v>
      </c>
      <c r="F227" s="627">
        <v>29329</v>
      </c>
      <c r="S227" s="629">
        <f t="shared" si="6"/>
        <v>0.35416666666666669</v>
      </c>
      <c r="T227" s="629">
        <f t="shared" si="7"/>
        <v>0.375</v>
      </c>
      <c r="U227" s="494" t="s">
        <v>907</v>
      </c>
      <c r="V227" s="620" t="str">
        <f>Combined_tables[[#This Row],[TimeSlot_Start_text]]</f>
        <v>0830</v>
      </c>
      <c r="W227" s="621"/>
      <c r="X227" s="621"/>
      <c r="Y227" s="621"/>
      <c r="Z227" s="621"/>
      <c r="AA227" s="621"/>
      <c r="AB227" s="494" t="s">
        <v>1084</v>
      </c>
      <c r="AD227" s="625" t="s">
        <v>1020</v>
      </c>
      <c r="AG227" s="627"/>
      <c r="AH227" s="494" t="s">
        <v>1021</v>
      </c>
      <c r="AI227" s="625" t="s">
        <v>1022</v>
      </c>
      <c r="AJ227" s="627">
        <v>25092</v>
      </c>
      <c r="AK227" s="623" t="s">
        <v>1024</v>
      </c>
      <c r="AL227" s="627">
        <v>7089287239</v>
      </c>
      <c r="AM227" s="494" t="s">
        <v>786</v>
      </c>
      <c r="AN227" s="625" t="s">
        <v>901</v>
      </c>
      <c r="AO227" s="627">
        <v>22230</v>
      </c>
      <c r="AP227" s="623" t="s">
        <v>882</v>
      </c>
      <c r="AQ227" s="627">
        <v>7089327433</v>
      </c>
    </row>
    <row r="228" spans="1:43" ht="15" customHeight="1" x14ac:dyDescent="0.25">
      <c r="A228" s="625">
        <v>227</v>
      </c>
      <c r="B228" s="494" t="s">
        <v>589</v>
      </c>
      <c r="C228" s="625">
        <v>113</v>
      </c>
      <c r="D228" s="494" t="s">
        <v>1038</v>
      </c>
      <c r="F228" s="627">
        <v>29329</v>
      </c>
      <c r="S228" s="629">
        <f t="shared" si="6"/>
        <v>0.375</v>
      </c>
      <c r="T228" s="629">
        <f t="shared" si="7"/>
        <v>0.39583333333333331</v>
      </c>
      <c r="U228" s="494" t="s">
        <v>908</v>
      </c>
      <c r="V228" s="620" t="str">
        <f>Combined_tables[[#This Row],[TimeSlot_Start_text]]</f>
        <v>0900</v>
      </c>
      <c r="W228" s="621"/>
      <c r="X228" s="621"/>
      <c r="Y228" s="621"/>
      <c r="Z228" s="621"/>
      <c r="AA228" s="621"/>
      <c r="AB228" s="494" t="s">
        <v>1085</v>
      </c>
      <c r="AD228" s="625" t="s">
        <v>1020</v>
      </c>
      <c r="AG228" s="627"/>
      <c r="AH228" s="494" t="s">
        <v>1021</v>
      </c>
      <c r="AI228" s="625" t="s">
        <v>1022</v>
      </c>
      <c r="AJ228" s="627">
        <v>25092</v>
      </c>
      <c r="AK228" s="623" t="s">
        <v>1024</v>
      </c>
      <c r="AL228" s="627">
        <v>7089287239</v>
      </c>
      <c r="AM228" s="494" t="s">
        <v>786</v>
      </c>
      <c r="AN228" s="625" t="s">
        <v>901</v>
      </c>
      <c r="AO228" s="627">
        <v>22230</v>
      </c>
      <c r="AP228" s="623" t="s">
        <v>882</v>
      </c>
      <c r="AQ228" s="627">
        <v>7089327433</v>
      </c>
    </row>
    <row r="229" spans="1:43" ht="15" customHeight="1" x14ac:dyDescent="0.25">
      <c r="A229" s="625">
        <v>228</v>
      </c>
      <c r="B229" s="494" t="s">
        <v>589</v>
      </c>
      <c r="C229" s="625">
        <v>113</v>
      </c>
      <c r="D229" s="494" t="s">
        <v>1038</v>
      </c>
      <c r="F229" s="627">
        <v>29329</v>
      </c>
      <c r="S229" s="629">
        <f t="shared" si="6"/>
        <v>0.39583333333333331</v>
      </c>
      <c r="T229" s="629">
        <f t="shared" si="7"/>
        <v>0.41666666666666663</v>
      </c>
      <c r="U229" s="494" t="s">
        <v>909</v>
      </c>
      <c r="V229" s="620" t="str">
        <f>Combined_tables[[#This Row],[TimeSlot_Start_text]]</f>
        <v>0930</v>
      </c>
      <c r="W229" s="621"/>
      <c r="X229" s="621"/>
      <c r="Y229" s="621"/>
      <c r="Z229" s="621"/>
      <c r="AA229" s="621"/>
      <c r="AB229" s="494" t="s">
        <v>1086</v>
      </c>
      <c r="AD229" s="625" t="s">
        <v>1020</v>
      </c>
      <c r="AG229" s="627"/>
      <c r="AH229" s="494" t="s">
        <v>1021</v>
      </c>
      <c r="AI229" s="625" t="s">
        <v>1022</v>
      </c>
      <c r="AJ229" s="627">
        <v>25092</v>
      </c>
      <c r="AK229" s="623" t="s">
        <v>1024</v>
      </c>
      <c r="AL229" s="627">
        <v>7089287239</v>
      </c>
      <c r="AM229" s="494" t="s">
        <v>786</v>
      </c>
      <c r="AN229" s="625" t="s">
        <v>901</v>
      </c>
      <c r="AO229" s="627">
        <v>22230</v>
      </c>
      <c r="AP229" s="623" t="s">
        <v>882</v>
      </c>
      <c r="AQ229" s="627">
        <v>7089327433</v>
      </c>
    </row>
    <row r="230" spans="1:43" x14ac:dyDescent="0.25">
      <c r="A230" s="625">
        <v>229</v>
      </c>
      <c r="B230" s="494" t="s">
        <v>589</v>
      </c>
      <c r="C230" s="625">
        <v>113</v>
      </c>
      <c r="D230" s="494" t="s">
        <v>1038</v>
      </c>
      <c r="F230" s="627">
        <v>29329</v>
      </c>
      <c r="S230" s="629">
        <f t="shared" si="6"/>
        <v>0.41666666666666669</v>
      </c>
      <c r="T230" s="629">
        <f t="shared" si="7"/>
        <v>0.4375</v>
      </c>
      <c r="U230" s="494" t="s">
        <v>910</v>
      </c>
      <c r="V230" s="620" t="str">
        <f>Combined_tables[[#This Row],[TimeSlot_Start_text]]</f>
        <v>1000</v>
      </c>
      <c r="W230" s="621"/>
      <c r="X230" s="621"/>
      <c r="Y230" s="621"/>
      <c r="Z230" s="621"/>
      <c r="AA230" s="621"/>
      <c r="AB230" s="494" t="s">
        <v>1073</v>
      </c>
      <c r="AD230" s="625" t="s">
        <v>1020</v>
      </c>
      <c r="AG230" s="627"/>
      <c r="AH230" s="494" t="s">
        <v>1021</v>
      </c>
      <c r="AI230" s="625" t="s">
        <v>1022</v>
      </c>
      <c r="AJ230" s="627">
        <v>25092</v>
      </c>
      <c r="AK230" s="623" t="s">
        <v>1024</v>
      </c>
      <c r="AL230" s="627">
        <v>7089287239</v>
      </c>
      <c r="AM230" s="494" t="s">
        <v>786</v>
      </c>
      <c r="AN230" s="625" t="s">
        <v>901</v>
      </c>
      <c r="AO230" s="627">
        <v>22230</v>
      </c>
      <c r="AP230" s="623" t="s">
        <v>882</v>
      </c>
      <c r="AQ230" s="627">
        <v>7089327433</v>
      </c>
    </row>
    <row r="231" spans="1:43" x14ac:dyDescent="0.25">
      <c r="A231" s="625">
        <v>230</v>
      </c>
      <c r="B231" s="494" t="s">
        <v>589</v>
      </c>
      <c r="C231" s="625">
        <v>113</v>
      </c>
      <c r="D231" s="494" t="s">
        <v>1038</v>
      </c>
      <c r="F231" s="627">
        <v>29329</v>
      </c>
      <c r="S231" s="629">
        <f t="shared" si="6"/>
        <v>0.4375</v>
      </c>
      <c r="T231" s="629">
        <f t="shared" si="7"/>
        <v>0.45833333333333331</v>
      </c>
      <c r="U231" s="494" t="s">
        <v>911</v>
      </c>
      <c r="V231" s="620" t="str">
        <f>Combined_tables[[#This Row],[TimeSlot_Start_text]]</f>
        <v>1030</v>
      </c>
      <c r="W231" s="621"/>
      <c r="X231" s="621"/>
      <c r="Y231" s="621"/>
      <c r="Z231" s="621"/>
      <c r="AA231" s="621"/>
      <c r="AB231" s="494" t="s">
        <v>1074</v>
      </c>
      <c r="AD231" s="625" t="s">
        <v>1020</v>
      </c>
      <c r="AG231" s="627"/>
      <c r="AH231" s="494" t="s">
        <v>1021</v>
      </c>
      <c r="AI231" s="625" t="s">
        <v>1022</v>
      </c>
      <c r="AJ231" s="627">
        <v>25092</v>
      </c>
      <c r="AK231" s="623" t="s">
        <v>1024</v>
      </c>
      <c r="AL231" s="627">
        <v>7089287239</v>
      </c>
      <c r="AM231" s="494" t="s">
        <v>786</v>
      </c>
      <c r="AN231" s="625" t="s">
        <v>901</v>
      </c>
      <c r="AO231" s="627">
        <v>22230</v>
      </c>
      <c r="AP231" s="623" t="s">
        <v>882</v>
      </c>
      <c r="AQ231" s="627">
        <v>7089327433</v>
      </c>
    </row>
    <row r="232" spans="1:43" x14ac:dyDescent="0.25">
      <c r="A232" s="625">
        <v>231</v>
      </c>
      <c r="B232" s="494" t="s">
        <v>589</v>
      </c>
      <c r="C232" s="625">
        <v>113</v>
      </c>
      <c r="D232" s="494" t="s">
        <v>1038</v>
      </c>
      <c r="F232" s="627">
        <v>29329</v>
      </c>
      <c r="S232" s="629">
        <f t="shared" si="6"/>
        <v>0.45833333333333331</v>
      </c>
      <c r="T232" s="629">
        <f t="shared" si="7"/>
        <v>0.47916666666666663</v>
      </c>
      <c r="U232" s="494" t="s">
        <v>912</v>
      </c>
      <c r="V232" s="620" t="str">
        <f>Combined_tables[[#This Row],[TimeSlot_Start_text]]</f>
        <v>1100</v>
      </c>
      <c r="W232" s="621"/>
      <c r="X232" s="621"/>
      <c r="Y232" s="621"/>
      <c r="Z232" s="621"/>
      <c r="AA232" s="621"/>
      <c r="AB232" s="494" t="s">
        <v>1076</v>
      </c>
      <c r="AD232" s="625" t="s">
        <v>1020</v>
      </c>
      <c r="AG232" s="627"/>
      <c r="AH232" s="494" t="s">
        <v>1021</v>
      </c>
      <c r="AI232" s="625" t="s">
        <v>1022</v>
      </c>
      <c r="AJ232" s="627">
        <v>25092</v>
      </c>
      <c r="AK232" s="623" t="s">
        <v>1024</v>
      </c>
      <c r="AL232" s="627">
        <v>7089287239</v>
      </c>
      <c r="AM232" s="494" t="s">
        <v>786</v>
      </c>
      <c r="AN232" s="625" t="s">
        <v>901</v>
      </c>
      <c r="AO232" s="627">
        <v>22230</v>
      </c>
      <c r="AP232" s="623" t="s">
        <v>882</v>
      </c>
      <c r="AQ232" s="627">
        <v>7089327433</v>
      </c>
    </row>
    <row r="233" spans="1:43" x14ac:dyDescent="0.25">
      <c r="A233" s="625">
        <v>232</v>
      </c>
      <c r="B233" s="494" t="s">
        <v>589</v>
      </c>
      <c r="C233" s="625">
        <v>113</v>
      </c>
      <c r="D233" s="494" t="s">
        <v>1038</v>
      </c>
      <c r="F233" s="627">
        <v>29329</v>
      </c>
      <c r="S233" s="629">
        <f t="shared" si="6"/>
        <v>0.47916666666666669</v>
      </c>
      <c r="T233" s="629">
        <f t="shared" si="7"/>
        <v>0.5</v>
      </c>
      <c r="U233" s="494" t="s">
        <v>913</v>
      </c>
      <c r="V233" s="620" t="str">
        <f>Combined_tables[[#This Row],[TimeSlot_Start_text]]</f>
        <v>1130</v>
      </c>
      <c r="W233" s="621"/>
      <c r="X233" s="621"/>
      <c r="Y233" s="621"/>
      <c r="Z233" s="621"/>
      <c r="AA233" s="621"/>
      <c r="AB233" s="494" t="s">
        <v>1075</v>
      </c>
      <c r="AD233" s="625" t="s">
        <v>1020</v>
      </c>
      <c r="AG233" s="627"/>
      <c r="AH233" s="494" t="s">
        <v>1021</v>
      </c>
      <c r="AI233" s="625" t="s">
        <v>1022</v>
      </c>
      <c r="AJ233" s="627">
        <v>25092</v>
      </c>
      <c r="AK233" s="623" t="s">
        <v>1024</v>
      </c>
      <c r="AL233" s="627">
        <v>7089287239</v>
      </c>
      <c r="AM233" s="494" t="s">
        <v>786</v>
      </c>
      <c r="AN233" s="625" t="s">
        <v>901</v>
      </c>
      <c r="AO233" s="627">
        <v>22230</v>
      </c>
      <c r="AP233" s="623" t="s">
        <v>882</v>
      </c>
      <c r="AQ233" s="627">
        <v>7089327433</v>
      </c>
    </row>
    <row r="234" spans="1:43" ht="15" customHeight="1" x14ac:dyDescent="0.25">
      <c r="A234" s="625">
        <v>233</v>
      </c>
      <c r="B234" s="494" t="s">
        <v>589</v>
      </c>
      <c r="C234" s="625">
        <v>113</v>
      </c>
      <c r="D234" s="494" t="s">
        <v>1038</v>
      </c>
      <c r="F234" s="627">
        <v>29329</v>
      </c>
      <c r="S234" s="629">
        <f t="shared" si="6"/>
        <v>0.5</v>
      </c>
      <c r="T234" s="629">
        <f t="shared" si="7"/>
        <v>0.52083333333333337</v>
      </c>
      <c r="U234" s="494" t="s">
        <v>914</v>
      </c>
      <c r="V234" s="620" t="str">
        <f>Combined_tables[[#This Row],[TimeSlot_Start_text]]</f>
        <v>1200</v>
      </c>
      <c r="W234" s="621" t="s">
        <v>354</v>
      </c>
      <c r="X234" s="621" t="s">
        <v>354</v>
      </c>
      <c r="Y234" s="621" t="s">
        <v>354</v>
      </c>
      <c r="Z234" s="621" t="s">
        <v>354</v>
      </c>
      <c r="AA234" s="621" t="s">
        <v>354</v>
      </c>
      <c r="AB234" s="494" t="s">
        <v>1077</v>
      </c>
      <c r="AD234" s="625" t="s">
        <v>1020</v>
      </c>
      <c r="AG234" s="627"/>
      <c r="AH234" s="494" t="s">
        <v>1021</v>
      </c>
      <c r="AI234" s="625" t="s">
        <v>1022</v>
      </c>
      <c r="AJ234" s="627">
        <v>25092</v>
      </c>
      <c r="AK234" s="623" t="s">
        <v>1024</v>
      </c>
      <c r="AL234" s="627">
        <v>7089287239</v>
      </c>
      <c r="AM234" s="494" t="s">
        <v>786</v>
      </c>
      <c r="AN234" s="625" t="s">
        <v>901</v>
      </c>
      <c r="AO234" s="627">
        <v>22230</v>
      </c>
      <c r="AP234" s="623" t="s">
        <v>882</v>
      </c>
      <c r="AQ234" s="627">
        <v>7089327433</v>
      </c>
    </row>
    <row r="235" spans="1:43" ht="15.75" customHeight="1" x14ac:dyDescent="0.25">
      <c r="A235" s="625">
        <v>234</v>
      </c>
      <c r="B235" s="494" t="s">
        <v>589</v>
      </c>
      <c r="C235" s="625">
        <v>113</v>
      </c>
      <c r="D235" s="494" t="s">
        <v>1038</v>
      </c>
      <c r="F235" s="627">
        <v>29329</v>
      </c>
      <c r="S235" s="629">
        <f t="shared" si="6"/>
        <v>0.52083333333333337</v>
      </c>
      <c r="T235" s="629">
        <f t="shared" si="7"/>
        <v>0.54166666666666674</v>
      </c>
      <c r="U235" s="494" t="s">
        <v>915</v>
      </c>
      <c r="V235" s="620" t="str">
        <f>Combined_tables[[#This Row],[TimeSlot_Start_text]]</f>
        <v>1230</v>
      </c>
      <c r="W235" s="621" t="s">
        <v>354</v>
      </c>
      <c r="X235" s="621" t="s">
        <v>354</v>
      </c>
      <c r="Y235" s="621" t="s">
        <v>354</v>
      </c>
      <c r="Z235" s="621" t="s">
        <v>354</v>
      </c>
      <c r="AA235" s="621" t="s">
        <v>354</v>
      </c>
      <c r="AB235" s="494" t="s">
        <v>1078</v>
      </c>
      <c r="AD235" s="625" t="s">
        <v>1020</v>
      </c>
      <c r="AG235" s="627"/>
      <c r="AH235" s="494" t="s">
        <v>1021</v>
      </c>
      <c r="AI235" s="625" t="s">
        <v>1022</v>
      </c>
      <c r="AJ235" s="627">
        <v>25092</v>
      </c>
      <c r="AK235" s="623" t="s">
        <v>1024</v>
      </c>
      <c r="AL235" s="627">
        <v>7089287239</v>
      </c>
      <c r="AM235" s="494" t="s">
        <v>786</v>
      </c>
      <c r="AN235" s="625" t="s">
        <v>901</v>
      </c>
      <c r="AO235" s="627">
        <v>22230</v>
      </c>
      <c r="AP235" s="623" t="s">
        <v>882</v>
      </c>
      <c r="AQ235" s="627">
        <v>7089327433</v>
      </c>
    </row>
    <row r="236" spans="1:43" x14ac:dyDescent="0.25">
      <c r="A236" s="625">
        <v>235</v>
      </c>
      <c r="B236" s="494" t="s">
        <v>589</v>
      </c>
      <c r="C236" s="625">
        <v>113</v>
      </c>
      <c r="D236" s="494" t="s">
        <v>1038</v>
      </c>
      <c r="F236" s="627">
        <v>29329</v>
      </c>
      <c r="S236" s="629">
        <f t="shared" si="6"/>
        <v>0.54166666666666663</v>
      </c>
      <c r="T236" s="629">
        <f t="shared" si="7"/>
        <v>0.5625</v>
      </c>
      <c r="U236" s="494" t="s">
        <v>916</v>
      </c>
      <c r="V236" s="620" t="str">
        <f>Combined_tables[[#This Row],[TimeSlot_Start_text]]</f>
        <v>1300</v>
      </c>
      <c r="W236" s="621"/>
      <c r="X236" s="621"/>
      <c r="Y236" s="621"/>
      <c r="Z236" s="621"/>
      <c r="AA236" s="621"/>
      <c r="AB236" s="494" t="s">
        <v>1071</v>
      </c>
      <c r="AD236" s="625" t="s">
        <v>1020</v>
      </c>
      <c r="AG236" s="627"/>
      <c r="AH236" s="494" t="s">
        <v>1021</v>
      </c>
      <c r="AI236" s="625" t="s">
        <v>1022</v>
      </c>
      <c r="AJ236" s="627">
        <v>25092</v>
      </c>
      <c r="AK236" s="623" t="s">
        <v>1024</v>
      </c>
      <c r="AL236" s="627">
        <v>7089287239</v>
      </c>
      <c r="AM236" s="494" t="s">
        <v>786</v>
      </c>
      <c r="AN236" s="625" t="s">
        <v>901</v>
      </c>
      <c r="AO236" s="627">
        <v>22230</v>
      </c>
      <c r="AP236" s="623" t="s">
        <v>882</v>
      </c>
      <c r="AQ236" s="627">
        <v>7089327433</v>
      </c>
    </row>
    <row r="237" spans="1:43" x14ac:dyDescent="0.25">
      <c r="A237" s="625">
        <v>236</v>
      </c>
      <c r="B237" s="494" t="s">
        <v>589</v>
      </c>
      <c r="C237" s="625">
        <v>113</v>
      </c>
      <c r="D237" s="494" t="s">
        <v>1038</v>
      </c>
      <c r="F237" s="627">
        <v>29329</v>
      </c>
      <c r="S237" s="629">
        <f t="shared" si="6"/>
        <v>0.5625</v>
      </c>
      <c r="T237" s="629">
        <f t="shared" si="7"/>
        <v>0.58333333333333337</v>
      </c>
      <c r="U237" s="494" t="s">
        <v>917</v>
      </c>
      <c r="V237" s="620" t="str">
        <f>Combined_tables[[#This Row],[TimeSlot_Start_text]]</f>
        <v>1330</v>
      </c>
      <c r="W237" s="621"/>
      <c r="X237" s="621"/>
      <c r="Y237" s="621"/>
      <c r="Z237" s="621"/>
      <c r="AA237" s="621"/>
      <c r="AB237" s="494" t="s">
        <v>1072</v>
      </c>
      <c r="AD237" s="625" t="s">
        <v>1020</v>
      </c>
      <c r="AG237" s="627"/>
      <c r="AH237" s="494" t="s">
        <v>1021</v>
      </c>
      <c r="AI237" s="625" t="s">
        <v>1022</v>
      </c>
      <c r="AJ237" s="627">
        <v>25092</v>
      </c>
      <c r="AK237" s="623" t="s">
        <v>1024</v>
      </c>
      <c r="AL237" s="627">
        <v>7089287239</v>
      </c>
      <c r="AM237" s="494" t="s">
        <v>786</v>
      </c>
      <c r="AN237" s="625" t="s">
        <v>901</v>
      </c>
      <c r="AO237" s="627">
        <v>22230</v>
      </c>
      <c r="AP237" s="623" t="s">
        <v>882</v>
      </c>
      <c r="AQ237" s="627">
        <v>7089327433</v>
      </c>
    </row>
    <row r="238" spans="1:43" x14ac:dyDescent="0.25">
      <c r="A238" s="625">
        <v>237</v>
      </c>
      <c r="B238" s="494" t="s">
        <v>589</v>
      </c>
      <c r="C238" s="625">
        <v>113</v>
      </c>
      <c r="D238" s="494" t="s">
        <v>1038</v>
      </c>
      <c r="F238" s="627">
        <v>29329</v>
      </c>
      <c r="S238" s="629">
        <f t="shared" si="6"/>
        <v>0.58333333333333337</v>
      </c>
      <c r="T238" s="629">
        <f t="shared" si="7"/>
        <v>0.60416666666666674</v>
      </c>
      <c r="U238" s="494" t="s">
        <v>918</v>
      </c>
      <c r="V238" s="620" t="str">
        <f>Combined_tables[[#This Row],[TimeSlot_Start_text]]</f>
        <v>1400</v>
      </c>
      <c r="W238" s="621"/>
      <c r="X238" s="621"/>
      <c r="Y238" s="621"/>
      <c r="Z238" s="621"/>
      <c r="AA238" s="621"/>
      <c r="AB238" s="494" t="s">
        <v>1079</v>
      </c>
      <c r="AD238" s="625" t="s">
        <v>1020</v>
      </c>
      <c r="AG238" s="627"/>
      <c r="AH238" s="494" t="s">
        <v>1021</v>
      </c>
      <c r="AI238" s="625" t="s">
        <v>1022</v>
      </c>
      <c r="AJ238" s="627">
        <v>25092</v>
      </c>
      <c r="AK238" s="623" t="s">
        <v>1024</v>
      </c>
      <c r="AL238" s="627">
        <v>7089287239</v>
      </c>
      <c r="AM238" s="494" t="s">
        <v>786</v>
      </c>
      <c r="AN238" s="625" t="s">
        <v>901</v>
      </c>
      <c r="AO238" s="627">
        <v>22230</v>
      </c>
      <c r="AP238" s="623" t="s">
        <v>882</v>
      </c>
      <c r="AQ238" s="627">
        <v>7089327433</v>
      </c>
    </row>
    <row r="239" spans="1:43" x14ac:dyDescent="0.25">
      <c r="A239" s="625">
        <v>238</v>
      </c>
      <c r="B239" s="494" t="s">
        <v>589</v>
      </c>
      <c r="C239" s="625">
        <v>113</v>
      </c>
      <c r="D239" s="494" t="s">
        <v>1038</v>
      </c>
      <c r="F239" s="627">
        <v>29329</v>
      </c>
      <c r="S239" s="629">
        <f t="shared" si="6"/>
        <v>0.60416666666666663</v>
      </c>
      <c r="T239" s="629">
        <f t="shared" si="7"/>
        <v>0.625</v>
      </c>
      <c r="U239" s="494" t="s">
        <v>919</v>
      </c>
      <c r="V239" s="620" t="str">
        <f>Combined_tables[[#This Row],[TimeSlot_Start_text]]</f>
        <v>1430</v>
      </c>
      <c r="W239" s="621"/>
      <c r="X239" s="621"/>
      <c r="Y239" s="621"/>
      <c r="Z239" s="621"/>
      <c r="AA239" s="621"/>
      <c r="AB239" s="494" t="s">
        <v>1080</v>
      </c>
      <c r="AD239" s="625" t="s">
        <v>1020</v>
      </c>
      <c r="AG239" s="627"/>
      <c r="AH239" s="494" t="s">
        <v>1021</v>
      </c>
      <c r="AI239" s="625" t="s">
        <v>1022</v>
      </c>
      <c r="AJ239" s="627">
        <v>25092</v>
      </c>
      <c r="AK239" s="623" t="s">
        <v>1024</v>
      </c>
      <c r="AL239" s="627">
        <v>7089287239</v>
      </c>
      <c r="AM239" s="494" t="s">
        <v>786</v>
      </c>
      <c r="AN239" s="625" t="s">
        <v>901</v>
      </c>
      <c r="AO239" s="627">
        <v>22230</v>
      </c>
      <c r="AP239" s="623" t="s">
        <v>882</v>
      </c>
      <c r="AQ239" s="627">
        <v>7089327433</v>
      </c>
    </row>
    <row r="240" spans="1:43" x14ac:dyDescent="0.25">
      <c r="A240" s="625">
        <v>239</v>
      </c>
      <c r="B240" s="494" t="s">
        <v>589</v>
      </c>
      <c r="C240" s="625">
        <v>113</v>
      </c>
      <c r="D240" s="494" t="s">
        <v>1038</v>
      </c>
      <c r="F240" s="627">
        <v>29329</v>
      </c>
      <c r="S240" s="629">
        <f t="shared" si="6"/>
        <v>0.625</v>
      </c>
      <c r="T240" s="629">
        <f t="shared" si="7"/>
        <v>0.64583333333333337</v>
      </c>
      <c r="U240" s="494" t="s">
        <v>920</v>
      </c>
      <c r="V240" s="620" t="str">
        <f>Combined_tables[[#This Row],[TimeSlot_Start_text]]</f>
        <v>1500</v>
      </c>
      <c r="W240" s="621"/>
      <c r="X240" s="621"/>
      <c r="Y240" s="621"/>
      <c r="Z240" s="621"/>
      <c r="AA240" s="621"/>
      <c r="AB240" s="494" t="s">
        <v>1081</v>
      </c>
      <c r="AD240" s="625" t="s">
        <v>1020</v>
      </c>
      <c r="AG240" s="627"/>
      <c r="AH240" s="494" t="s">
        <v>1021</v>
      </c>
      <c r="AI240" s="625" t="s">
        <v>1022</v>
      </c>
      <c r="AJ240" s="627">
        <v>25092</v>
      </c>
      <c r="AK240" s="623" t="s">
        <v>1024</v>
      </c>
      <c r="AL240" s="627">
        <v>7089287239</v>
      </c>
      <c r="AM240" s="494" t="s">
        <v>786</v>
      </c>
      <c r="AN240" s="625" t="s">
        <v>901</v>
      </c>
      <c r="AO240" s="627">
        <v>22230</v>
      </c>
      <c r="AP240" s="623" t="s">
        <v>882</v>
      </c>
      <c r="AQ240" s="627">
        <v>7089327433</v>
      </c>
    </row>
    <row r="241" spans="1:43" x14ac:dyDescent="0.25">
      <c r="A241" s="625">
        <v>240</v>
      </c>
      <c r="B241" s="494" t="s">
        <v>589</v>
      </c>
      <c r="C241" s="625">
        <v>113</v>
      </c>
      <c r="D241" s="494" t="s">
        <v>1038</v>
      </c>
      <c r="F241" s="627">
        <v>29329</v>
      </c>
      <c r="S241" s="629">
        <f t="shared" si="6"/>
        <v>0.64583333333333337</v>
      </c>
      <c r="T241" s="629">
        <f t="shared" si="7"/>
        <v>0.66666666666666674</v>
      </c>
      <c r="U241" s="494" t="s">
        <v>921</v>
      </c>
      <c r="V241" s="620" t="str">
        <f>Combined_tables[[#This Row],[TimeSlot_Start_text]]</f>
        <v>1530</v>
      </c>
      <c r="W241" s="621"/>
      <c r="X241" s="621"/>
      <c r="Y241" s="621"/>
      <c r="Z241" s="621"/>
      <c r="AA241" s="621"/>
      <c r="AB241" s="494" t="s">
        <v>1082</v>
      </c>
      <c r="AD241" s="625" t="s">
        <v>1020</v>
      </c>
      <c r="AG241" s="627"/>
      <c r="AH241" s="494" t="s">
        <v>1021</v>
      </c>
      <c r="AI241" s="625" t="s">
        <v>1022</v>
      </c>
      <c r="AJ241" s="627">
        <v>25092</v>
      </c>
      <c r="AK241" s="623" t="s">
        <v>1024</v>
      </c>
      <c r="AL241" s="627">
        <v>7089287239</v>
      </c>
      <c r="AM241" s="494" t="s">
        <v>786</v>
      </c>
      <c r="AN241" s="625" t="s">
        <v>901</v>
      </c>
      <c r="AO241" s="627">
        <v>22230</v>
      </c>
      <c r="AP241" s="623" t="s">
        <v>882</v>
      </c>
      <c r="AQ241" s="627">
        <v>7089327433</v>
      </c>
    </row>
    <row r="242" spans="1:43" ht="15" customHeight="1" x14ac:dyDescent="0.25">
      <c r="A242" s="625">
        <v>241</v>
      </c>
      <c r="B242" s="494" t="s">
        <v>686</v>
      </c>
      <c r="C242" s="625">
        <v>127</v>
      </c>
      <c r="D242" s="494" t="s">
        <v>1064</v>
      </c>
      <c r="E242" s="627">
        <v>9504613</v>
      </c>
      <c r="F242" s="627">
        <v>29438</v>
      </c>
      <c r="G242" s="494" t="s">
        <v>1068</v>
      </c>
      <c r="S242" s="629">
        <f t="shared" si="6"/>
        <v>0.33333333333333331</v>
      </c>
      <c r="T242" s="629">
        <f t="shared" si="7"/>
        <v>0.35416666666666663</v>
      </c>
      <c r="U242" s="494" t="s">
        <v>906</v>
      </c>
      <c r="V242" s="620" t="str">
        <f>Combined_tables[[#This Row],[TimeSlot_Start_text]]</f>
        <v>0800</v>
      </c>
      <c r="W242" s="621"/>
      <c r="X242" s="621"/>
      <c r="Y242" s="621"/>
      <c r="Z242" s="621"/>
      <c r="AA242" s="621"/>
      <c r="AB242" s="494" t="s">
        <v>1083</v>
      </c>
      <c r="AC242" s="494" t="s">
        <v>1045</v>
      </c>
      <c r="AD242" s="625" t="s">
        <v>1046</v>
      </c>
      <c r="AE242" s="627">
        <v>29429</v>
      </c>
      <c r="AF242" s="623" t="s">
        <v>1048</v>
      </c>
      <c r="AG242" s="627">
        <v>7085430566</v>
      </c>
      <c r="AH242" s="494" t="s">
        <v>1050</v>
      </c>
      <c r="AI242" s="625" t="s">
        <v>1051</v>
      </c>
      <c r="AK242" s="623" t="s">
        <v>1052</v>
      </c>
      <c r="AL242" s="627">
        <v>7089283086</v>
      </c>
      <c r="AM242" s="494" t="s">
        <v>786</v>
      </c>
      <c r="AN242" s="625" t="s">
        <v>901</v>
      </c>
      <c r="AO242" s="627">
        <v>22230</v>
      </c>
      <c r="AP242" s="623" t="s">
        <v>882</v>
      </c>
      <c r="AQ242" s="627">
        <v>7089327433</v>
      </c>
    </row>
    <row r="243" spans="1:43" ht="15" customHeight="1" x14ac:dyDescent="0.25">
      <c r="A243" s="625">
        <v>242</v>
      </c>
      <c r="B243" s="494" t="s">
        <v>686</v>
      </c>
      <c r="C243" s="625">
        <v>127</v>
      </c>
      <c r="D243" s="494" t="s">
        <v>1064</v>
      </c>
      <c r="E243" s="627">
        <v>9504613</v>
      </c>
      <c r="F243" s="627">
        <v>29438</v>
      </c>
      <c r="G243" s="494" t="s">
        <v>1068</v>
      </c>
      <c r="S243" s="629">
        <f t="shared" si="6"/>
        <v>0.35416666666666669</v>
      </c>
      <c r="T243" s="629">
        <f t="shared" si="7"/>
        <v>0.375</v>
      </c>
      <c r="U243" s="494" t="s">
        <v>907</v>
      </c>
      <c r="V243" s="620" t="str">
        <f>Combined_tables[[#This Row],[TimeSlot_Start_text]]</f>
        <v>0830</v>
      </c>
      <c r="W243" s="621"/>
      <c r="X243" s="621"/>
      <c r="Y243" s="621"/>
      <c r="Z243" s="621"/>
      <c r="AA243" s="621"/>
      <c r="AB243" s="494" t="s">
        <v>1084</v>
      </c>
      <c r="AC243" s="494" t="s">
        <v>1045</v>
      </c>
      <c r="AD243" s="625" t="s">
        <v>1046</v>
      </c>
      <c r="AE243" s="627">
        <v>29429</v>
      </c>
      <c r="AF243" s="623" t="s">
        <v>1048</v>
      </c>
      <c r="AG243" s="627">
        <v>7085430566</v>
      </c>
      <c r="AH243" s="494" t="s">
        <v>1050</v>
      </c>
      <c r="AI243" s="625" t="s">
        <v>1051</v>
      </c>
      <c r="AK243" s="623" t="s">
        <v>1052</v>
      </c>
      <c r="AL243" s="627">
        <v>7089283086</v>
      </c>
      <c r="AM243" s="494" t="s">
        <v>786</v>
      </c>
      <c r="AN243" s="625" t="s">
        <v>901</v>
      </c>
      <c r="AO243" s="627">
        <v>22230</v>
      </c>
      <c r="AP243" s="623" t="s">
        <v>882</v>
      </c>
      <c r="AQ243" s="627">
        <v>7089327433</v>
      </c>
    </row>
    <row r="244" spans="1:43" ht="15" customHeight="1" x14ac:dyDescent="0.25">
      <c r="A244" s="625">
        <v>243</v>
      </c>
      <c r="B244" s="494" t="s">
        <v>686</v>
      </c>
      <c r="C244" s="625">
        <v>127</v>
      </c>
      <c r="D244" s="494" t="s">
        <v>1064</v>
      </c>
      <c r="E244" s="627">
        <v>9504613</v>
      </c>
      <c r="F244" s="627">
        <v>29438</v>
      </c>
      <c r="G244" s="494" t="s">
        <v>1068</v>
      </c>
      <c r="S244" s="629">
        <f t="shared" si="6"/>
        <v>0.375</v>
      </c>
      <c r="T244" s="629">
        <f t="shared" si="7"/>
        <v>0.39583333333333331</v>
      </c>
      <c r="U244" s="494" t="s">
        <v>908</v>
      </c>
      <c r="V244" s="620" t="str">
        <f>Combined_tables[[#This Row],[TimeSlot_Start_text]]</f>
        <v>0900</v>
      </c>
      <c r="W244" s="621"/>
      <c r="X244" s="621"/>
      <c r="Y244" s="621"/>
      <c r="Z244" s="621"/>
      <c r="AA244" s="621"/>
      <c r="AB244" s="494" t="s">
        <v>1085</v>
      </c>
      <c r="AC244" s="494" t="s">
        <v>1045</v>
      </c>
      <c r="AD244" s="625" t="s">
        <v>1046</v>
      </c>
      <c r="AE244" s="627">
        <v>29429</v>
      </c>
      <c r="AF244" s="623" t="s">
        <v>1048</v>
      </c>
      <c r="AG244" s="627">
        <v>7085430566</v>
      </c>
      <c r="AH244" s="494" t="s">
        <v>1050</v>
      </c>
      <c r="AI244" s="625" t="s">
        <v>1051</v>
      </c>
      <c r="AK244" s="623" t="s">
        <v>1052</v>
      </c>
      <c r="AL244" s="627">
        <v>7089283086</v>
      </c>
      <c r="AM244" s="494" t="s">
        <v>786</v>
      </c>
      <c r="AN244" s="625" t="s">
        <v>901</v>
      </c>
      <c r="AO244" s="627">
        <v>22230</v>
      </c>
      <c r="AP244" s="623" t="s">
        <v>882</v>
      </c>
      <c r="AQ244" s="627">
        <v>7089327433</v>
      </c>
    </row>
    <row r="245" spans="1:43" ht="15" customHeight="1" x14ac:dyDescent="0.25">
      <c r="A245" s="625">
        <v>244</v>
      </c>
      <c r="B245" s="494" t="s">
        <v>686</v>
      </c>
      <c r="C245" s="625">
        <v>127</v>
      </c>
      <c r="D245" s="494" t="s">
        <v>1064</v>
      </c>
      <c r="E245" s="627">
        <v>9504613</v>
      </c>
      <c r="F245" s="627">
        <v>29438</v>
      </c>
      <c r="G245" s="494" t="s">
        <v>1068</v>
      </c>
      <c r="S245" s="629">
        <f t="shared" si="6"/>
        <v>0.39583333333333331</v>
      </c>
      <c r="T245" s="629">
        <f t="shared" si="7"/>
        <v>0.41666666666666663</v>
      </c>
      <c r="U245" s="494" t="s">
        <v>909</v>
      </c>
      <c r="V245" s="620" t="str">
        <f>Combined_tables[[#This Row],[TimeSlot_Start_text]]</f>
        <v>0930</v>
      </c>
      <c r="W245" s="621" t="s">
        <v>710</v>
      </c>
      <c r="X245" s="621"/>
      <c r="Y245" s="621"/>
      <c r="Z245" s="621"/>
      <c r="AA245" s="621"/>
      <c r="AB245" s="494" t="s">
        <v>1086</v>
      </c>
      <c r="AC245" s="494" t="s">
        <v>1045</v>
      </c>
      <c r="AD245" s="625" t="s">
        <v>1046</v>
      </c>
      <c r="AE245" s="627">
        <v>29429</v>
      </c>
      <c r="AF245" s="623" t="s">
        <v>1048</v>
      </c>
      <c r="AG245" s="627">
        <v>7085430566</v>
      </c>
      <c r="AH245" s="494" t="s">
        <v>1050</v>
      </c>
      <c r="AI245" s="625" t="s">
        <v>1051</v>
      </c>
      <c r="AK245" s="623" t="s">
        <v>1052</v>
      </c>
      <c r="AL245" s="627">
        <v>7089283086</v>
      </c>
      <c r="AM245" s="494" t="s">
        <v>786</v>
      </c>
      <c r="AN245" s="625" t="s">
        <v>901</v>
      </c>
      <c r="AO245" s="627">
        <v>22230</v>
      </c>
      <c r="AP245" s="623" t="s">
        <v>882</v>
      </c>
      <c r="AQ245" s="627">
        <v>7089327433</v>
      </c>
    </row>
    <row r="246" spans="1:43" x14ac:dyDescent="0.25">
      <c r="A246" s="625">
        <v>245</v>
      </c>
      <c r="B246" s="494" t="s">
        <v>686</v>
      </c>
      <c r="C246" s="625">
        <v>127</v>
      </c>
      <c r="D246" s="494" t="s">
        <v>1064</v>
      </c>
      <c r="E246" s="627">
        <v>9504613</v>
      </c>
      <c r="F246" s="627">
        <v>29438</v>
      </c>
      <c r="G246" s="494" t="s">
        <v>1068</v>
      </c>
      <c r="S246" s="629">
        <f t="shared" si="6"/>
        <v>0.41666666666666669</v>
      </c>
      <c r="T246" s="629">
        <f t="shared" si="7"/>
        <v>0.4375</v>
      </c>
      <c r="U246" s="494" t="s">
        <v>910</v>
      </c>
      <c r="V246" s="620" t="str">
        <f>Combined_tables[[#This Row],[TimeSlot_Start_text]]</f>
        <v>1000</v>
      </c>
      <c r="W246" s="621" t="s">
        <v>710</v>
      </c>
      <c r="X246" s="621"/>
      <c r="Y246" s="621"/>
      <c r="Z246" s="621"/>
      <c r="AA246" s="621"/>
      <c r="AB246" s="494" t="s">
        <v>1073</v>
      </c>
      <c r="AC246" s="494" t="s">
        <v>1045</v>
      </c>
      <c r="AD246" s="625" t="s">
        <v>1046</v>
      </c>
      <c r="AE246" s="627">
        <v>29429</v>
      </c>
      <c r="AF246" s="623" t="s">
        <v>1048</v>
      </c>
      <c r="AG246" s="627">
        <v>7085430566</v>
      </c>
      <c r="AH246" s="494" t="s">
        <v>1050</v>
      </c>
      <c r="AI246" s="625" t="s">
        <v>1051</v>
      </c>
      <c r="AK246" s="623" t="s">
        <v>1052</v>
      </c>
      <c r="AL246" s="627">
        <v>7089283086</v>
      </c>
      <c r="AM246" s="494" t="s">
        <v>786</v>
      </c>
      <c r="AN246" s="625" t="s">
        <v>901</v>
      </c>
      <c r="AO246" s="627">
        <v>22230</v>
      </c>
      <c r="AP246" s="623" t="s">
        <v>882</v>
      </c>
      <c r="AQ246" s="627">
        <v>7089327433</v>
      </c>
    </row>
    <row r="247" spans="1:43" x14ac:dyDescent="0.25">
      <c r="A247" s="625">
        <v>246</v>
      </c>
      <c r="B247" s="494" t="s">
        <v>686</v>
      </c>
      <c r="C247" s="625">
        <v>127</v>
      </c>
      <c r="D247" s="494" t="s">
        <v>1064</v>
      </c>
      <c r="E247" s="627">
        <v>9504613</v>
      </c>
      <c r="F247" s="627">
        <v>29438</v>
      </c>
      <c r="G247" s="494" t="s">
        <v>1068</v>
      </c>
      <c r="S247" s="629">
        <f t="shared" si="6"/>
        <v>0.4375</v>
      </c>
      <c r="T247" s="629">
        <f t="shared" si="7"/>
        <v>0.45833333333333331</v>
      </c>
      <c r="U247" s="494" t="s">
        <v>911</v>
      </c>
      <c r="V247" s="620" t="str">
        <f>Combined_tables[[#This Row],[TimeSlot_Start_text]]</f>
        <v>1030</v>
      </c>
      <c r="W247" s="621" t="s">
        <v>710</v>
      </c>
      <c r="X247" s="621"/>
      <c r="Y247" s="621"/>
      <c r="Z247" s="621"/>
      <c r="AA247" s="621"/>
      <c r="AB247" s="494" t="s">
        <v>1074</v>
      </c>
      <c r="AC247" s="494" t="s">
        <v>1045</v>
      </c>
      <c r="AD247" s="625" t="s">
        <v>1046</v>
      </c>
      <c r="AE247" s="627">
        <v>29429</v>
      </c>
      <c r="AF247" s="623" t="s">
        <v>1048</v>
      </c>
      <c r="AG247" s="627">
        <v>7085430566</v>
      </c>
      <c r="AH247" s="494" t="s">
        <v>1050</v>
      </c>
      <c r="AI247" s="625" t="s">
        <v>1051</v>
      </c>
      <c r="AK247" s="623" t="s">
        <v>1052</v>
      </c>
      <c r="AL247" s="627">
        <v>7089283086</v>
      </c>
      <c r="AM247" s="494" t="s">
        <v>786</v>
      </c>
      <c r="AN247" s="625" t="s">
        <v>901</v>
      </c>
      <c r="AO247" s="627">
        <v>22230</v>
      </c>
      <c r="AP247" s="623" t="s">
        <v>882</v>
      </c>
      <c r="AQ247" s="627">
        <v>7089327433</v>
      </c>
    </row>
    <row r="248" spans="1:43" x14ac:dyDescent="0.25">
      <c r="A248" s="625">
        <v>247</v>
      </c>
      <c r="B248" s="494" t="s">
        <v>686</v>
      </c>
      <c r="C248" s="625">
        <v>127</v>
      </c>
      <c r="D248" s="494" t="s">
        <v>1064</v>
      </c>
      <c r="E248" s="627">
        <v>9504613</v>
      </c>
      <c r="F248" s="627">
        <v>29438</v>
      </c>
      <c r="G248" s="494" t="s">
        <v>1068</v>
      </c>
      <c r="S248" s="629">
        <f t="shared" si="6"/>
        <v>0.45833333333333331</v>
      </c>
      <c r="T248" s="629">
        <f t="shared" si="7"/>
        <v>0.47916666666666663</v>
      </c>
      <c r="U248" s="494" t="s">
        <v>912</v>
      </c>
      <c r="V248" s="620" t="str">
        <f>Combined_tables[[#This Row],[TimeSlot_Start_text]]</f>
        <v>1100</v>
      </c>
      <c r="W248" s="621" t="s">
        <v>710</v>
      </c>
      <c r="X248" s="621"/>
      <c r="Y248" s="621"/>
      <c r="Z248" s="621"/>
      <c r="AA248" s="621"/>
      <c r="AB248" s="494" t="s">
        <v>1076</v>
      </c>
      <c r="AC248" s="494" t="s">
        <v>1045</v>
      </c>
      <c r="AD248" s="625" t="s">
        <v>1046</v>
      </c>
      <c r="AE248" s="627">
        <v>29429</v>
      </c>
      <c r="AF248" s="623" t="s">
        <v>1048</v>
      </c>
      <c r="AG248" s="627">
        <v>7085430566</v>
      </c>
      <c r="AH248" s="494" t="s">
        <v>1050</v>
      </c>
      <c r="AI248" s="625" t="s">
        <v>1051</v>
      </c>
      <c r="AK248" s="623" t="s">
        <v>1052</v>
      </c>
      <c r="AL248" s="627">
        <v>7089283086</v>
      </c>
      <c r="AM248" s="494" t="s">
        <v>786</v>
      </c>
      <c r="AN248" s="625" t="s">
        <v>901</v>
      </c>
      <c r="AO248" s="627">
        <v>22230</v>
      </c>
      <c r="AP248" s="623" t="s">
        <v>882</v>
      </c>
      <c r="AQ248" s="627">
        <v>7089327433</v>
      </c>
    </row>
    <row r="249" spans="1:43" x14ac:dyDescent="0.25">
      <c r="A249" s="625">
        <v>248</v>
      </c>
      <c r="B249" s="494" t="s">
        <v>686</v>
      </c>
      <c r="C249" s="625">
        <v>127</v>
      </c>
      <c r="D249" s="494" t="s">
        <v>1064</v>
      </c>
      <c r="E249" s="627">
        <v>9504613</v>
      </c>
      <c r="F249" s="627">
        <v>29438</v>
      </c>
      <c r="G249" s="494" t="s">
        <v>1068</v>
      </c>
      <c r="S249" s="629">
        <f t="shared" si="6"/>
        <v>0.47916666666666669</v>
      </c>
      <c r="T249" s="629">
        <f t="shared" si="7"/>
        <v>0.5</v>
      </c>
      <c r="U249" s="494" t="s">
        <v>913</v>
      </c>
      <c r="V249" s="620" t="str">
        <f>Combined_tables[[#This Row],[TimeSlot_Start_text]]</f>
        <v>1130</v>
      </c>
      <c r="W249" s="621" t="s">
        <v>710</v>
      </c>
      <c r="X249" s="621"/>
      <c r="Y249" s="621"/>
      <c r="Z249" s="621"/>
      <c r="AA249" s="621"/>
      <c r="AB249" s="494" t="s">
        <v>1075</v>
      </c>
      <c r="AC249" s="494" t="s">
        <v>1045</v>
      </c>
      <c r="AD249" s="625" t="s">
        <v>1046</v>
      </c>
      <c r="AE249" s="627">
        <v>29429</v>
      </c>
      <c r="AF249" s="623" t="s">
        <v>1048</v>
      </c>
      <c r="AG249" s="627">
        <v>7085430566</v>
      </c>
      <c r="AH249" s="494" t="s">
        <v>1050</v>
      </c>
      <c r="AI249" s="625" t="s">
        <v>1051</v>
      </c>
      <c r="AK249" s="623" t="s">
        <v>1052</v>
      </c>
      <c r="AL249" s="627">
        <v>7089283086</v>
      </c>
      <c r="AM249" s="494" t="s">
        <v>786</v>
      </c>
      <c r="AN249" s="625" t="s">
        <v>901</v>
      </c>
      <c r="AO249" s="627">
        <v>22230</v>
      </c>
      <c r="AP249" s="623" t="s">
        <v>882</v>
      </c>
      <c r="AQ249" s="627">
        <v>7089327433</v>
      </c>
    </row>
    <row r="250" spans="1:43" ht="15" customHeight="1" x14ac:dyDescent="0.25">
      <c r="A250" s="625">
        <v>249</v>
      </c>
      <c r="B250" s="494" t="s">
        <v>686</v>
      </c>
      <c r="C250" s="625">
        <v>127</v>
      </c>
      <c r="D250" s="494" t="s">
        <v>1064</v>
      </c>
      <c r="E250" s="627">
        <v>9504613</v>
      </c>
      <c r="F250" s="627">
        <v>29438</v>
      </c>
      <c r="G250" s="494" t="s">
        <v>1068</v>
      </c>
      <c r="S250" s="629">
        <f t="shared" si="6"/>
        <v>0.5</v>
      </c>
      <c r="T250" s="629">
        <f t="shared" si="7"/>
        <v>0.52083333333333337</v>
      </c>
      <c r="U250" s="494" t="s">
        <v>914</v>
      </c>
      <c r="V250" s="620" t="str">
        <f>Combined_tables[[#This Row],[TimeSlot_Start_text]]</f>
        <v>1200</v>
      </c>
      <c r="W250" s="621" t="s">
        <v>354</v>
      </c>
      <c r="X250" s="621" t="s">
        <v>354</v>
      </c>
      <c r="Y250" s="621" t="s">
        <v>354</v>
      </c>
      <c r="Z250" s="621" t="s">
        <v>354</v>
      </c>
      <c r="AA250" s="621" t="s">
        <v>354</v>
      </c>
      <c r="AB250" s="494" t="s">
        <v>1077</v>
      </c>
      <c r="AC250" s="494" t="s">
        <v>1045</v>
      </c>
      <c r="AD250" s="625" t="s">
        <v>1046</v>
      </c>
      <c r="AE250" s="627">
        <v>29429</v>
      </c>
      <c r="AF250" s="623" t="s">
        <v>1048</v>
      </c>
      <c r="AG250" s="627">
        <v>7085430566</v>
      </c>
      <c r="AH250" s="494" t="s">
        <v>1050</v>
      </c>
      <c r="AI250" s="625" t="s">
        <v>1051</v>
      </c>
      <c r="AK250" s="623" t="s">
        <v>1052</v>
      </c>
      <c r="AL250" s="627">
        <v>7089283086</v>
      </c>
      <c r="AM250" s="494" t="s">
        <v>786</v>
      </c>
      <c r="AN250" s="625" t="s">
        <v>901</v>
      </c>
      <c r="AO250" s="627">
        <v>22230</v>
      </c>
      <c r="AP250" s="623" t="s">
        <v>882</v>
      </c>
      <c r="AQ250" s="627">
        <v>7089327433</v>
      </c>
    </row>
    <row r="251" spans="1:43" ht="15.75" customHeight="1" x14ac:dyDescent="0.25">
      <c r="A251" s="625">
        <v>250</v>
      </c>
      <c r="B251" s="494" t="s">
        <v>686</v>
      </c>
      <c r="C251" s="625">
        <v>127</v>
      </c>
      <c r="D251" s="494" t="s">
        <v>1064</v>
      </c>
      <c r="E251" s="627">
        <v>9504613</v>
      </c>
      <c r="F251" s="627">
        <v>29438</v>
      </c>
      <c r="G251" s="494" t="s">
        <v>1068</v>
      </c>
      <c r="S251" s="629">
        <f t="shared" si="6"/>
        <v>0.52083333333333337</v>
      </c>
      <c r="T251" s="629">
        <f t="shared" si="7"/>
        <v>0.54166666666666674</v>
      </c>
      <c r="U251" s="494" t="s">
        <v>915</v>
      </c>
      <c r="V251" s="620" t="str">
        <f>Combined_tables[[#This Row],[TimeSlot_Start_text]]</f>
        <v>1230</v>
      </c>
      <c r="W251" s="621" t="s">
        <v>354</v>
      </c>
      <c r="X251" s="621" t="s">
        <v>354</v>
      </c>
      <c r="Y251" s="621" t="s">
        <v>354</v>
      </c>
      <c r="Z251" s="621" t="s">
        <v>354</v>
      </c>
      <c r="AA251" s="621" t="s">
        <v>354</v>
      </c>
      <c r="AB251" s="494" t="s">
        <v>1078</v>
      </c>
      <c r="AC251" s="494" t="s">
        <v>1045</v>
      </c>
      <c r="AD251" s="625" t="s">
        <v>1046</v>
      </c>
      <c r="AE251" s="627">
        <v>29429</v>
      </c>
      <c r="AF251" s="623" t="s">
        <v>1048</v>
      </c>
      <c r="AG251" s="627">
        <v>7085430566</v>
      </c>
      <c r="AH251" s="494" t="s">
        <v>1050</v>
      </c>
      <c r="AI251" s="625" t="s">
        <v>1051</v>
      </c>
      <c r="AK251" s="623" t="s">
        <v>1052</v>
      </c>
      <c r="AL251" s="627">
        <v>7089283086</v>
      </c>
      <c r="AM251" s="494" t="s">
        <v>786</v>
      </c>
      <c r="AN251" s="625" t="s">
        <v>901</v>
      </c>
      <c r="AO251" s="627">
        <v>22230</v>
      </c>
      <c r="AP251" s="623" t="s">
        <v>882</v>
      </c>
      <c r="AQ251" s="627">
        <v>7089327433</v>
      </c>
    </row>
    <row r="252" spans="1:43" x14ac:dyDescent="0.25">
      <c r="A252" s="625">
        <v>251</v>
      </c>
      <c r="B252" s="494" t="s">
        <v>686</v>
      </c>
      <c r="C252" s="625">
        <v>127</v>
      </c>
      <c r="D252" s="494" t="s">
        <v>1064</v>
      </c>
      <c r="E252" s="627">
        <v>9504613</v>
      </c>
      <c r="F252" s="627">
        <v>29438</v>
      </c>
      <c r="G252" s="494" t="s">
        <v>1068</v>
      </c>
      <c r="S252" s="629">
        <f t="shared" si="6"/>
        <v>0.54166666666666663</v>
      </c>
      <c r="T252" s="629">
        <f t="shared" si="7"/>
        <v>0.5625</v>
      </c>
      <c r="U252" s="494" t="s">
        <v>916</v>
      </c>
      <c r="V252" s="620" t="str">
        <f>Combined_tables[[#This Row],[TimeSlot_Start_text]]</f>
        <v>1300</v>
      </c>
      <c r="W252" s="621"/>
      <c r="X252" s="621" t="s">
        <v>718</v>
      </c>
      <c r="Y252" s="621" t="s">
        <v>718</v>
      </c>
      <c r="Z252" s="621"/>
      <c r="AA252" s="621"/>
      <c r="AB252" s="494" t="s">
        <v>1071</v>
      </c>
      <c r="AC252" s="494" t="s">
        <v>1045</v>
      </c>
      <c r="AD252" s="625" t="s">
        <v>1046</v>
      </c>
      <c r="AE252" s="627">
        <v>29429</v>
      </c>
      <c r="AF252" s="623" t="s">
        <v>1048</v>
      </c>
      <c r="AG252" s="627">
        <v>7085430566</v>
      </c>
      <c r="AH252" s="494" t="s">
        <v>1050</v>
      </c>
      <c r="AI252" s="625" t="s">
        <v>1051</v>
      </c>
      <c r="AK252" s="623" t="s">
        <v>1052</v>
      </c>
      <c r="AL252" s="627">
        <v>7089283086</v>
      </c>
      <c r="AM252" s="494" t="s">
        <v>786</v>
      </c>
      <c r="AN252" s="625" t="s">
        <v>901</v>
      </c>
      <c r="AO252" s="627">
        <v>22230</v>
      </c>
      <c r="AP252" s="623" t="s">
        <v>882</v>
      </c>
      <c r="AQ252" s="627">
        <v>7089327433</v>
      </c>
    </row>
    <row r="253" spans="1:43" x14ac:dyDescent="0.25">
      <c r="A253" s="625">
        <v>252</v>
      </c>
      <c r="B253" s="494" t="s">
        <v>686</v>
      </c>
      <c r="C253" s="625">
        <v>127</v>
      </c>
      <c r="D253" s="494" t="s">
        <v>1064</v>
      </c>
      <c r="E253" s="627">
        <v>9504613</v>
      </c>
      <c r="F253" s="627">
        <v>29438</v>
      </c>
      <c r="G253" s="494" t="s">
        <v>1068</v>
      </c>
      <c r="S253" s="629">
        <f t="shared" si="6"/>
        <v>0.5625</v>
      </c>
      <c r="T253" s="629">
        <f t="shared" si="7"/>
        <v>0.58333333333333337</v>
      </c>
      <c r="U253" s="494" t="s">
        <v>917</v>
      </c>
      <c r="V253" s="620" t="str">
        <f>Combined_tables[[#This Row],[TimeSlot_Start_text]]</f>
        <v>1330</v>
      </c>
      <c r="W253" s="621"/>
      <c r="X253" s="621" t="s">
        <v>718</v>
      </c>
      <c r="Y253" s="621" t="s">
        <v>718</v>
      </c>
      <c r="Z253" s="621"/>
      <c r="AA253" s="621"/>
      <c r="AB253" s="494" t="s">
        <v>1072</v>
      </c>
      <c r="AC253" s="494" t="s">
        <v>1045</v>
      </c>
      <c r="AD253" s="625" t="s">
        <v>1046</v>
      </c>
      <c r="AE253" s="627">
        <v>29429</v>
      </c>
      <c r="AF253" s="623" t="s">
        <v>1048</v>
      </c>
      <c r="AG253" s="627">
        <v>7085430566</v>
      </c>
      <c r="AH253" s="494" t="s">
        <v>1050</v>
      </c>
      <c r="AI253" s="625" t="s">
        <v>1051</v>
      </c>
      <c r="AK253" s="623" t="s">
        <v>1052</v>
      </c>
      <c r="AL253" s="627">
        <v>7089283086</v>
      </c>
      <c r="AM253" s="494" t="s">
        <v>786</v>
      </c>
      <c r="AN253" s="625" t="s">
        <v>901</v>
      </c>
      <c r="AO253" s="627">
        <v>22230</v>
      </c>
      <c r="AP253" s="623" t="s">
        <v>882</v>
      </c>
      <c r="AQ253" s="627">
        <v>7089327433</v>
      </c>
    </row>
    <row r="254" spans="1:43" x14ac:dyDescent="0.25">
      <c r="A254" s="625">
        <v>253</v>
      </c>
      <c r="B254" s="494" t="s">
        <v>686</v>
      </c>
      <c r="C254" s="625">
        <v>127</v>
      </c>
      <c r="D254" s="494" t="s">
        <v>1064</v>
      </c>
      <c r="E254" s="627">
        <v>9504613</v>
      </c>
      <c r="F254" s="627">
        <v>29438</v>
      </c>
      <c r="G254" s="494" t="s">
        <v>1068</v>
      </c>
      <c r="S254" s="629">
        <f t="shared" si="6"/>
        <v>0.58333333333333337</v>
      </c>
      <c r="T254" s="629">
        <f t="shared" si="7"/>
        <v>0.60416666666666674</v>
      </c>
      <c r="U254" s="494" t="s">
        <v>918</v>
      </c>
      <c r="V254" s="620" t="str">
        <f>Combined_tables[[#This Row],[TimeSlot_Start_text]]</f>
        <v>1400</v>
      </c>
      <c r="W254" s="621"/>
      <c r="X254" s="621" t="s">
        <v>718</v>
      </c>
      <c r="Y254" s="621" t="s">
        <v>718</v>
      </c>
      <c r="Z254" s="621"/>
      <c r="AA254" s="621"/>
      <c r="AB254" s="494" t="s">
        <v>1079</v>
      </c>
      <c r="AC254" s="494" t="s">
        <v>1045</v>
      </c>
      <c r="AD254" s="625" t="s">
        <v>1046</v>
      </c>
      <c r="AE254" s="627">
        <v>29429</v>
      </c>
      <c r="AF254" s="623" t="s">
        <v>1048</v>
      </c>
      <c r="AG254" s="627">
        <v>7085430566</v>
      </c>
      <c r="AH254" s="494" t="s">
        <v>1050</v>
      </c>
      <c r="AI254" s="625" t="s">
        <v>1051</v>
      </c>
      <c r="AK254" s="623" t="s">
        <v>1052</v>
      </c>
      <c r="AL254" s="627">
        <v>7089283086</v>
      </c>
      <c r="AM254" s="494" t="s">
        <v>786</v>
      </c>
      <c r="AN254" s="625" t="s">
        <v>901</v>
      </c>
      <c r="AO254" s="627">
        <v>22230</v>
      </c>
      <c r="AP254" s="623" t="s">
        <v>882</v>
      </c>
      <c r="AQ254" s="627">
        <v>7089327433</v>
      </c>
    </row>
    <row r="255" spans="1:43" x14ac:dyDescent="0.25">
      <c r="A255" s="625">
        <v>254</v>
      </c>
      <c r="B255" s="494" t="s">
        <v>686</v>
      </c>
      <c r="C255" s="625">
        <v>127</v>
      </c>
      <c r="D255" s="494" t="s">
        <v>1064</v>
      </c>
      <c r="E255" s="627">
        <v>9504613</v>
      </c>
      <c r="F255" s="627">
        <v>29438</v>
      </c>
      <c r="G255" s="494" t="s">
        <v>1068</v>
      </c>
      <c r="S255" s="629">
        <f t="shared" si="6"/>
        <v>0.60416666666666663</v>
      </c>
      <c r="T255" s="629">
        <f t="shared" si="7"/>
        <v>0.625</v>
      </c>
      <c r="U255" s="494" t="s">
        <v>919</v>
      </c>
      <c r="V255" s="620" t="str">
        <f>Combined_tables[[#This Row],[TimeSlot_Start_text]]</f>
        <v>1430</v>
      </c>
      <c r="W255" s="621"/>
      <c r="X255" s="621" t="s">
        <v>718</v>
      </c>
      <c r="Y255" s="621" t="s">
        <v>718</v>
      </c>
      <c r="Z255" s="621"/>
      <c r="AA255" s="621"/>
      <c r="AB255" s="494" t="s">
        <v>1080</v>
      </c>
      <c r="AC255" s="494" t="s">
        <v>1045</v>
      </c>
      <c r="AD255" s="625" t="s">
        <v>1046</v>
      </c>
      <c r="AE255" s="627">
        <v>29429</v>
      </c>
      <c r="AF255" s="623" t="s">
        <v>1048</v>
      </c>
      <c r="AG255" s="627">
        <v>7085430566</v>
      </c>
      <c r="AH255" s="494" t="s">
        <v>1050</v>
      </c>
      <c r="AI255" s="625" t="s">
        <v>1051</v>
      </c>
      <c r="AK255" s="623" t="s">
        <v>1052</v>
      </c>
      <c r="AL255" s="627">
        <v>7089283086</v>
      </c>
      <c r="AM255" s="494" t="s">
        <v>786</v>
      </c>
      <c r="AN255" s="625" t="s">
        <v>901</v>
      </c>
      <c r="AO255" s="627">
        <v>22230</v>
      </c>
      <c r="AP255" s="623" t="s">
        <v>882</v>
      </c>
      <c r="AQ255" s="627">
        <v>7089327433</v>
      </c>
    </row>
    <row r="256" spans="1:43" x14ac:dyDescent="0.25">
      <c r="A256" s="625">
        <v>255</v>
      </c>
      <c r="B256" s="494" t="s">
        <v>686</v>
      </c>
      <c r="C256" s="625">
        <v>127</v>
      </c>
      <c r="D256" s="494" t="s">
        <v>1064</v>
      </c>
      <c r="E256" s="627">
        <v>9504613</v>
      </c>
      <c r="F256" s="627">
        <v>29438</v>
      </c>
      <c r="G256" s="494" t="s">
        <v>1068</v>
      </c>
      <c r="S256" s="629">
        <f t="shared" si="6"/>
        <v>0.625</v>
      </c>
      <c r="T256" s="629">
        <f t="shared" si="7"/>
        <v>0.64583333333333337</v>
      </c>
      <c r="U256" s="494" t="s">
        <v>920</v>
      </c>
      <c r="V256" s="620" t="str">
        <f>Combined_tables[[#This Row],[TimeSlot_Start_text]]</f>
        <v>1500</v>
      </c>
      <c r="W256" s="621"/>
      <c r="X256" s="621" t="s">
        <v>718</v>
      </c>
      <c r="Y256" s="621" t="s">
        <v>718</v>
      </c>
      <c r="Z256" s="621"/>
      <c r="AA256" s="621"/>
      <c r="AB256" s="494" t="s">
        <v>1081</v>
      </c>
      <c r="AC256" s="494" t="s">
        <v>1045</v>
      </c>
      <c r="AD256" s="625" t="s">
        <v>1046</v>
      </c>
      <c r="AE256" s="627">
        <v>29429</v>
      </c>
      <c r="AF256" s="623" t="s">
        <v>1048</v>
      </c>
      <c r="AG256" s="627">
        <v>7085430566</v>
      </c>
      <c r="AH256" s="494" t="s">
        <v>1050</v>
      </c>
      <c r="AI256" s="625" t="s">
        <v>1051</v>
      </c>
      <c r="AK256" s="623" t="s">
        <v>1052</v>
      </c>
      <c r="AL256" s="627">
        <v>7089283086</v>
      </c>
      <c r="AM256" s="494" t="s">
        <v>786</v>
      </c>
      <c r="AN256" s="625" t="s">
        <v>901</v>
      </c>
      <c r="AO256" s="627">
        <v>22230</v>
      </c>
      <c r="AP256" s="623" t="s">
        <v>882</v>
      </c>
      <c r="AQ256" s="627">
        <v>7089327433</v>
      </c>
    </row>
    <row r="257" spans="1:43" x14ac:dyDescent="0.25">
      <c r="A257" s="625">
        <v>256</v>
      </c>
      <c r="B257" s="494" t="s">
        <v>686</v>
      </c>
      <c r="C257" s="625">
        <v>127</v>
      </c>
      <c r="D257" s="494" t="s">
        <v>1064</v>
      </c>
      <c r="E257" s="627">
        <v>9504613</v>
      </c>
      <c r="F257" s="627">
        <v>29438</v>
      </c>
      <c r="G257" s="494" t="s">
        <v>1068</v>
      </c>
      <c r="S257" s="629">
        <f t="shared" si="6"/>
        <v>0.64583333333333337</v>
      </c>
      <c r="T257" s="629">
        <f t="shared" si="7"/>
        <v>0.66666666666666674</v>
      </c>
      <c r="U257" s="494" t="s">
        <v>921</v>
      </c>
      <c r="V257" s="620" t="str">
        <f>Combined_tables[[#This Row],[TimeSlot_Start_text]]</f>
        <v>1530</v>
      </c>
      <c r="W257" s="621"/>
      <c r="X257" s="621" t="s">
        <v>718</v>
      </c>
      <c r="Y257" s="621" t="s">
        <v>718</v>
      </c>
      <c r="Z257" s="621"/>
      <c r="AA257" s="621"/>
      <c r="AB257" s="494" t="s">
        <v>1082</v>
      </c>
      <c r="AC257" s="494" t="s">
        <v>1045</v>
      </c>
      <c r="AD257" s="625" t="s">
        <v>1046</v>
      </c>
      <c r="AE257" s="627">
        <v>29429</v>
      </c>
      <c r="AF257" s="623" t="s">
        <v>1048</v>
      </c>
      <c r="AG257" s="627">
        <v>7085430566</v>
      </c>
      <c r="AH257" s="494" t="s">
        <v>1050</v>
      </c>
      <c r="AI257" s="625" t="s">
        <v>1051</v>
      </c>
      <c r="AK257" s="623" t="s">
        <v>1052</v>
      </c>
      <c r="AL257" s="627">
        <v>7089283086</v>
      </c>
      <c r="AM257" s="494" t="s">
        <v>786</v>
      </c>
      <c r="AN257" s="625" t="s">
        <v>901</v>
      </c>
      <c r="AO257" s="627">
        <v>22230</v>
      </c>
      <c r="AP257" s="623" t="s">
        <v>882</v>
      </c>
      <c r="AQ257" s="627">
        <v>7089327433</v>
      </c>
    </row>
    <row r="258" spans="1:43" ht="15" customHeight="1" x14ac:dyDescent="0.25">
      <c r="A258" s="625">
        <v>257</v>
      </c>
      <c r="B258" s="494" t="s">
        <v>686</v>
      </c>
      <c r="C258" s="625">
        <v>128</v>
      </c>
      <c r="D258" s="494" t="s">
        <v>1059</v>
      </c>
      <c r="E258" s="627">
        <v>9504621</v>
      </c>
      <c r="F258" s="627">
        <v>29439</v>
      </c>
      <c r="G258" s="494" t="s">
        <v>1063</v>
      </c>
      <c r="S258" s="629">
        <f t="shared" ref="S258:S321" si="8">TIME(LEFT(U258,2),RIGHT(U258,2),"00")</f>
        <v>0.33333333333333331</v>
      </c>
      <c r="T258" s="629">
        <f t="shared" ref="T258:T321" si="9">S258+(TIME("00","30","00"))</f>
        <v>0.35416666666666663</v>
      </c>
      <c r="U258" s="494" t="s">
        <v>906</v>
      </c>
      <c r="V258" s="620" t="str">
        <f>Combined_tables[[#This Row],[TimeSlot_Start_text]]</f>
        <v>0800</v>
      </c>
      <c r="W258" s="621"/>
      <c r="X258" s="621" t="s">
        <v>381</v>
      </c>
      <c r="Y258" s="621"/>
      <c r="Z258" s="621"/>
      <c r="AA258" s="621"/>
      <c r="AB258" s="494" t="s">
        <v>1083</v>
      </c>
      <c r="AC258" s="494" t="s">
        <v>1045</v>
      </c>
      <c r="AD258" s="625" t="s">
        <v>1046</v>
      </c>
      <c r="AE258" s="627">
        <v>29429</v>
      </c>
      <c r="AF258" s="623" t="s">
        <v>1048</v>
      </c>
      <c r="AG258" s="627">
        <v>7085430566</v>
      </c>
      <c r="AH258" s="494" t="s">
        <v>1050</v>
      </c>
      <c r="AI258" s="625" t="s">
        <v>1051</v>
      </c>
      <c r="AK258" s="623" t="s">
        <v>1052</v>
      </c>
      <c r="AL258" s="627">
        <v>7089283086</v>
      </c>
      <c r="AM258" s="494" t="s">
        <v>786</v>
      </c>
      <c r="AN258" s="625" t="s">
        <v>901</v>
      </c>
      <c r="AO258" s="627">
        <v>22230</v>
      </c>
      <c r="AP258" s="623" t="s">
        <v>882</v>
      </c>
      <c r="AQ258" s="627">
        <v>7089327433</v>
      </c>
    </row>
    <row r="259" spans="1:43" ht="15" customHeight="1" x14ac:dyDescent="0.25">
      <c r="A259" s="625">
        <v>258</v>
      </c>
      <c r="B259" s="494" t="s">
        <v>686</v>
      </c>
      <c r="C259" s="625">
        <v>128</v>
      </c>
      <c r="D259" s="494" t="s">
        <v>1059</v>
      </c>
      <c r="E259" s="627">
        <v>9504621</v>
      </c>
      <c r="F259" s="627">
        <v>29439</v>
      </c>
      <c r="G259" s="494" t="s">
        <v>1063</v>
      </c>
      <c r="S259" s="629">
        <f t="shared" si="8"/>
        <v>0.35416666666666669</v>
      </c>
      <c r="T259" s="629">
        <f t="shared" si="9"/>
        <v>0.375</v>
      </c>
      <c r="U259" s="494" t="s">
        <v>907</v>
      </c>
      <c r="V259" s="620" t="str">
        <f>Combined_tables[[#This Row],[TimeSlot_Start_text]]</f>
        <v>0830</v>
      </c>
      <c r="W259" s="621"/>
      <c r="X259" s="621"/>
      <c r="Y259" s="621"/>
      <c r="Z259" s="621"/>
      <c r="AA259" s="621"/>
      <c r="AB259" s="494" t="s">
        <v>1084</v>
      </c>
      <c r="AC259" s="494" t="s">
        <v>1045</v>
      </c>
      <c r="AD259" s="625" t="s">
        <v>1046</v>
      </c>
      <c r="AE259" s="627">
        <v>29429</v>
      </c>
      <c r="AF259" s="623" t="s">
        <v>1048</v>
      </c>
      <c r="AG259" s="627">
        <v>7085430566</v>
      </c>
      <c r="AH259" s="494" t="s">
        <v>1050</v>
      </c>
      <c r="AI259" s="625" t="s">
        <v>1051</v>
      </c>
      <c r="AK259" s="623" t="s">
        <v>1052</v>
      </c>
      <c r="AL259" s="627">
        <v>7089283086</v>
      </c>
      <c r="AM259" s="494" t="s">
        <v>786</v>
      </c>
      <c r="AN259" s="625" t="s">
        <v>901</v>
      </c>
      <c r="AO259" s="627">
        <v>22230</v>
      </c>
      <c r="AP259" s="623" t="s">
        <v>882</v>
      </c>
      <c r="AQ259" s="627">
        <v>7089327433</v>
      </c>
    </row>
    <row r="260" spans="1:43" ht="15" customHeight="1" x14ac:dyDescent="0.25">
      <c r="A260" s="625">
        <v>259</v>
      </c>
      <c r="B260" s="494" t="s">
        <v>686</v>
      </c>
      <c r="C260" s="625">
        <v>128</v>
      </c>
      <c r="D260" s="494" t="s">
        <v>1059</v>
      </c>
      <c r="E260" s="627">
        <v>9504621</v>
      </c>
      <c r="F260" s="627">
        <v>29439</v>
      </c>
      <c r="G260" s="494" t="s">
        <v>1063</v>
      </c>
      <c r="S260" s="629">
        <f t="shared" si="8"/>
        <v>0.375</v>
      </c>
      <c r="T260" s="629">
        <f t="shared" si="9"/>
        <v>0.39583333333333331</v>
      </c>
      <c r="U260" s="494" t="s">
        <v>908</v>
      </c>
      <c r="V260" s="620" t="str">
        <f>Combined_tables[[#This Row],[TimeSlot_Start_text]]</f>
        <v>0900</v>
      </c>
      <c r="W260" s="621"/>
      <c r="X260" s="621"/>
      <c r="Y260" s="621"/>
      <c r="Z260" s="621"/>
      <c r="AA260" s="621"/>
      <c r="AB260" s="494" t="s">
        <v>1085</v>
      </c>
      <c r="AC260" s="494" t="s">
        <v>1045</v>
      </c>
      <c r="AD260" s="625" t="s">
        <v>1046</v>
      </c>
      <c r="AE260" s="627">
        <v>29429</v>
      </c>
      <c r="AF260" s="623" t="s">
        <v>1048</v>
      </c>
      <c r="AG260" s="627">
        <v>7085430566</v>
      </c>
      <c r="AH260" s="494" t="s">
        <v>1050</v>
      </c>
      <c r="AI260" s="625" t="s">
        <v>1051</v>
      </c>
      <c r="AK260" s="623" t="s">
        <v>1052</v>
      </c>
      <c r="AL260" s="627">
        <v>7089283086</v>
      </c>
      <c r="AM260" s="494" t="s">
        <v>786</v>
      </c>
      <c r="AN260" s="625" t="s">
        <v>901</v>
      </c>
      <c r="AO260" s="627">
        <v>22230</v>
      </c>
      <c r="AP260" s="623" t="s">
        <v>882</v>
      </c>
      <c r="AQ260" s="627">
        <v>7089327433</v>
      </c>
    </row>
    <row r="261" spans="1:43" ht="15" customHeight="1" x14ac:dyDescent="0.25">
      <c r="A261" s="625">
        <v>260</v>
      </c>
      <c r="B261" s="494" t="s">
        <v>686</v>
      </c>
      <c r="C261" s="625">
        <v>128</v>
      </c>
      <c r="D261" s="494" t="s">
        <v>1059</v>
      </c>
      <c r="E261" s="627">
        <v>9504621</v>
      </c>
      <c r="F261" s="627">
        <v>29439</v>
      </c>
      <c r="G261" s="494" t="s">
        <v>1063</v>
      </c>
      <c r="S261" s="629">
        <f t="shared" si="8"/>
        <v>0.39583333333333331</v>
      </c>
      <c r="T261" s="629">
        <f t="shared" si="9"/>
        <v>0.41666666666666663</v>
      </c>
      <c r="U261" s="494" t="s">
        <v>909</v>
      </c>
      <c r="V261" s="620" t="str">
        <f>Combined_tables[[#This Row],[TimeSlot_Start_text]]</f>
        <v>0930</v>
      </c>
      <c r="W261" s="621"/>
      <c r="X261" s="621"/>
      <c r="Y261" s="621"/>
      <c r="Z261" s="621"/>
      <c r="AA261" s="621"/>
      <c r="AB261" s="494" t="s">
        <v>1086</v>
      </c>
      <c r="AC261" s="494" t="s">
        <v>1045</v>
      </c>
      <c r="AD261" s="625" t="s">
        <v>1046</v>
      </c>
      <c r="AE261" s="627">
        <v>29429</v>
      </c>
      <c r="AF261" s="623" t="s">
        <v>1048</v>
      </c>
      <c r="AG261" s="627">
        <v>7085430566</v>
      </c>
      <c r="AH261" s="494" t="s">
        <v>1050</v>
      </c>
      <c r="AI261" s="625" t="s">
        <v>1051</v>
      </c>
      <c r="AK261" s="623" t="s">
        <v>1052</v>
      </c>
      <c r="AL261" s="627">
        <v>7089283086</v>
      </c>
      <c r="AM261" s="494" t="s">
        <v>786</v>
      </c>
      <c r="AN261" s="625" t="s">
        <v>901</v>
      </c>
      <c r="AO261" s="627">
        <v>22230</v>
      </c>
      <c r="AP261" s="623" t="s">
        <v>882</v>
      </c>
      <c r="AQ261" s="627">
        <v>7089327433</v>
      </c>
    </row>
    <row r="262" spans="1:43" x14ac:dyDescent="0.25">
      <c r="A262" s="625">
        <v>261</v>
      </c>
      <c r="B262" s="494" t="s">
        <v>686</v>
      </c>
      <c r="C262" s="625">
        <v>128</v>
      </c>
      <c r="D262" s="494" t="s">
        <v>1059</v>
      </c>
      <c r="E262" s="627">
        <v>9504621</v>
      </c>
      <c r="F262" s="627">
        <v>29439</v>
      </c>
      <c r="G262" s="494" t="s">
        <v>1063</v>
      </c>
      <c r="S262" s="629">
        <f t="shared" si="8"/>
        <v>0.41666666666666669</v>
      </c>
      <c r="T262" s="629">
        <f t="shared" si="9"/>
        <v>0.4375</v>
      </c>
      <c r="U262" s="494" t="s">
        <v>910</v>
      </c>
      <c r="V262" s="620" t="str">
        <f>Combined_tables[[#This Row],[TimeSlot_Start_text]]</f>
        <v>1000</v>
      </c>
      <c r="W262" s="621"/>
      <c r="X262" s="621"/>
      <c r="Y262" s="621"/>
      <c r="Z262" s="621" t="s">
        <v>381</v>
      </c>
      <c r="AA262" s="621"/>
      <c r="AB262" s="494" t="s">
        <v>1073</v>
      </c>
      <c r="AC262" s="494" t="s">
        <v>1045</v>
      </c>
      <c r="AD262" s="625" t="s">
        <v>1046</v>
      </c>
      <c r="AE262" s="627">
        <v>29429</v>
      </c>
      <c r="AF262" s="623" t="s">
        <v>1048</v>
      </c>
      <c r="AG262" s="627">
        <v>7085430566</v>
      </c>
      <c r="AH262" s="494" t="s">
        <v>1050</v>
      </c>
      <c r="AI262" s="625" t="s">
        <v>1051</v>
      </c>
      <c r="AK262" s="623" t="s">
        <v>1052</v>
      </c>
      <c r="AL262" s="627">
        <v>7089283086</v>
      </c>
      <c r="AM262" s="494" t="s">
        <v>786</v>
      </c>
      <c r="AN262" s="625" t="s">
        <v>901</v>
      </c>
      <c r="AO262" s="627">
        <v>22230</v>
      </c>
      <c r="AP262" s="623" t="s">
        <v>882</v>
      </c>
      <c r="AQ262" s="627">
        <v>7089327433</v>
      </c>
    </row>
    <row r="263" spans="1:43" x14ac:dyDescent="0.25">
      <c r="A263" s="625">
        <v>262</v>
      </c>
      <c r="B263" s="494" t="s">
        <v>686</v>
      </c>
      <c r="C263" s="625">
        <v>128</v>
      </c>
      <c r="D263" s="494" t="s">
        <v>1059</v>
      </c>
      <c r="E263" s="627">
        <v>9504621</v>
      </c>
      <c r="F263" s="627">
        <v>29439</v>
      </c>
      <c r="G263" s="494" t="s">
        <v>1063</v>
      </c>
      <c r="S263" s="629">
        <f t="shared" si="8"/>
        <v>0.4375</v>
      </c>
      <c r="T263" s="629">
        <f t="shared" si="9"/>
        <v>0.45833333333333331</v>
      </c>
      <c r="U263" s="494" t="s">
        <v>911</v>
      </c>
      <c r="V263" s="620" t="str">
        <f>Combined_tables[[#This Row],[TimeSlot_Start_text]]</f>
        <v>1030</v>
      </c>
      <c r="W263" s="621"/>
      <c r="X263" s="621"/>
      <c r="Y263" s="621"/>
      <c r="Z263" s="621"/>
      <c r="AA263" s="621"/>
      <c r="AB263" s="494" t="s">
        <v>1074</v>
      </c>
      <c r="AC263" s="494" t="s">
        <v>1045</v>
      </c>
      <c r="AD263" s="625" t="s">
        <v>1046</v>
      </c>
      <c r="AE263" s="627">
        <v>29429</v>
      </c>
      <c r="AF263" s="623" t="s">
        <v>1048</v>
      </c>
      <c r="AG263" s="627">
        <v>7085430566</v>
      </c>
      <c r="AH263" s="494" t="s">
        <v>1050</v>
      </c>
      <c r="AI263" s="625" t="s">
        <v>1051</v>
      </c>
      <c r="AK263" s="623" t="s">
        <v>1052</v>
      </c>
      <c r="AL263" s="627">
        <v>7089283086</v>
      </c>
      <c r="AM263" s="494" t="s">
        <v>786</v>
      </c>
      <c r="AN263" s="625" t="s">
        <v>901</v>
      </c>
      <c r="AO263" s="627">
        <v>22230</v>
      </c>
      <c r="AP263" s="623" t="s">
        <v>882</v>
      </c>
      <c r="AQ263" s="627">
        <v>7089327433</v>
      </c>
    </row>
    <row r="264" spans="1:43" x14ac:dyDescent="0.25">
      <c r="A264" s="625">
        <v>263</v>
      </c>
      <c r="B264" s="494" t="s">
        <v>686</v>
      </c>
      <c r="C264" s="625">
        <v>128</v>
      </c>
      <c r="D264" s="494" t="s">
        <v>1059</v>
      </c>
      <c r="E264" s="627">
        <v>9504621</v>
      </c>
      <c r="F264" s="627">
        <v>29439</v>
      </c>
      <c r="G264" s="494" t="s">
        <v>1063</v>
      </c>
      <c r="S264" s="629">
        <f t="shared" si="8"/>
        <v>0.45833333333333331</v>
      </c>
      <c r="T264" s="629">
        <f t="shared" si="9"/>
        <v>0.47916666666666663</v>
      </c>
      <c r="U264" s="494" t="s">
        <v>912</v>
      </c>
      <c r="V264" s="620" t="str">
        <f>Combined_tables[[#This Row],[TimeSlot_Start_text]]</f>
        <v>1100</v>
      </c>
      <c r="W264" s="621"/>
      <c r="X264" s="621"/>
      <c r="Y264" s="621"/>
      <c r="Z264" s="621"/>
      <c r="AA264" s="621"/>
      <c r="AB264" s="494" t="s">
        <v>1076</v>
      </c>
      <c r="AC264" s="494" t="s">
        <v>1045</v>
      </c>
      <c r="AD264" s="625" t="s">
        <v>1046</v>
      </c>
      <c r="AE264" s="627">
        <v>29429</v>
      </c>
      <c r="AF264" s="623" t="s">
        <v>1048</v>
      </c>
      <c r="AG264" s="627">
        <v>7085430566</v>
      </c>
      <c r="AH264" s="494" t="s">
        <v>1050</v>
      </c>
      <c r="AI264" s="625" t="s">
        <v>1051</v>
      </c>
      <c r="AK264" s="623" t="s">
        <v>1052</v>
      </c>
      <c r="AL264" s="627">
        <v>7089283086</v>
      </c>
      <c r="AM264" s="494" t="s">
        <v>786</v>
      </c>
      <c r="AN264" s="625" t="s">
        <v>901</v>
      </c>
      <c r="AO264" s="627">
        <v>22230</v>
      </c>
      <c r="AP264" s="623" t="s">
        <v>882</v>
      </c>
      <c r="AQ264" s="627">
        <v>7089327433</v>
      </c>
    </row>
    <row r="265" spans="1:43" x14ac:dyDescent="0.25">
      <c r="A265" s="625">
        <v>264</v>
      </c>
      <c r="B265" s="494" t="s">
        <v>686</v>
      </c>
      <c r="C265" s="625">
        <v>128</v>
      </c>
      <c r="D265" s="494" t="s">
        <v>1059</v>
      </c>
      <c r="E265" s="627">
        <v>9504621</v>
      </c>
      <c r="F265" s="627">
        <v>29439</v>
      </c>
      <c r="G265" s="494" t="s">
        <v>1063</v>
      </c>
      <c r="S265" s="629">
        <f t="shared" si="8"/>
        <v>0.47916666666666669</v>
      </c>
      <c r="T265" s="629">
        <f t="shared" si="9"/>
        <v>0.5</v>
      </c>
      <c r="U265" s="494" t="s">
        <v>913</v>
      </c>
      <c r="V265" s="620" t="str">
        <f>Combined_tables[[#This Row],[TimeSlot_Start_text]]</f>
        <v>1130</v>
      </c>
      <c r="W265" s="621"/>
      <c r="X265" s="621"/>
      <c r="Y265" s="621"/>
      <c r="Z265" s="621"/>
      <c r="AA265" s="621"/>
      <c r="AB265" s="494" t="s">
        <v>1075</v>
      </c>
      <c r="AC265" s="494" t="s">
        <v>1045</v>
      </c>
      <c r="AD265" s="625" t="s">
        <v>1046</v>
      </c>
      <c r="AE265" s="627">
        <v>29429</v>
      </c>
      <c r="AF265" s="623" t="s">
        <v>1048</v>
      </c>
      <c r="AG265" s="627">
        <v>7085430566</v>
      </c>
      <c r="AH265" s="494" t="s">
        <v>1050</v>
      </c>
      <c r="AI265" s="625" t="s">
        <v>1051</v>
      </c>
      <c r="AK265" s="623" t="s">
        <v>1052</v>
      </c>
      <c r="AL265" s="627">
        <v>7089283086</v>
      </c>
      <c r="AM265" s="494" t="s">
        <v>786</v>
      </c>
      <c r="AN265" s="625" t="s">
        <v>901</v>
      </c>
      <c r="AO265" s="627">
        <v>22230</v>
      </c>
      <c r="AP265" s="623" t="s">
        <v>882</v>
      </c>
      <c r="AQ265" s="627">
        <v>7089327433</v>
      </c>
    </row>
    <row r="266" spans="1:43" ht="15" customHeight="1" x14ac:dyDescent="0.25">
      <c r="A266" s="625">
        <v>265</v>
      </c>
      <c r="B266" s="494" t="s">
        <v>686</v>
      </c>
      <c r="C266" s="625">
        <v>128</v>
      </c>
      <c r="D266" s="494" t="s">
        <v>1059</v>
      </c>
      <c r="E266" s="627">
        <v>9504621</v>
      </c>
      <c r="F266" s="627">
        <v>29439</v>
      </c>
      <c r="G266" s="494" t="s">
        <v>1063</v>
      </c>
      <c r="S266" s="629">
        <f t="shared" si="8"/>
        <v>0.5</v>
      </c>
      <c r="T266" s="629">
        <f t="shared" si="9"/>
        <v>0.52083333333333337</v>
      </c>
      <c r="U266" s="494" t="s">
        <v>914</v>
      </c>
      <c r="V266" s="620" t="str">
        <f>Combined_tables[[#This Row],[TimeSlot_Start_text]]</f>
        <v>1200</v>
      </c>
      <c r="W266" s="621" t="s">
        <v>354</v>
      </c>
      <c r="X266" s="621" t="s">
        <v>354</v>
      </c>
      <c r="Y266" s="621" t="s">
        <v>354</v>
      </c>
      <c r="Z266" s="621" t="s">
        <v>354</v>
      </c>
      <c r="AA266" s="621" t="s">
        <v>354</v>
      </c>
      <c r="AB266" s="494" t="s">
        <v>1077</v>
      </c>
      <c r="AC266" s="494" t="s">
        <v>1045</v>
      </c>
      <c r="AD266" s="625" t="s">
        <v>1046</v>
      </c>
      <c r="AE266" s="627">
        <v>29429</v>
      </c>
      <c r="AF266" s="623" t="s">
        <v>1048</v>
      </c>
      <c r="AG266" s="627">
        <v>7085430566</v>
      </c>
      <c r="AH266" s="494" t="s">
        <v>1050</v>
      </c>
      <c r="AI266" s="625" t="s">
        <v>1051</v>
      </c>
      <c r="AK266" s="623" t="s">
        <v>1052</v>
      </c>
      <c r="AL266" s="627">
        <v>7089283086</v>
      </c>
      <c r="AM266" s="494" t="s">
        <v>786</v>
      </c>
      <c r="AN266" s="625" t="s">
        <v>901</v>
      </c>
      <c r="AO266" s="627">
        <v>22230</v>
      </c>
      <c r="AP266" s="623" t="s">
        <v>882</v>
      </c>
      <c r="AQ266" s="627">
        <v>7089327433</v>
      </c>
    </row>
    <row r="267" spans="1:43" ht="15.75" customHeight="1" x14ac:dyDescent="0.25">
      <c r="A267" s="625">
        <v>266</v>
      </c>
      <c r="B267" s="494" t="s">
        <v>686</v>
      </c>
      <c r="C267" s="625">
        <v>128</v>
      </c>
      <c r="D267" s="494" t="s">
        <v>1059</v>
      </c>
      <c r="E267" s="627">
        <v>9504621</v>
      </c>
      <c r="F267" s="627">
        <v>29439</v>
      </c>
      <c r="G267" s="494" t="s">
        <v>1063</v>
      </c>
      <c r="S267" s="629">
        <f t="shared" si="8"/>
        <v>0.52083333333333337</v>
      </c>
      <c r="T267" s="629">
        <f t="shared" si="9"/>
        <v>0.54166666666666674</v>
      </c>
      <c r="U267" s="494" t="s">
        <v>915</v>
      </c>
      <c r="V267" s="620" t="str">
        <f>Combined_tables[[#This Row],[TimeSlot_Start_text]]</f>
        <v>1230</v>
      </c>
      <c r="W267" s="621" t="s">
        <v>354</v>
      </c>
      <c r="X267" s="621" t="s">
        <v>354</v>
      </c>
      <c r="Y267" s="621" t="s">
        <v>354</v>
      </c>
      <c r="Z267" s="621" t="s">
        <v>354</v>
      </c>
      <c r="AA267" s="621" t="s">
        <v>354</v>
      </c>
      <c r="AB267" s="494" t="s">
        <v>1078</v>
      </c>
      <c r="AC267" s="494" t="s">
        <v>1045</v>
      </c>
      <c r="AD267" s="625" t="s">
        <v>1046</v>
      </c>
      <c r="AE267" s="627">
        <v>29429</v>
      </c>
      <c r="AF267" s="623" t="s">
        <v>1048</v>
      </c>
      <c r="AG267" s="627">
        <v>7085430566</v>
      </c>
      <c r="AH267" s="494" t="s">
        <v>1050</v>
      </c>
      <c r="AI267" s="625" t="s">
        <v>1051</v>
      </c>
      <c r="AK267" s="623" t="s">
        <v>1052</v>
      </c>
      <c r="AL267" s="627">
        <v>7089283086</v>
      </c>
      <c r="AM267" s="494" t="s">
        <v>786</v>
      </c>
      <c r="AN267" s="625" t="s">
        <v>901</v>
      </c>
      <c r="AO267" s="627">
        <v>22230</v>
      </c>
      <c r="AP267" s="623" t="s">
        <v>882</v>
      </c>
      <c r="AQ267" s="627">
        <v>7089327433</v>
      </c>
    </row>
    <row r="268" spans="1:43" x14ac:dyDescent="0.25">
      <c r="A268" s="625">
        <v>267</v>
      </c>
      <c r="B268" s="494" t="s">
        <v>686</v>
      </c>
      <c r="C268" s="625">
        <v>128</v>
      </c>
      <c r="D268" s="494" t="s">
        <v>1059</v>
      </c>
      <c r="E268" s="627">
        <v>9504621</v>
      </c>
      <c r="F268" s="627">
        <v>29439</v>
      </c>
      <c r="G268" s="494" t="s">
        <v>1063</v>
      </c>
      <c r="S268" s="629">
        <f t="shared" si="8"/>
        <v>0.54166666666666663</v>
      </c>
      <c r="T268" s="629">
        <f t="shared" si="9"/>
        <v>0.5625</v>
      </c>
      <c r="U268" s="494" t="s">
        <v>916</v>
      </c>
      <c r="V268" s="620" t="str">
        <f>Combined_tables[[#This Row],[TimeSlot_Start_text]]</f>
        <v>1300</v>
      </c>
      <c r="W268" s="621" t="s">
        <v>717</v>
      </c>
      <c r="X268" s="621"/>
      <c r="Y268" s="621" t="s">
        <v>381</v>
      </c>
      <c r="Z268" s="621"/>
      <c r="AA268" s="621"/>
      <c r="AB268" s="494" t="s">
        <v>1071</v>
      </c>
      <c r="AC268" s="494" t="s">
        <v>1045</v>
      </c>
      <c r="AD268" s="625" t="s">
        <v>1046</v>
      </c>
      <c r="AE268" s="627">
        <v>29429</v>
      </c>
      <c r="AF268" s="623" t="s">
        <v>1048</v>
      </c>
      <c r="AG268" s="627">
        <v>7085430566</v>
      </c>
      <c r="AH268" s="494" t="s">
        <v>1050</v>
      </c>
      <c r="AI268" s="625" t="s">
        <v>1051</v>
      </c>
      <c r="AK268" s="623" t="s">
        <v>1052</v>
      </c>
      <c r="AL268" s="627">
        <v>7089283086</v>
      </c>
      <c r="AM268" s="494" t="s">
        <v>786</v>
      </c>
      <c r="AN268" s="625" t="s">
        <v>901</v>
      </c>
      <c r="AO268" s="627">
        <v>22230</v>
      </c>
      <c r="AP268" s="623" t="s">
        <v>882</v>
      </c>
      <c r="AQ268" s="627">
        <v>7089327433</v>
      </c>
    </row>
    <row r="269" spans="1:43" x14ac:dyDescent="0.25">
      <c r="A269" s="625">
        <v>268</v>
      </c>
      <c r="B269" s="494" t="s">
        <v>686</v>
      </c>
      <c r="C269" s="625">
        <v>128</v>
      </c>
      <c r="D269" s="494" t="s">
        <v>1059</v>
      </c>
      <c r="E269" s="627">
        <v>9504621</v>
      </c>
      <c r="F269" s="627">
        <v>29439</v>
      </c>
      <c r="G269" s="494" t="s">
        <v>1063</v>
      </c>
      <c r="S269" s="629">
        <f t="shared" si="8"/>
        <v>0.5625</v>
      </c>
      <c r="T269" s="629">
        <f t="shared" si="9"/>
        <v>0.58333333333333337</v>
      </c>
      <c r="U269" s="494" t="s">
        <v>917</v>
      </c>
      <c r="V269" s="620" t="str">
        <f>Combined_tables[[#This Row],[TimeSlot_Start_text]]</f>
        <v>1330</v>
      </c>
      <c r="W269" s="621" t="s">
        <v>717</v>
      </c>
      <c r="X269" s="621"/>
      <c r="Y269" s="621"/>
      <c r="Z269" s="621"/>
      <c r="AA269" s="621"/>
      <c r="AB269" s="494" t="s">
        <v>1072</v>
      </c>
      <c r="AC269" s="494" t="s">
        <v>1045</v>
      </c>
      <c r="AD269" s="625" t="s">
        <v>1046</v>
      </c>
      <c r="AE269" s="627">
        <v>29429</v>
      </c>
      <c r="AF269" s="623" t="s">
        <v>1048</v>
      </c>
      <c r="AG269" s="627">
        <v>7085430566</v>
      </c>
      <c r="AH269" s="494" t="s">
        <v>1050</v>
      </c>
      <c r="AI269" s="625" t="s">
        <v>1051</v>
      </c>
      <c r="AK269" s="623" t="s">
        <v>1052</v>
      </c>
      <c r="AL269" s="627">
        <v>7089283086</v>
      </c>
      <c r="AM269" s="494" t="s">
        <v>786</v>
      </c>
      <c r="AN269" s="625" t="s">
        <v>901</v>
      </c>
      <c r="AO269" s="627">
        <v>22230</v>
      </c>
      <c r="AP269" s="623" t="s">
        <v>882</v>
      </c>
      <c r="AQ269" s="627">
        <v>7089327433</v>
      </c>
    </row>
    <row r="270" spans="1:43" x14ac:dyDescent="0.25">
      <c r="A270" s="625">
        <v>269</v>
      </c>
      <c r="B270" s="494" t="s">
        <v>686</v>
      </c>
      <c r="C270" s="625">
        <v>128</v>
      </c>
      <c r="D270" s="494" t="s">
        <v>1059</v>
      </c>
      <c r="E270" s="627">
        <v>9504621</v>
      </c>
      <c r="F270" s="627">
        <v>29439</v>
      </c>
      <c r="G270" s="494" t="s">
        <v>1063</v>
      </c>
      <c r="S270" s="629">
        <f t="shared" si="8"/>
        <v>0.58333333333333337</v>
      </c>
      <c r="T270" s="629">
        <f t="shared" si="9"/>
        <v>0.60416666666666674</v>
      </c>
      <c r="U270" s="494" t="s">
        <v>918</v>
      </c>
      <c r="V270" s="620" t="str">
        <f>Combined_tables[[#This Row],[TimeSlot_Start_text]]</f>
        <v>1400</v>
      </c>
      <c r="W270" s="621" t="s">
        <v>717</v>
      </c>
      <c r="X270" s="621" t="s">
        <v>381</v>
      </c>
      <c r="Y270" s="621"/>
      <c r="Z270" s="621"/>
      <c r="AA270" s="621"/>
      <c r="AB270" s="494" t="s">
        <v>1079</v>
      </c>
      <c r="AC270" s="494" t="s">
        <v>1045</v>
      </c>
      <c r="AD270" s="625" t="s">
        <v>1046</v>
      </c>
      <c r="AE270" s="627">
        <v>29429</v>
      </c>
      <c r="AF270" s="623" t="s">
        <v>1048</v>
      </c>
      <c r="AG270" s="627">
        <v>7085430566</v>
      </c>
      <c r="AH270" s="494" t="s">
        <v>1050</v>
      </c>
      <c r="AI270" s="625" t="s">
        <v>1051</v>
      </c>
      <c r="AK270" s="623" t="s">
        <v>1052</v>
      </c>
      <c r="AL270" s="627">
        <v>7089283086</v>
      </c>
      <c r="AM270" s="494" t="s">
        <v>786</v>
      </c>
      <c r="AN270" s="625" t="s">
        <v>901</v>
      </c>
      <c r="AO270" s="627">
        <v>22230</v>
      </c>
      <c r="AP270" s="623" t="s">
        <v>882</v>
      </c>
      <c r="AQ270" s="627">
        <v>7089327433</v>
      </c>
    </row>
    <row r="271" spans="1:43" x14ac:dyDescent="0.25">
      <c r="A271" s="625">
        <v>270</v>
      </c>
      <c r="B271" s="494" t="s">
        <v>686</v>
      </c>
      <c r="C271" s="625">
        <v>128</v>
      </c>
      <c r="D271" s="494" t="s">
        <v>1059</v>
      </c>
      <c r="E271" s="627">
        <v>9504621</v>
      </c>
      <c r="F271" s="627">
        <v>29439</v>
      </c>
      <c r="G271" s="494" t="s">
        <v>1063</v>
      </c>
      <c r="S271" s="629">
        <f t="shared" si="8"/>
        <v>0.60416666666666663</v>
      </c>
      <c r="T271" s="629">
        <f t="shared" si="9"/>
        <v>0.625</v>
      </c>
      <c r="U271" s="494" t="s">
        <v>919</v>
      </c>
      <c r="V271" s="620" t="str">
        <f>Combined_tables[[#This Row],[TimeSlot_Start_text]]</f>
        <v>1430</v>
      </c>
      <c r="W271" s="621" t="s">
        <v>717</v>
      </c>
      <c r="X271" s="621"/>
      <c r="Y271" s="621"/>
      <c r="Z271" s="621"/>
      <c r="AA271" s="621"/>
      <c r="AB271" s="494" t="s">
        <v>1080</v>
      </c>
      <c r="AC271" s="494" t="s">
        <v>1045</v>
      </c>
      <c r="AD271" s="625" t="s">
        <v>1046</v>
      </c>
      <c r="AE271" s="627">
        <v>29429</v>
      </c>
      <c r="AF271" s="623" t="s">
        <v>1048</v>
      </c>
      <c r="AG271" s="627">
        <v>7085430566</v>
      </c>
      <c r="AH271" s="494" t="s">
        <v>1050</v>
      </c>
      <c r="AI271" s="625" t="s">
        <v>1051</v>
      </c>
      <c r="AK271" s="623" t="s">
        <v>1052</v>
      </c>
      <c r="AL271" s="627">
        <v>7089283086</v>
      </c>
      <c r="AM271" s="494" t="s">
        <v>786</v>
      </c>
      <c r="AN271" s="625" t="s">
        <v>901</v>
      </c>
      <c r="AO271" s="627">
        <v>22230</v>
      </c>
      <c r="AP271" s="623" t="s">
        <v>882</v>
      </c>
      <c r="AQ271" s="627">
        <v>7089327433</v>
      </c>
    </row>
    <row r="272" spans="1:43" x14ac:dyDescent="0.25">
      <c r="A272" s="625">
        <v>271</v>
      </c>
      <c r="B272" s="494" t="s">
        <v>686</v>
      </c>
      <c r="C272" s="625">
        <v>128</v>
      </c>
      <c r="D272" s="494" t="s">
        <v>1059</v>
      </c>
      <c r="E272" s="627">
        <v>9504621</v>
      </c>
      <c r="F272" s="627">
        <v>29439</v>
      </c>
      <c r="G272" s="494" t="s">
        <v>1063</v>
      </c>
      <c r="S272" s="629">
        <f t="shared" si="8"/>
        <v>0.625</v>
      </c>
      <c r="T272" s="629">
        <f t="shared" si="9"/>
        <v>0.64583333333333337</v>
      </c>
      <c r="U272" s="494" t="s">
        <v>920</v>
      </c>
      <c r="V272" s="620" t="str">
        <f>Combined_tables[[#This Row],[TimeSlot_Start_text]]</f>
        <v>1500</v>
      </c>
      <c r="W272" s="621" t="s">
        <v>717</v>
      </c>
      <c r="X272" s="621"/>
      <c r="Y272" s="621"/>
      <c r="Z272" s="621"/>
      <c r="AA272" s="621"/>
      <c r="AB272" s="494" t="s">
        <v>1081</v>
      </c>
      <c r="AC272" s="494" t="s">
        <v>1045</v>
      </c>
      <c r="AD272" s="625" t="s">
        <v>1046</v>
      </c>
      <c r="AE272" s="627">
        <v>29429</v>
      </c>
      <c r="AF272" s="623" t="s">
        <v>1048</v>
      </c>
      <c r="AG272" s="627">
        <v>7085430566</v>
      </c>
      <c r="AH272" s="494" t="s">
        <v>1050</v>
      </c>
      <c r="AI272" s="625" t="s">
        <v>1051</v>
      </c>
      <c r="AK272" s="623" t="s">
        <v>1052</v>
      </c>
      <c r="AL272" s="627">
        <v>7089283086</v>
      </c>
      <c r="AM272" s="494" t="s">
        <v>786</v>
      </c>
      <c r="AN272" s="625" t="s">
        <v>901</v>
      </c>
      <c r="AO272" s="627">
        <v>22230</v>
      </c>
      <c r="AP272" s="623" t="s">
        <v>882</v>
      </c>
      <c r="AQ272" s="627">
        <v>7089327433</v>
      </c>
    </row>
    <row r="273" spans="1:43" x14ac:dyDescent="0.25">
      <c r="A273" s="625">
        <v>272</v>
      </c>
      <c r="B273" s="494" t="s">
        <v>686</v>
      </c>
      <c r="C273" s="625">
        <v>128</v>
      </c>
      <c r="D273" s="494" t="s">
        <v>1059</v>
      </c>
      <c r="E273" s="627">
        <v>9504621</v>
      </c>
      <c r="F273" s="627">
        <v>29439</v>
      </c>
      <c r="G273" s="494" t="s">
        <v>1063</v>
      </c>
      <c r="S273" s="629">
        <f t="shared" si="8"/>
        <v>0.64583333333333337</v>
      </c>
      <c r="T273" s="629">
        <f t="shared" si="9"/>
        <v>0.66666666666666674</v>
      </c>
      <c r="U273" s="494" t="s">
        <v>921</v>
      </c>
      <c r="V273" s="620" t="str">
        <f>Combined_tables[[#This Row],[TimeSlot_Start_text]]</f>
        <v>1530</v>
      </c>
      <c r="W273" s="621"/>
      <c r="X273" s="621"/>
      <c r="Y273" s="621"/>
      <c r="Z273" s="621"/>
      <c r="AA273" s="621"/>
      <c r="AB273" s="494" t="s">
        <v>1082</v>
      </c>
      <c r="AC273" s="494" t="s">
        <v>1045</v>
      </c>
      <c r="AD273" s="625" t="s">
        <v>1046</v>
      </c>
      <c r="AE273" s="627">
        <v>29429</v>
      </c>
      <c r="AF273" s="623" t="s">
        <v>1048</v>
      </c>
      <c r="AG273" s="627">
        <v>7085430566</v>
      </c>
      <c r="AH273" s="494" t="s">
        <v>1050</v>
      </c>
      <c r="AI273" s="625" t="s">
        <v>1051</v>
      </c>
      <c r="AK273" s="623" t="s">
        <v>1052</v>
      </c>
      <c r="AL273" s="627">
        <v>7089283086</v>
      </c>
      <c r="AM273" s="494" t="s">
        <v>786</v>
      </c>
      <c r="AN273" s="625" t="s">
        <v>901</v>
      </c>
      <c r="AO273" s="627">
        <v>22230</v>
      </c>
      <c r="AP273" s="623" t="s">
        <v>882</v>
      </c>
      <c r="AQ273" s="627">
        <v>7089327433</v>
      </c>
    </row>
    <row r="274" spans="1:43" ht="15" customHeight="1" x14ac:dyDescent="0.25">
      <c r="A274" s="625">
        <v>273</v>
      </c>
      <c r="B274" s="494" t="s">
        <v>686</v>
      </c>
      <c r="C274" s="625">
        <v>129</v>
      </c>
      <c r="D274" s="494" t="s">
        <v>1054</v>
      </c>
      <c r="E274" s="627">
        <v>9504612</v>
      </c>
      <c r="F274" s="627">
        <v>29441</v>
      </c>
      <c r="G274" s="494" t="s">
        <v>1058</v>
      </c>
      <c r="S274" s="629">
        <f t="shared" si="8"/>
        <v>0.33333333333333331</v>
      </c>
      <c r="T274" s="629">
        <f t="shared" si="9"/>
        <v>0.35416666666666663</v>
      </c>
      <c r="U274" s="494" t="s">
        <v>906</v>
      </c>
      <c r="V274" s="620" t="str">
        <f>Combined_tables[[#This Row],[TimeSlot_Start_text]]</f>
        <v>0800</v>
      </c>
      <c r="W274" s="621"/>
      <c r="X274" s="621"/>
      <c r="Y274" s="621"/>
      <c r="Z274" s="621"/>
      <c r="AA274" s="621"/>
      <c r="AB274" s="494" t="s">
        <v>1083</v>
      </c>
      <c r="AC274" s="494" t="s">
        <v>1045</v>
      </c>
      <c r="AD274" s="625" t="s">
        <v>1046</v>
      </c>
      <c r="AE274" s="627">
        <v>29429</v>
      </c>
      <c r="AF274" s="623" t="s">
        <v>1048</v>
      </c>
      <c r="AG274" s="627">
        <v>7085430566</v>
      </c>
      <c r="AH274" s="494" t="s">
        <v>1050</v>
      </c>
      <c r="AI274" s="625" t="s">
        <v>1051</v>
      </c>
      <c r="AK274" s="623" t="s">
        <v>1052</v>
      </c>
      <c r="AL274" s="627">
        <v>7089283086</v>
      </c>
      <c r="AM274" s="494" t="s">
        <v>786</v>
      </c>
      <c r="AN274" s="625" t="s">
        <v>901</v>
      </c>
      <c r="AO274" s="627">
        <v>22230</v>
      </c>
      <c r="AP274" s="623" t="s">
        <v>882</v>
      </c>
      <c r="AQ274" s="627">
        <v>7089327433</v>
      </c>
    </row>
    <row r="275" spans="1:43" ht="15" customHeight="1" x14ac:dyDescent="0.25">
      <c r="A275" s="625">
        <v>274</v>
      </c>
      <c r="B275" s="494" t="s">
        <v>686</v>
      </c>
      <c r="C275" s="625">
        <v>129</v>
      </c>
      <c r="D275" s="494" t="s">
        <v>1054</v>
      </c>
      <c r="E275" s="627">
        <v>9504612</v>
      </c>
      <c r="F275" s="627">
        <v>29441</v>
      </c>
      <c r="G275" s="494" t="s">
        <v>1058</v>
      </c>
      <c r="S275" s="629">
        <f t="shared" si="8"/>
        <v>0.35416666666666669</v>
      </c>
      <c r="T275" s="629">
        <f t="shared" si="9"/>
        <v>0.375</v>
      </c>
      <c r="U275" s="494" t="s">
        <v>907</v>
      </c>
      <c r="V275" s="620" t="str">
        <f>Combined_tables[[#This Row],[TimeSlot_Start_text]]</f>
        <v>0830</v>
      </c>
      <c r="W275" s="621"/>
      <c r="X275" s="621"/>
      <c r="Y275" s="621"/>
      <c r="Z275" s="621"/>
      <c r="AA275" s="621" t="s">
        <v>709</v>
      </c>
      <c r="AB275" s="494" t="s">
        <v>1084</v>
      </c>
      <c r="AC275" s="494" t="s">
        <v>1045</v>
      </c>
      <c r="AD275" s="625" t="s">
        <v>1046</v>
      </c>
      <c r="AE275" s="627">
        <v>29429</v>
      </c>
      <c r="AF275" s="623" t="s">
        <v>1048</v>
      </c>
      <c r="AG275" s="627">
        <v>7085430566</v>
      </c>
      <c r="AH275" s="494" t="s">
        <v>1050</v>
      </c>
      <c r="AI275" s="625" t="s">
        <v>1051</v>
      </c>
      <c r="AK275" s="623" t="s">
        <v>1052</v>
      </c>
      <c r="AL275" s="627">
        <v>7089283086</v>
      </c>
      <c r="AM275" s="494" t="s">
        <v>786</v>
      </c>
      <c r="AN275" s="625" t="s">
        <v>901</v>
      </c>
      <c r="AO275" s="627">
        <v>22230</v>
      </c>
      <c r="AP275" s="623" t="s">
        <v>882</v>
      </c>
      <c r="AQ275" s="627">
        <v>7089327433</v>
      </c>
    </row>
    <row r="276" spans="1:43" ht="15" customHeight="1" x14ac:dyDescent="0.25">
      <c r="A276" s="625">
        <v>275</v>
      </c>
      <c r="B276" s="494" t="s">
        <v>686</v>
      </c>
      <c r="C276" s="625">
        <v>129</v>
      </c>
      <c r="D276" s="494" t="s">
        <v>1054</v>
      </c>
      <c r="E276" s="627">
        <v>9504612</v>
      </c>
      <c r="F276" s="627">
        <v>29441</v>
      </c>
      <c r="G276" s="494" t="s">
        <v>1058</v>
      </c>
      <c r="S276" s="629">
        <f t="shared" si="8"/>
        <v>0.375</v>
      </c>
      <c r="T276" s="629">
        <f t="shared" si="9"/>
        <v>0.39583333333333331</v>
      </c>
      <c r="U276" s="494" t="s">
        <v>908</v>
      </c>
      <c r="V276" s="620" t="str">
        <f>Combined_tables[[#This Row],[TimeSlot_Start_text]]</f>
        <v>0900</v>
      </c>
      <c r="W276" s="621"/>
      <c r="X276" s="621"/>
      <c r="Y276" s="621"/>
      <c r="Z276" s="621"/>
      <c r="AA276" s="621" t="s">
        <v>709</v>
      </c>
      <c r="AB276" s="494" t="s">
        <v>1085</v>
      </c>
      <c r="AC276" s="494" t="s">
        <v>1045</v>
      </c>
      <c r="AD276" s="625" t="s">
        <v>1046</v>
      </c>
      <c r="AE276" s="627">
        <v>29429</v>
      </c>
      <c r="AF276" s="623" t="s">
        <v>1048</v>
      </c>
      <c r="AG276" s="627">
        <v>7085430566</v>
      </c>
      <c r="AH276" s="494" t="s">
        <v>1050</v>
      </c>
      <c r="AI276" s="625" t="s">
        <v>1051</v>
      </c>
      <c r="AK276" s="623" t="s">
        <v>1052</v>
      </c>
      <c r="AL276" s="627">
        <v>7089283086</v>
      </c>
      <c r="AM276" s="494" t="s">
        <v>786</v>
      </c>
      <c r="AN276" s="625" t="s">
        <v>901</v>
      </c>
      <c r="AO276" s="627">
        <v>22230</v>
      </c>
      <c r="AP276" s="623" t="s">
        <v>882</v>
      </c>
      <c r="AQ276" s="627">
        <v>7089327433</v>
      </c>
    </row>
    <row r="277" spans="1:43" ht="15" customHeight="1" x14ac:dyDescent="0.25">
      <c r="A277" s="625">
        <v>276</v>
      </c>
      <c r="B277" s="494" t="s">
        <v>686</v>
      </c>
      <c r="C277" s="625">
        <v>129</v>
      </c>
      <c r="D277" s="494" t="s">
        <v>1054</v>
      </c>
      <c r="E277" s="627">
        <v>9504612</v>
      </c>
      <c r="F277" s="627">
        <v>29441</v>
      </c>
      <c r="G277" s="494" t="s">
        <v>1058</v>
      </c>
      <c r="S277" s="629">
        <f t="shared" si="8"/>
        <v>0.39583333333333331</v>
      </c>
      <c r="T277" s="629">
        <f t="shared" si="9"/>
        <v>0.41666666666666663</v>
      </c>
      <c r="U277" s="494" t="s">
        <v>909</v>
      </c>
      <c r="V277" s="620" t="str">
        <f>Combined_tables[[#This Row],[TimeSlot_Start_text]]</f>
        <v>0930</v>
      </c>
      <c r="W277" s="621"/>
      <c r="X277" s="621"/>
      <c r="Y277" s="621"/>
      <c r="Z277" s="621"/>
      <c r="AA277" s="621"/>
      <c r="AB277" s="494" t="s">
        <v>1086</v>
      </c>
      <c r="AC277" s="494" t="s">
        <v>1045</v>
      </c>
      <c r="AD277" s="625" t="s">
        <v>1046</v>
      </c>
      <c r="AE277" s="627">
        <v>29429</v>
      </c>
      <c r="AF277" s="623" t="s">
        <v>1048</v>
      </c>
      <c r="AG277" s="627">
        <v>7085430566</v>
      </c>
      <c r="AH277" s="494" t="s">
        <v>1050</v>
      </c>
      <c r="AI277" s="625" t="s">
        <v>1051</v>
      </c>
      <c r="AK277" s="623" t="s">
        <v>1052</v>
      </c>
      <c r="AL277" s="627">
        <v>7089283086</v>
      </c>
      <c r="AM277" s="494" t="s">
        <v>786</v>
      </c>
      <c r="AN277" s="625" t="s">
        <v>901</v>
      </c>
      <c r="AO277" s="627">
        <v>22230</v>
      </c>
      <c r="AP277" s="623" t="s">
        <v>882</v>
      </c>
      <c r="AQ277" s="627">
        <v>7089327433</v>
      </c>
    </row>
    <row r="278" spans="1:43" x14ac:dyDescent="0.25">
      <c r="A278" s="625">
        <v>277</v>
      </c>
      <c r="B278" s="494" t="s">
        <v>686</v>
      </c>
      <c r="C278" s="625">
        <v>129</v>
      </c>
      <c r="D278" s="494" t="s">
        <v>1054</v>
      </c>
      <c r="E278" s="627">
        <v>9504612</v>
      </c>
      <c r="F278" s="627">
        <v>29441</v>
      </c>
      <c r="G278" s="494" t="s">
        <v>1058</v>
      </c>
      <c r="S278" s="629">
        <f t="shared" si="8"/>
        <v>0.41666666666666669</v>
      </c>
      <c r="T278" s="629">
        <f t="shared" si="9"/>
        <v>0.4375</v>
      </c>
      <c r="U278" s="494" t="s">
        <v>910</v>
      </c>
      <c r="V278" s="620" t="str">
        <f>Combined_tables[[#This Row],[TimeSlot_Start_text]]</f>
        <v>1000</v>
      </c>
      <c r="W278" s="621"/>
      <c r="X278" s="621" t="s">
        <v>713</v>
      </c>
      <c r="Y278" s="621"/>
      <c r="Z278" s="621"/>
      <c r="AA278" s="621"/>
      <c r="AB278" s="494" t="s">
        <v>1073</v>
      </c>
      <c r="AC278" s="494" t="s">
        <v>1045</v>
      </c>
      <c r="AD278" s="625" t="s">
        <v>1046</v>
      </c>
      <c r="AE278" s="627">
        <v>29429</v>
      </c>
      <c r="AF278" s="623" t="s">
        <v>1048</v>
      </c>
      <c r="AG278" s="627">
        <v>7085430566</v>
      </c>
      <c r="AH278" s="494" t="s">
        <v>1050</v>
      </c>
      <c r="AI278" s="625" t="s">
        <v>1051</v>
      </c>
      <c r="AK278" s="623" t="s">
        <v>1052</v>
      </c>
      <c r="AL278" s="627">
        <v>7089283086</v>
      </c>
      <c r="AM278" s="494" t="s">
        <v>786</v>
      </c>
      <c r="AN278" s="625" t="s">
        <v>901</v>
      </c>
      <c r="AO278" s="627">
        <v>22230</v>
      </c>
      <c r="AP278" s="623" t="s">
        <v>882</v>
      </c>
      <c r="AQ278" s="627">
        <v>7089327433</v>
      </c>
    </row>
    <row r="279" spans="1:43" x14ac:dyDescent="0.25">
      <c r="A279" s="625">
        <v>278</v>
      </c>
      <c r="B279" s="494" t="s">
        <v>686</v>
      </c>
      <c r="C279" s="625">
        <v>129</v>
      </c>
      <c r="D279" s="494" t="s">
        <v>1054</v>
      </c>
      <c r="E279" s="627">
        <v>9504612</v>
      </c>
      <c r="F279" s="627">
        <v>29441</v>
      </c>
      <c r="G279" s="494" t="s">
        <v>1058</v>
      </c>
      <c r="S279" s="629">
        <f t="shared" si="8"/>
        <v>0.4375</v>
      </c>
      <c r="T279" s="629">
        <f t="shared" si="9"/>
        <v>0.45833333333333331</v>
      </c>
      <c r="U279" s="494" t="s">
        <v>911</v>
      </c>
      <c r="V279" s="620" t="str">
        <f>Combined_tables[[#This Row],[TimeSlot_Start_text]]</f>
        <v>1030</v>
      </c>
      <c r="W279" s="621"/>
      <c r="X279" s="621" t="s">
        <v>713</v>
      </c>
      <c r="Y279" s="621" t="s">
        <v>713</v>
      </c>
      <c r="Z279" s="621"/>
      <c r="AA279" s="621" t="s">
        <v>709</v>
      </c>
      <c r="AB279" s="494" t="s">
        <v>1074</v>
      </c>
      <c r="AC279" s="494" t="s">
        <v>1045</v>
      </c>
      <c r="AD279" s="625" t="s">
        <v>1046</v>
      </c>
      <c r="AE279" s="627">
        <v>29429</v>
      </c>
      <c r="AF279" s="623" t="s">
        <v>1048</v>
      </c>
      <c r="AG279" s="627">
        <v>7085430566</v>
      </c>
      <c r="AH279" s="494" t="s">
        <v>1050</v>
      </c>
      <c r="AI279" s="625" t="s">
        <v>1051</v>
      </c>
      <c r="AK279" s="623" t="s">
        <v>1052</v>
      </c>
      <c r="AL279" s="627">
        <v>7089283086</v>
      </c>
      <c r="AM279" s="494" t="s">
        <v>786</v>
      </c>
      <c r="AN279" s="625" t="s">
        <v>901</v>
      </c>
      <c r="AO279" s="627">
        <v>22230</v>
      </c>
      <c r="AP279" s="623" t="s">
        <v>882</v>
      </c>
      <c r="AQ279" s="627">
        <v>7089327433</v>
      </c>
    </row>
    <row r="280" spans="1:43" x14ac:dyDescent="0.25">
      <c r="A280" s="625">
        <v>279</v>
      </c>
      <c r="B280" s="494" t="s">
        <v>686</v>
      </c>
      <c r="C280" s="625">
        <v>129</v>
      </c>
      <c r="D280" s="494" t="s">
        <v>1054</v>
      </c>
      <c r="E280" s="627">
        <v>9504612</v>
      </c>
      <c r="F280" s="627">
        <v>29441</v>
      </c>
      <c r="G280" s="494" t="s">
        <v>1058</v>
      </c>
      <c r="S280" s="629">
        <f t="shared" si="8"/>
        <v>0.45833333333333331</v>
      </c>
      <c r="T280" s="629">
        <f t="shared" si="9"/>
        <v>0.47916666666666663</v>
      </c>
      <c r="U280" s="494" t="s">
        <v>912</v>
      </c>
      <c r="V280" s="620" t="str">
        <f>Combined_tables[[#This Row],[TimeSlot_Start_text]]</f>
        <v>1100</v>
      </c>
      <c r="W280" s="621"/>
      <c r="X280" s="621"/>
      <c r="Y280" s="621" t="s">
        <v>713</v>
      </c>
      <c r="Z280" s="621"/>
      <c r="AA280" s="621" t="s">
        <v>709</v>
      </c>
      <c r="AB280" s="494" t="s">
        <v>1076</v>
      </c>
      <c r="AC280" s="494" t="s">
        <v>1045</v>
      </c>
      <c r="AD280" s="625" t="s">
        <v>1046</v>
      </c>
      <c r="AE280" s="627">
        <v>29429</v>
      </c>
      <c r="AF280" s="623" t="s">
        <v>1048</v>
      </c>
      <c r="AG280" s="627">
        <v>7085430566</v>
      </c>
      <c r="AH280" s="494" t="s">
        <v>1050</v>
      </c>
      <c r="AI280" s="625" t="s">
        <v>1051</v>
      </c>
      <c r="AK280" s="623" t="s">
        <v>1052</v>
      </c>
      <c r="AL280" s="627">
        <v>7089283086</v>
      </c>
      <c r="AM280" s="494" t="s">
        <v>786</v>
      </c>
      <c r="AN280" s="625" t="s">
        <v>901</v>
      </c>
      <c r="AO280" s="627">
        <v>22230</v>
      </c>
      <c r="AP280" s="623" t="s">
        <v>882</v>
      </c>
      <c r="AQ280" s="627">
        <v>7089327433</v>
      </c>
    </row>
    <row r="281" spans="1:43" x14ac:dyDescent="0.25">
      <c r="A281" s="625">
        <v>280</v>
      </c>
      <c r="B281" s="494" t="s">
        <v>686</v>
      </c>
      <c r="C281" s="625">
        <v>129</v>
      </c>
      <c r="D281" s="494" t="s">
        <v>1054</v>
      </c>
      <c r="E281" s="627">
        <v>9504612</v>
      </c>
      <c r="F281" s="627">
        <v>29441</v>
      </c>
      <c r="G281" s="494" t="s">
        <v>1058</v>
      </c>
      <c r="S281" s="629">
        <f t="shared" si="8"/>
        <v>0.47916666666666669</v>
      </c>
      <c r="T281" s="629">
        <f t="shared" si="9"/>
        <v>0.5</v>
      </c>
      <c r="U281" s="494" t="s">
        <v>913</v>
      </c>
      <c r="V281" s="620" t="str">
        <f>Combined_tables[[#This Row],[TimeSlot_Start_text]]</f>
        <v>1130</v>
      </c>
      <c r="W281" s="621"/>
      <c r="X281" s="621"/>
      <c r="Y281" s="621"/>
      <c r="Z281" s="621" t="s">
        <v>713</v>
      </c>
      <c r="AA281" s="621" t="s">
        <v>709</v>
      </c>
      <c r="AB281" s="494" t="s">
        <v>1075</v>
      </c>
      <c r="AC281" s="494" t="s">
        <v>1045</v>
      </c>
      <c r="AD281" s="625" t="s">
        <v>1046</v>
      </c>
      <c r="AE281" s="627">
        <v>29429</v>
      </c>
      <c r="AF281" s="623" t="s">
        <v>1048</v>
      </c>
      <c r="AG281" s="627">
        <v>7085430566</v>
      </c>
      <c r="AH281" s="494" t="s">
        <v>1050</v>
      </c>
      <c r="AI281" s="625" t="s">
        <v>1051</v>
      </c>
      <c r="AK281" s="623" t="s">
        <v>1052</v>
      </c>
      <c r="AL281" s="627">
        <v>7089283086</v>
      </c>
      <c r="AM281" s="494" t="s">
        <v>786</v>
      </c>
      <c r="AN281" s="625" t="s">
        <v>901</v>
      </c>
      <c r="AO281" s="627">
        <v>22230</v>
      </c>
      <c r="AP281" s="623" t="s">
        <v>882</v>
      </c>
      <c r="AQ281" s="627">
        <v>7089327433</v>
      </c>
    </row>
    <row r="282" spans="1:43" ht="15" customHeight="1" x14ac:dyDescent="0.25">
      <c r="A282" s="625">
        <v>281</v>
      </c>
      <c r="B282" s="494" t="s">
        <v>686</v>
      </c>
      <c r="C282" s="625">
        <v>129</v>
      </c>
      <c r="D282" s="494" t="s">
        <v>1054</v>
      </c>
      <c r="E282" s="627">
        <v>9504612</v>
      </c>
      <c r="F282" s="627">
        <v>29441</v>
      </c>
      <c r="G282" s="494" t="s">
        <v>1058</v>
      </c>
      <c r="S282" s="629">
        <f t="shared" si="8"/>
        <v>0.5</v>
      </c>
      <c r="T282" s="629">
        <f t="shared" si="9"/>
        <v>0.52083333333333337</v>
      </c>
      <c r="U282" s="494" t="s">
        <v>914</v>
      </c>
      <c r="V282" s="620" t="str">
        <f>Combined_tables[[#This Row],[TimeSlot_Start_text]]</f>
        <v>1200</v>
      </c>
      <c r="W282" s="621" t="s">
        <v>354</v>
      </c>
      <c r="X282" s="621" t="s">
        <v>354</v>
      </c>
      <c r="Y282" s="621" t="s">
        <v>354</v>
      </c>
      <c r="Z282" s="621" t="s">
        <v>354</v>
      </c>
      <c r="AA282" s="621" t="s">
        <v>354</v>
      </c>
      <c r="AB282" s="494" t="s">
        <v>1077</v>
      </c>
      <c r="AC282" s="494" t="s">
        <v>1045</v>
      </c>
      <c r="AD282" s="625" t="s">
        <v>1046</v>
      </c>
      <c r="AE282" s="627">
        <v>29429</v>
      </c>
      <c r="AF282" s="623" t="s">
        <v>1048</v>
      </c>
      <c r="AG282" s="627">
        <v>7085430566</v>
      </c>
      <c r="AH282" s="494" t="s">
        <v>1050</v>
      </c>
      <c r="AI282" s="625" t="s">
        <v>1051</v>
      </c>
      <c r="AK282" s="623" t="s">
        <v>1052</v>
      </c>
      <c r="AL282" s="627">
        <v>7089283086</v>
      </c>
      <c r="AM282" s="494" t="s">
        <v>786</v>
      </c>
      <c r="AN282" s="625" t="s">
        <v>901</v>
      </c>
      <c r="AO282" s="627">
        <v>22230</v>
      </c>
      <c r="AP282" s="623" t="s">
        <v>882</v>
      </c>
      <c r="AQ282" s="627">
        <v>7089327433</v>
      </c>
    </row>
    <row r="283" spans="1:43" ht="15.75" customHeight="1" x14ac:dyDescent="0.25">
      <c r="A283" s="625">
        <v>282</v>
      </c>
      <c r="B283" s="494" t="s">
        <v>686</v>
      </c>
      <c r="C283" s="625">
        <v>129</v>
      </c>
      <c r="D283" s="494" t="s">
        <v>1054</v>
      </c>
      <c r="E283" s="627">
        <v>9504612</v>
      </c>
      <c r="F283" s="627">
        <v>29441</v>
      </c>
      <c r="G283" s="494" t="s">
        <v>1058</v>
      </c>
      <c r="S283" s="629">
        <f t="shared" si="8"/>
        <v>0.52083333333333337</v>
      </c>
      <c r="T283" s="629">
        <f t="shared" si="9"/>
        <v>0.54166666666666674</v>
      </c>
      <c r="U283" s="494" t="s">
        <v>915</v>
      </c>
      <c r="V283" s="620" t="str">
        <f>Combined_tables[[#This Row],[TimeSlot_Start_text]]</f>
        <v>1230</v>
      </c>
      <c r="W283" s="621" t="s">
        <v>354</v>
      </c>
      <c r="X283" s="621" t="s">
        <v>354</v>
      </c>
      <c r="Y283" s="621" t="s">
        <v>354</v>
      </c>
      <c r="Z283" s="621" t="s">
        <v>354</v>
      </c>
      <c r="AA283" s="621" t="s">
        <v>354</v>
      </c>
      <c r="AB283" s="494" t="s">
        <v>1078</v>
      </c>
      <c r="AC283" s="494" t="s">
        <v>1045</v>
      </c>
      <c r="AD283" s="625" t="s">
        <v>1046</v>
      </c>
      <c r="AE283" s="627">
        <v>29429</v>
      </c>
      <c r="AF283" s="623" t="s">
        <v>1048</v>
      </c>
      <c r="AG283" s="627">
        <v>7085430566</v>
      </c>
      <c r="AH283" s="494" t="s">
        <v>1050</v>
      </c>
      <c r="AI283" s="625" t="s">
        <v>1051</v>
      </c>
      <c r="AK283" s="623" t="s">
        <v>1052</v>
      </c>
      <c r="AL283" s="627">
        <v>7089283086</v>
      </c>
      <c r="AM283" s="494" t="s">
        <v>786</v>
      </c>
      <c r="AN283" s="625" t="s">
        <v>901</v>
      </c>
      <c r="AO283" s="627">
        <v>22230</v>
      </c>
      <c r="AP283" s="623" t="s">
        <v>882</v>
      </c>
      <c r="AQ283" s="627">
        <v>7089327433</v>
      </c>
    </row>
    <row r="284" spans="1:43" x14ac:dyDescent="0.25">
      <c r="A284" s="625">
        <v>283</v>
      </c>
      <c r="B284" s="494" t="s">
        <v>686</v>
      </c>
      <c r="C284" s="625">
        <v>129</v>
      </c>
      <c r="D284" s="494" t="s">
        <v>1054</v>
      </c>
      <c r="E284" s="627">
        <v>9504612</v>
      </c>
      <c r="F284" s="627">
        <v>29441</v>
      </c>
      <c r="G284" s="494" t="s">
        <v>1058</v>
      </c>
      <c r="S284" s="629">
        <f t="shared" si="8"/>
        <v>0.54166666666666663</v>
      </c>
      <c r="T284" s="629">
        <f t="shared" si="9"/>
        <v>0.5625</v>
      </c>
      <c r="U284" s="494" t="s">
        <v>916</v>
      </c>
      <c r="V284" s="620" t="str">
        <f>Combined_tables[[#This Row],[TimeSlot_Start_text]]</f>
        <v>1300</v>
      </c>
      <c r="W284" s="621"/>
      <c r="X284" s="621"/>
      <c r="Y284" s="621" t="s">
        <v>380</v>
      </c>
      <c r="Z284" s="621"/>
      <c r="AA284" s="621" t="s">
        <v>709</v>
      </c>
      <c r="AB284" s="494" t="s">
        <v>1071</v>
      </c>
      <c r="AC284" s="494" t="s">
        <v>1045</v>
      </c>
      <c r="AD284" s="625" t="s">
        <v>1046</v>
      </c>
      <c r="AE284" s="627">
        <v>29429</v>
      </c>
      <c r="AF284" s="623" t="s">
        <v>1048</v>
      </c>
      <c r="AG284" s="627">
        <v>7085430566</v>
      </c>
      <c r="AH284" s="494" t="s">
        <v>1050</v>
      </c>
      <c r="AI284" s="625" t="s">
        <v>1051</v>
      </c>
      <c r="AK284" s="623" t="s">
        <v>1052</v>
      </c>
      <c r="AL284" s="627">
        <v>7089283086</v>
      </c>
      <c r="AM284" s="494" t="s">
        <v>786</v>
      </c>
      <c r="AN284" s="625" t="s">
        <v>901</v>
      </c>
      <c r="AO284" s="627">
        <v>22230</v>
      </c>
      <c r="AP284" s="623" t="s">
        <v>882</v>
      </c>
      <c r="AQ284" s="627">
        <v>7089327433</v>
      </c>
    </row>
    <row r="285" spans="1:43" x14ac:dyDescent="0.25">
      <c r="A285" s="625">
        <v>284</v>
      </c>
      <c r="B285" s="494" t="s">
        <v>686</v>
      </c>
      <c r="C285" s="625">
        <v>129</v>
      </c>
      <c r="D285" s="494" t="s">
        <v>1054</v>
      </c>
      <c r="E285" s="627">
        <v>9504612</v>
      </c>
      <c r="F285" s="627">
        <v>29441</v>
      </c>
      <c r="G285" s="494" t="s">
        <v>1058</v>
      </c>
      <c r="S285" s="629">
        <f t="shared" si="8"/>
        <v>0.5625</v>
      </c>
      <c r="T285" s="629">
        <f t="shared" si="9"/>
        <v>0.58333333333333337</v>
      </c>
      <c r="U285" s="494" t="s">
        <v>917</v>
      </c>
      <c r="V285" s="620" t="str">
        <f>Combined_tables[[#This Row],[TimeSlot_Start_text]]</f>
        <v>1330</v>
      </c>
      <c r="W285" s="621"/>
      <c r="X285" s="621"/>
      <c r="Y285" s="621"/>
      <c r="Z285" s="621"/>
      <c r="AA285" s="621" t="s">
        <v>709</v>
      </c>
      <c r="AB285" s="494" t="s">
        <v>1072</v>
      </c>
      <c r="AC285" s="494" t="s">
        <v>1045</v>
      </c>
      <c r="AD285" s="625" t="s">
        <v>1046</v>
      </c>
      <c r="AE285" s="627">
        <v>29429</v>
      </c>
      <c r="AF285" s="623" t="s">
        <v>1048</v>
      </c>
      <c r="AG285" s="627">
        <v>7085430566</v>
      </c>
      <c r="AH285" s="494" t="s">
        <v>1050</v>
      </c>
      <c r="AI285" s="625" t="s">
        <v>1051</v>
      </c>
      <c r="AK285" s="623" t="s">
        <v>1052</v>
      </c>
      <c r="AL285" s="627">
        <v>7089283086</v>
      </c>
      <c r="AM285" s="494" t="s">
        <v>786</v>
      </c>
      <c r="AN285" s="625" t="s">
        <v>901</v>
      </c>
      <c r="AO285" s="627">
        <v>22230</v>
      </c>
      <c r="AP285" s="623" t="s">
        <v>882</v>
      </c>
      <c r="AQ285" s="627">
        <v>7089327433</v>
      </c>
    </row>
    <row r="286" spans="1:43" x14ac:dyDescent="0.25">
      <c r="A286" s="625">
        <v>285</v>
      </c>
      <c r="B286" s="494" t="s">
        <v>686</v>
      </c>
      <c r="C286" s="625">
        <v>129</v>
      </c>
      <c r="D286" s="494" t="s">
        <v>1054</v>
      </c>
      <c r="E286" s="627">
        <v>9504612</v>
      </c>
      <c r="F286" s="627">
        <v>29441</v>
      </c>
      <c r="G286" s="494" t="s">
        <v>1058</v>
      </c>
      <c r="S286" s="629">
        <f t="shared" si="8"/>
        <v>0.58333333333333337</v>
      </c>
      <c r="T286" s="629">
        <f t="shared" si="9"/>
        <v>0.60416666666666674</v>
      </c>
      <c r="U286" s="494" t="s">
        <v>918</v>
      </c>
      <c r="V286" s="620" t="str">
        <f>Combined_tables[[#This Row],[TimeSlot_Start_text]]</f>
        <v>1400</v>
      </c>
      <c r="W286" s="621"/>
      <c r="X286" s="621"/>
      <c r="Y286" s="621"/>
      <c r="Z286" s="621"/>
      <c r="AA286" s="621" t="s">
        <v>709</v>
      </c>
      <c r="AB286" s="494" t="s">
        <v>1079</v>
      </c>
      <c r="AC286" s="494" t="s">
        <v>1045</v>
      </c>
      <c r="AD286" s="625" t="s">
        <v>1046</v>
      </c>
      <c r="AE286" s="627">
        <v>29429</v>
      </c>
      <c r="AF286" s="623" t="s">
        <v>1048</v>
      </c>
      <c r="AG286" s="627">
        <v>7085430566</v>
      </c>
      <c r="AH286" s="494" t="s">
        <v>1050</v>
      </c>
      <c r="AI286" s="625" t="s">
        <v>1051</v>
      </c>
      <c r="AK286" s="623" t="s">
        <v>1052</v>
      </c>
      <c r="AL286" s="627">
        <v>7089283086</v>
      </c>
      <c r="AM286" s="494" t="s">
        <v>786</v>
      </c>
      <c r="AN286" s="625" t="s">
        <v>901</v>
      </c>
      <c r="AO286" s="627">
        <v>22230</v>
      </c>
      <c r="AP286" s="623" t="s">
        <v>882</v>
      </c>
      <c r="AQ286" s="627">
        <v>7089327433</v>
      </c>
    </row>
    <row r="287" spans="1:43" x14ac:dyDescent="0.25">
      <c r="A287" s="625">
        <v>286</v>
      </c>
      <c r="B287" s="494" t="s">
        <v>686</v>
      </c>
      <c r="C287" s="625">
        <v>129</v>
      </c>
      <c r="D287" s="494" t="s">
        <v>1054</v>
      </c>
      <c r="E287" s="627">
        <v>9504612</v>
      </c>
      <c r="F287" s="627">
        <v>29441</v>
      </c>
      <c r="G287" s="494" t="s">
        <v>1058</v>
      </c>
      <c r="S287" s="629">
        <f t="shared" si="8"/>
        <v>0.60416666666666663</v>
      </c>
      <c r="T287" s="629">
        <f t="shared" si="9"/>
        <v>0.625</v>
      </c>
      <c r="U287" s="494" t="s">
        <v>919</v>
      </c>
      <c r="V287" s="620" t="str">
        <f>Combined_tables[[#This Row],[TimeSlot_Start_text]]</f>
        <v>1430</v>
      </c>
      <c r="W287" s="621"/>
      <c r="X287" s="621"/>
      <c r="Y287" s="621"/>
      <c r="Z287" s="621"/>
      <c r="AA287" s="621" t="s">
        <v>709</v>
      </c>
      <c r="AB287" s="494" t="s">
        <v>1080</v>
      </c>
      <c r="AC287" s="494" t="s">
        <v>1045</v>
      </c>
      <c r="AD287" s="625" t="s">
        <v>1046</v>
      </c>
      <c r="AE287" s="627">
        <v>29429</v>
      </c>
      <c r="AF287" s="623" t="s">
        <v>1048</v>
      </c>
      <c r="AG287" s="627">
        <v>7085430566</v>
      </c>
      <c r="AH287" s="494" t="s">
        <v>1050</v>
      </c>
      <c r="AI287" s="625" t="s">
        <v>1051</v>
      </c>
      <c r="AK287" s="623" t="s">
        <v>1052</v>
      </c>
      <c r="AL287" s="627">
        <v>7089283086</v>
      </c>
      <c r="AM287" s="494" t="s">
        <v>786</v>
      </c>
      <c r="AN287" s="625" t="s">
        <v>901</v>
      </c>
      <c r="AO287" s="627">
        <v>22230</v>
      </c>
      <c r="AP287" s="623" t="s">
        <v>882</v>
      </c>
      <c r="AQ287" s="627">
        <v>7089327433</v>
      </c>
    </row>
    <row r="288" spans="1:43" x14ac:dyDescent="0.25">
      <c r="A288" s="625">
        <v>287</v>
      </c>
      <c r="B288" s="494" t="s">
        <v>686</v>
      </c>
      <c r="C288" s="625">
        <v>129</v>
      </c>
      <c r="D288" s="494" t="s">
        <v>1054</v>
      </c>
      <c r="E288" s="627">
        <v>9504612</v>
      </c>
      <c r="F288" s="627">
        <v>29441</v>
      </c>
      <c r="G288" s="494" t="s">
        <v>1058</v>
      </c>
      <c r="S288" s="629">
        <f t="shared" si="8"/>
        <v>0.625</v>
      </c>
      <c r="T288" s="629">
        <f t="shared" si="9"/>
        <v>0.64583333333333337</v>
      </c>
      <c r="U288" s="494" t="s">
        <v>920</v>
      </c>
      <c r="V288" s="620" t="str">
        <f>Combined_tables[[#This Row],[TimeSlot_Start_text]]</f>
        <v>1500</v>
      </c>
      <c r="W288" s="621"/>
      <c r="X288" s="621"/>
      <c r="Y288" s="621" t="s">
        <v>713</v>
      </c>
      <c r="Z288" s="621"/>
      <c r="AA288" s="621" t="s">
        <v>709</v>
      </c>
      <c r="AB288" s="494" t="s">
        <v>1081</v>
      </c>
      <c r="AC288" s="494" t="s">
        <v>1045</v>
      </c>
      <c r="AD288" s="625" t="s">
        <v>1046</v>
      </c>
      <c r="AE288" s="627">
        <v>29429</v>
      </c>
      <c r="AF288" s="623" t="s">
        <v>1048</v>
      </c>
      <c r="AG288" s="627">
        <v>7085430566</v>
      </c>
      <c r="AH288" s="494" t="s">
        <v>1050</v>
      </c>
      <c r="AI288" s="625" t="s">
        <v>1051</v>
      </c>
      <c r="AK288" s="623" t="s">
        <v>1052</v>
      </c>
      <c r="AL288" s="627">
        <v>7089283086</v>
      </c>
      <c r="AM288" s="494" t="s">
        <v>786</v>
      </c>
      <c r="AN288" s="625" t="s">
        <v>901</v>
      </c>
      <c r="AO288" s="627">
        <v>22230</v>
      </c>
      <c r="AP288" s="623" t="s">
        <v>882</v>
      </c>
      <c r="AQ288" s="627">
        <v>7089327433</v>
      </c>
    </row>
    <row r="289" spans="1:43" x14ac:dyDescent="0.25">
      <c r="A289" s="625">
        <v>288</v>
      </c>
      <c r="B289" s="494" t="s">
        <v>686</v>
      </c>
      <c r="C289" s="625">
        <v>129</v>
      </c>
      <c r="D289" s="494" t="s">
        <v>1054</v>
      </c>
      <c r="E289" s="627">
        <v>9504612</v>
      </c>
      <c r="F289" s="627">
        <v>29441</v>
      </c>
      <c r="G289" s="494" t="s">
        <v>1058</v>
      </c>
      <c r="S289" s="629">
        <f t="shared" si="8"/>
        <v>0.64583333333333337</v>
      </c>
      <c r="T289" s="629">
        <f t="shared" si="9"/>
        <v>0.66666666666666674</v>
      </c>
      <c r="U289" s="494" t="s">
        <v>921</v>
      </c>
      <c r="V289" s="620" t="str">
        <f>Combined_tables[[#This Row],[TimeSlot_Start_text]]</f>
        <v>1530</v>
      </c>
      <c r="W289" s="621"/>
      <c r="X289" s="621"/>
      <c r="Y289" s="621" t="s">
        <v>713</v>
      </c>
      <c r="Z289" s="621"/>
      <c r="AA289" s="621"/>
      <c r="AB289" s="494" t="s">
        <v>1082</v>
      </c>
      <c r="AC289" s="494" t="s">
        <v>1045</v>
      </c>
      <c r="AD289" s="625" t="s">
        <v>1046</v>
      </c>
      <c r="AE289" s="627">
        <v>29429</v>
      </c>
      <c r="AF289" s="623" t="s">
        <v>1048</v>
      </c>
      <c r="AG289" s="627">
        <v>7085430566</v>
      </c>
      <c r="AH289" s="494" t="s">
        <v>1050</v>
      </c>
      <c r="AI289" s="625" t="s">
        <v>1051</v>
      </c>
      <c r="AK289" s="623" t="s">
        <v>1052</v>
      </c>
      <c r="AL289" s="627">
        <v>7089283086</v>
      </c>
      <c r="AM289" s="494" t="s">
        <v>786</v>
      </c>
      <c r="AN289" s="625" t="s">
        <v>901</v>
      </c>
      <c r="AO289" s="627">
        <v>22230</v>
      </c>
      <c r="AP289" s="623" t="s">
        <v>882</v>
      </c>
      <c r="AQ289" s="627">
        <v>7089327433</v>
      </c>
    </row>
    <row r="290" spans="1:43" ht="15" customHeight="1" x14ac:dyDescent="0.25">
      <c r="A290" s="625">
        <v>289</v>
      </c>
      <c r="B290" s="494" t="s">
        <v>686</v>
      </c>
      <c r="C290" s="625">
        <v>130</v>
      </c>
      <c r="D290" s="494" t="s">
        <v>1040</v>
      </c>
      <c r="E290" s="627">
        <v>9504584</v>
      </c>
      <c r="F290" s="627">
        <v>29442</v>
      </c>
      <c r="G290" s="494" t="s">
        <v>1044</v>
      </c>
      <c r="S290" s="629">
        <f t="shared" si="8"/>
        <v>0.33333333333333331</v>
      </c>
      <c r="T290" s="629">
        <f t="shared" si="9"/>
        <v>0.35416666666666663</v>
      </c>
      <c r="U290" s="494" t="s">
        <v>906</v>
      </c>
      <c r="V290" s="620" t="str">
        <f>Combined_tables[[#This Row],[TimeSlot_Start_text]]</f>
        <v>0800</v>
      </c>
      <c r="W290" s="621"/>
      <c r="X290" s="621"/>
      <c r="Y290" s="621"/>
      <c r="Z290" s="621" t="s">
        <v>380</v>
      </c>
      <c r="AA290" s="621"/>
      <c r="AB290" s="494" t="s">
        <v>1083</v>
      </c>
      <c r="AC290" s="494" t="s">
        <v>1045</v>
      </c>
      <c r="AD290" s="625" t="s">
        <v>1046</v>
      </c>
      <c r="AE290" s="627">
        <v>29429</v>
      </c>
      <c r="AF290" s="623" t="s">
        <v>1048</v>
      </c>
      <c r="AG290" s="627">
        <v>7085430566</v>
      </c>
      <c r="AH290" s="494" t="s">
        <v>1050</v>
      </c>
      <c r="AI290" s="625" t="s">
        <v>1051</v>
      </c>
      <c r="AK290" s="623" t="s">
        <v>1052</v>
      </c>
      <c r="AL290" s="627">
        <v>7089283086</v>
      </c>
      <c r="AM290" s="494" t="s">
        <v>786</v>
      </c>
      <c r="AN290" s="625" t="s">
        <v>901</v>
      </c>
      <c r="AO290" s="627">
        <v>22230</v>
      </c>
      <c r="AP290" s="623" t="s">
        <v>882</v>
      </c>
      <c r="AQ290" s="627">
        <v>7089327433</v>
      </c>
    </row>
    <row r="291" spans="1:43" ht="15" customHeight="1" x14ac:dyDescent="0.25">
      <c r="A291" s="625">
        <v>290</v>
      </c>
      <c r="B291" s="494" t="s">
        <v>686</v>
      </c>
      <c r="C291" s="625">
        <v>130</v>
      </c>
      <c r="D291" s="494" t="s">
        <v>1040</v>
      </c>
      <c r="E291" s="627">
        <v>9504584</v>
      </c>
      <c r="F291" s="627">
        <v>29442</v>
      </c>
      <c r="G291" s="494" t="s">
        <v>1044</v>
      </c>
      <c r="S291" s="629">
        <f t="shared" si="8"/>
        <v>0.35416666666666669</v>
      </c>
      <c r="T291" s="629">
        <f t="shared" si="9"/>
        <v>0.375</v>
      </c>
      <c r="U291" s="494" t="s">
        <v>907</v>
      </c>
      <c r="V291" s="620" t="str">
        <f>Combined_tables[[#This Row],[TimeSlot_Start_text]]</f>
        <v>0830</v>
      </c>
      <c r="W291" s="621"/>
      <c r="X291" s="621"/>
      <c r="Y291" s="621"/>
      <c r="Z291" s="621"/>
      <c r="AA291" s="621"/>
      <c r="AB291" s="494" t="s">
        <v>1084</v>
      </c>
      <c r="AC291" s="494" t="s">
        <v>1045</v>
      </c>
      <c r="AD291" s="625" t="s">
        <v>1046</v>
      </c>
      <c r="AE291" s="627">
        <v>29429</v>
      </c>
      <c r="AF291" s="623" t="s">
        <v>1048</v>
      </c>
      <c r="AG291" s="627">
        <v>7085430566</v>
      </c>
      <c r="AH291" s="494" t="s">
        <v>1050</v>
      </c>
      <c r="AI291" s="625" t="s">
        <v>1051</v>
      </c>
      <c r="AK291" s="623" t="s">
        <v>1052</v>
      </c>
      <c r="AL291" s="627">
        <v>7089283086</v>
      </c>
      <c r="AM291" s="494" t="s">
        <v>786</v>
      </c>
      <c r="AN291" s="625" t="s">
        <v>901</v>
      </c>
      <c r="AO291" s="627">
        <v>22230</v>
      </c>
      <c r="AP291" s="623" t="s">
        <v>882</v>
      </c>
      <c r="AQ291" s="627">
        <v>7089327433</v>
      </c>
    </row>
    <row r="292" spans="1:43" ht="15" customHeight="1" x14ac:dyDescent="0.25">
      <c r="A292" s="625">
        <v>291</v>
      </c>
      <c r="B292" s="494" t="s">
        <v>686</v>
      </c>
      <c r="C292" s="625">
        <v>130</v>
      </c>
      <c r="D292" s="494" t="s">
        <v>1040</v>
      </c>
      <c r="E292" s="627">
        <v>9504584</v>
      </c>
      <c r="F292" s="627">
        <v>29442</v>
      </c>
      <c r="G292" s="494" t="s">
        <v>1044</v>
      </c>
      <c r="S292" s="629">
        <f t="shared" si="8"/>
        <v>0.375</v>
      </c>
      <c r="T292" s="629">
        <f t="shared" si="9"/>
        <v>0.39583333333333331</v>
      </c>
      <c r="U292" s="494" t="s">
        <v>908</v>
      </c>
      <c r="V292" s="620" t="str">
        <f>Combined_tables[[#This Row],[TimeSlot_Start_text]]</f>
        <v>0900</v>
      </c>
      <c r="W292" s="621"/>
      <c r="X292" s="621"/>
      <c r="Y292" s="621" t="s">
        <v>707</v>
      </c>
      <c r="Z292" s="621"/>
      <c r="AA292" s="621"/>
      <c r="AB292" s="494" t="s">
        <v>1085</v>
      </c>
      <c r="AC292" s="494" t="s">
        <v>1045</v>
      </c>
      <c r="AD292" s="625" t="s">
        <v>1046</v>
      </c>
      <c r="AE292" s="627">
        <v>29429</v>
      </c>
      <c r="AF292" s="623" t="s">
        <v>1048</v>
      </c>
      <c r="AG292" s="627">
        <v>7085430566</v>
      </c>
      <c r="AH292" s="494" t="s">
        <v>1050</v>
      </c>
      <c r="AI292" s="625" t="s">
        <v>1051</v>
      </c>
      <c r="AK292" s="623" t="s">
        <v>1052</v>
      </c>
      <c r="AL292" s="627">
        <v>7089283086</v>
      </c>
      <c r="AM292" s="494" t="s">
        <v>786</v>
      </c>
      <c r="AN292" s="625" t="s">
        <v>901</v>
      </c>
      <c r="AO292" s="627">
        <v>22230</v>
      </c>
      <c r="AP292" s="623" t="s">
        <v>882</v>
      </c>
      <c r="AQ292" s="627">
        <v>7089327433</v>
      </c>
    </row>
    <row r="293" spans="1:43" ht="15" customHeight="1" x14ac:dyDescent="0.25">
      <c r="A293" s="625">
        <v>292</v>
      </c>
      <c r="B293" s="494" t="s">
        <v>686</v>
      </c>
      <c r="C293" s="625">
        <v>130</v>
      </c>
      <c r="D293" s="494" t="s">
        <v>1040</v>
      </c>
      <c r="E293" s="627">
        <v>9504584</v>
      </c>
      <c r="F293" s="627">
        <v>29442</v>
      </c>
      <c r="G293" s="494" t="s">
        <v>1044</v>
      </c>
      <c r="S293" s="629">
        <f t="shared" si="8"/>
        <v>0.39583333333333331</v>
      </c>
      <c r="T293" s="629">
        <f t="shared" si="9"/>
        <v>0.41666666666666663</v>
      </c>
      <c r="U293" s="494" t="s">
        <v>909</v>
      </c>
      <c r="V293" s="620" t="str">
        <f>Combined_tables[[#This Row],[TimeSlot_Start_text]]</f>
        <v>0930</v>
      </c>
      <c r="W293" s="621"/>
      <c r="X293" s="621"/>
      <c r="Y293" s="621" t="s">
        <v>707</v>
      </c>
      <c r="Z293" s="621"/>
      <c r="AA293" s="621"/>
      <c r="AB293" s="494" t="s">
        <v>1086</v>
      </c>
      <c r="AC293" s="494" t="s">
        <v>1045</v>
      </c>
      <c r="AD293" s="625" t="s">
        <v>1046</v>
      </c>
      <c r="AE293" s="627">
        <v>29429</v>
      </c>
      <c r="AF293" s="623" t="s">
        <v>1048</v>
      </c>
      <c r="AG293" s="627">
        <v>7085430566</v>
      </c>
      <c r="AH293" s="494" t="s">
        <v>1050</v>
      </c>
      <c r="AI293" s="625" t="s">
        <v>1051</v>
      </c>
      <c r="AK293" s="623" t="s">
        <v>1052</v>
      </c>
      <c r="AL293" s="627">
        <v>7089283086</v>
      </c>
      <c r="AM293" s="494" t="s">
        <v>786</v>
      </c>
      <c r="AN293" s="625" t="s">
        <v>901</v>
      </c>
      <c r="AO293" s="627">
        <v>22230</v>
      </c>
      <c r="AP293" s="623" t="s">
        <v>882</v>
      </c>
      <c r="AQ293" s="627">
        <v>7089327433</v>
      </c>
    </row>
    <row r="294" spans="1:43" x14ac:dyDescent="0.25">
      <c r="A294" s="625">
        <v>293</v>
      </c>
      <c r="B294" s="494" t="s">
        <v>686</v>
      </c>
      <c r="C294" s="625">
        <v>130</v>
      </c>
      <c r="D294" s="494" t="s">
        <v>1040</v>
      </c>
      <c r="E294" s="627">
        <v>9504584</v>
      </c>
      <c r="F294" s="627">
        <v>29442</v>
      </c>
      <c r="G294" s="494" t="s">
        <v>1044</v>
      </c>
      <c r="S294" s="629">
        <f t="shared" si="8"/>
        <v>0.41666666666666669</v>
      </c>
      <c r="T294" s="629">
        <f t="shared" si="9"/>
        <v>0.4375</v>
      </c>
      <c r="U294" s="494" t="s">
        <v>910</v>
      </c>
      <c r="V294" s="620" t="str">
        <f>Combined_tables[[#This Row],[TimeSlot_Start_text]]</f>
        <v>1000</v>
      </c>
      <c r="W294" s="621"/>
      <c r="X294" s="621"/>
      <c r="Y294" s="621" t="s">
        <v>707</v>
      </c>
      <c r="Z294" s="621"/>
      <c r="AA294" s="621"/>
      <c r="AB294" s="494" t="s">
        <v>1073</v>
      </c>
      <c r="AC294" s="494" t="s">
        <v>1045</v>
      </c>
      <c r="AD294" s="625" t="s">
        <v>1046</v>
      </c>
      <c r="AE294" s="627">
        <v>29429</v>
      </c>
      <c r="AF294" s="623" t="s">
        <v>1048</v>
      </c>
      <c r="AG294" s="627">
        <v>7085430566</v>
      </c>
      <c r="AH294" s="494" t="s">
        <v>1050</v>
      </c>
      <c r="AI294" s="625" t="s">
        <v>1051</v>
      </c>
      <c r="AK294" s="623" t="s">
        <v>1052</v>
      </c>
      <c r="AL294" s="627">
        <v>7089283086</v>
      </c>
      <c r="AM294" s="494" t="s">
        <v>786</v>
      </c>
      <c r="AN294" s="625" t="s">
        <v>901</v>
      </c>
      <c r="AO294" s="627">
        <v>22230</v>
      </c>
      <c r="AP294" s="623" t="s">
        <v>882</v>
      </c>
      <c r="AQ294" s="627">
        <v>7089327433</v>
      </c>
    </row>
    <row r="295" spans="1:43" x14ac:dyDescent="0.25">
      <c r="A295" s="625">
        <v>294</v>
      </c>
      <c r="B295" s="494" t="s">
        <v>686</v>
      </c>
      <c r="C295" s="625">
        <v>130</v>
      </c>
      <c r="D295" s="494" t="s">
        <v>1040</v>
      </c>
      <c r="E295" s="627">
        <v>9504584</v>
      </c>
      <c r="F295" s="627">
        <v>29442</v>
      </c>
      <c r="G295" s="494" t="s">
        <v>1044</v>
      </c>
      <c r="S295" s="629">
        <f t="shared" si="8"/>
        <v>0.4375</v>
      </c>
      <c r="T295" s="629">
        <f t="shared" si="9"/>
        <v>0.45833333333333331</v>
      </c>
      <c r="U295" s="494" t="s">
        <v>911</v>
      </c>
      <c r="V295" s="620" t="str">
        <f>Combined_tables[[#This Row],[TimeSlot_Start_text]]</f>
        <v>1030</v>
      </c>
      <c r="W295" s="621"/>
      <c r="X295" s="621"/>
      <c r="Y295" s="621" t="s">
        <v>707</v>
      </c>
      <c r="Z295" s="621"/>
      <c r="AA295" s="621"/>
      <c r="AB295" s="494" t="s">
        <v>1074</v>
      </c>
      <c r="AC295" s="494" t="s">
        <v>1045</v>
      </c>
      <c r="AD295" s="625" t="s">
        <v>1046</v>
      </c>
      <c r="AE295" s="627">
        <v>29429</v>
      </c>
      <c r="AF295" s="623" t="s">
        <v>1048</v>
      </c>
      <c r="AG295" s="627">
        <v>7085430566</v>
      </c>
      <c r="AH295" s="494" t="s">
        <v>1050</v>
      </c>
      <c r="AI295" s="625" t="s">
        <v>1051</v>
      </c>
      <c r="AK295" s="623" t="s">
        <v>1052</v>
      </c>
      <c r="AL295" s="627">
        <v>7089283086</v>
      </c>
      <c r="AM295" s="494" t="s">
        <v>786</v>
      </c>
      <c r="AN295" s="625" t="s">
        <v>901</v>
      </c>
      <c r="AO295" s="627">
        <v>22230</v>
      </c>
      <c r="AP295" s="623" t="s">
        <v>882</v>
      </c>
      <c r="AQ295" s="627">
        <v>7089327433</v>
      </c>
    </row>
    <row r="296" spans="1:43" x14ac:dyDescent="0.25">
      <c r="A296" s="625">
        <v>295</v>
      </c>
      <c r="B296" s="494" t="s">
        <v>686</v>
      </c>
      <c r="C296" s="625">
        <v>130</v>
      </c>
      <c r="D296" s="494" t="s">
        <v>1040</v>
      </c>
      <c r="E296" s="627">
        <v>9504584</v>
      </c>
      <c r="F296" s="627">
        <v>29442</v>
      </c>
      <c r="G296" s="494" t="s">
        <v>1044</v>
      </c>
      <c r="S296" s="629">
        <f t="shared" si="8"/>
        <v>0.45833333333333331</v>
      </c>
      <c r="T296" s="629">
        <f t="shared" si="9"/>
        <v>0.47916666666666663</v>
      </c>
      <c r="U296" s="494" t="s">
        <v>912</v>
      </c>
      <c r="V296" s="620" t="str">
        <f>Combined_tables[[#This Row],[TimeSlot_Start_text]]</f>
        <v>1100</v>
      </c>
      <c r="W296" s="621"/>
      <c r="X296" s="621" t="s">
        <v>380</v>
      </c>
      <c r="Y296" s="621"/>
      <c r="Z296" s="621"/>
      <c r="AA296" s="621"/>
      <c r="AB296" s="494" t="s">
        <v>1076</v>
      </c>
      <c r="AC296" s="494" t="s">
        <v>1045</v>
      </c>
      <c r="AD296" s="625" t="s">
        <v>1046</v>
      </c>
      <c r="AE296" s="627">
        <v>29429</v>
      </c>
      <c r="AF296" s="623" t="s">
        <v>1048</v>
      </c>
      <c r="AG296" s="627">
        <v>7085430566</v>
      </c>
      <c r="AH296" s="494" t="s">
        <v>1050</v>
      </c>
      <c r="AI296" s="625" t="s">
        <v>1051</v>
      </c>
      <c r="AK296" s="623" t="s">
        <v>1052</v>
      </c>
      <c r="AL296" s="627">
        <v>7089283086</v>
      </c>
      <c r="AM296" s="494" t="s">
        <v>786</v>
      </c>
      <c r="AN296" s="625" t="s">
        <v>901</v>
      </c>
      <c r="AO296" s="627">
        <v>22230</v>
      </c>
      <c r="AP296" s="623" t="s">
        <v>882</v>
      </c>
      <c r="AQ296" s="627">
        <v>7089327433</v>
      </c>
    </row>
    <row r="297" spans="1:43" x14ac:dyDescent="0.25">
      <c r="A297" s="625">
        <v>296</v>
      </c>
      <c r="B297" s="494" t="s">
        <v>686</v>
      </c>
      <c r="C297" s="625">
        <v>130</v>
      </c>
      <c r="D297" s="494" t="s">
        <v>1040</v>
      </c>
      <c r="E297" s="627">
        <v>9504584</v>
      </c>
      <c r="F297" s="627">
        <v>29442</v>
      </c>
      <c r="G297" s="494" t="s">
        <v>1044</v>
      </c>
      <c r="S297" s="629">
        <f t="shared" si="8"/>
        <v>0.47916666666666669</v>
      </c>
      <c r="T297" s="629">
        <f t="shared" si="9"/>
        <v>0.5</v>
      </c>
      <c r="U297" s="494" t="s">
        <v>913</v>
      </c>
      <c r="V297" s="620" t="str">
        <f>Combined_tables[[#This Row],[TimeSlot_Start_text]]</f>
        <v>1130</v>
      </c>
      <c r="W297" s="621"/>
      <c r="X297" s="621" t="s">
        <v>707</v>
      </c>
      <c r="Y297" s="621"/>
      <c r="Z297" s="621"/>
      <c r="AA297" s="621"/>
      <c r="AB297" s="494" t="s">
        <v>1075</v>
      </c>
      <c r="AC297" s="494" t="s">
        <v>1045</v>
      </c>
      <c r="AD297" s="625" t="s">
        <v>1046</v>
      </c>
      <c r="AE297" s="627">
        <v>29429</v>
      </c>
      <c r="AF297" s="623" t="s">
        <v>1048</v>
      </c>
      <c r="AG297" s="627">
        <v>7085430566</v>
      </c>
      <c r="AH297" s="494" t="s">
        <v>1050</v>
      </c>
      <c r="AI297" s="625" t="s">
        <v>1051</v>
      </c>
      <c r="AK297" s="623" t="s">
        <v>1052</v>
      </c>
      <c r="AL297" s="627">
        <v>7089283086</v>
      </c>
      <c r="AM297" s="494" t="s">
        <v>786</v>
      </c>
      <c r="AN297" s="625" t="s">
        <v>901</v>
      </c>
      <c r="AO297" s="627">
        <v>22230</v>
      </c>
      <c r="AP297" s="623" t="s">
        <v>882</v>
      </c>
      <c r="AQ297" s="627">
        <v>7089327433</v>
      </c>
    </row>
    <row r="298" spans="1:43" ht="15" customHeight="1" x14ac:dyDescent="0.25">
      <c r="A298" s="625">
        <v>297</v>
      </c>
      <c r="B298" s="494" t="s">
        <v>686</v>
      </c>
      <c r="C298" s="625">
        <v>130</v>
      </c>
      <c r="D298" s="494" t="s">
        <v>1040</v>
      </c>
      <c r="E298" s="627">
        <v>9504584</v>
      </c>
      <c r="F298" s="627">
        <v>29442</v>
      </c>
      <c r="G298" s="494" t="s">
        <v>1044</v>
      </c>
      <c r="S298" s="629">
        <f t="shared" si="8"/>
        <v>0.5</v>
      </c>
      <c r="T298" s="629">
        <f t="shared" si="9"/>
        <v>0.52083333333333337</v>
      </c>
      <c r="U298" s="494" t="s">
        <v>914</v>
      </c>
      <c r="V298" s="620" t="str">
        <f>Combined_tables[[#This Row],[TimeSlot_Start_text]]</f>
        <v>1200</v>
      </c>
      <c r="W298" s="621" t="s">
        <v>354</v>
      </c>
      <c r="X298" s="621" t="s">
        <v>354</v>
      </c>
      <c r="Y298" s="621" t="s">
        <v>354</v>
      </c>
      <c r="Z298" s="621" t="s">
        <v>354</v>
      </c>
      <c r="AA298" s="621" t="s">
        <v>354</v>
      </c>
      <c r="AB298" s="494" t="s">
        <v>1077</v>
      </c>
      <c r="AC298" s="494" t="s">
        <v>1045</v>
      </c>
      <c r="AD298" s="625" t="s">
        <v>1046</v>
      </c>
      <c r="AE298" s="627">
        <v>29429</v>
      </c>
      <c r="AF298" s="623" t="s">
        <v>1048</v>
      </c>
      <c r="AG298" s="627">
        <v>7085430566</v>
      </c>
      <c r="AH298" s="494" t="s">
        <v>1050</v>
      </c>
      <c r="AI298" s="625" t="s">
        <v>1051</v>
      </c>
      <c r="AK298" s="623" t="s">
        <v>1052</v>
      </c>
      <c r="AL298" s="627">
        <v>7089283086</v>
      </c>
      <c r="AM298" s="494" t="s">
        <v>786</v>
      </c>
      <c r="AN298" s="625" t="s">
        <v>901</v>
      </c>
      <c r="AO298" s="627">
        <v>22230</v>
      </c>
      <c r="AP298" s="623" t="s">
        <v>882</v>
      </c>
      <c r="AQ298" s="627">
        <v>7089327433</v>
      </c>
    </row>
    <row r="299" spans="1:43" ht="15.75" customHeight="1" x14ac:dyDescent="0.25">
      <c r="A299" s="625">
        <v>298</v>
      </c>
      <c r="B299" s="494" t="s">
        <v>686</v>
      </c>
      <c r="C299" s="625">
        <v>130</v>
      </c>
      <c r="D299" s="494" t="s">
        <v>1040</v>
      </c>
      <c r="E299" s="627">
        <v>9504584</v>
      </c>
      <c r="F299" s="627">
        <v>29442</v>
      </c>
      <c r="G299" s="494" t="s">
        <v>1044</v>
      </c>
      <c r="S299" s="629">
        <f t="shared" si="8"/>
        <v>0.52083333333333337</v>
      </c>
      <c r="T299" s="629">
        <f t="shared" si="9"/>
        <v>0.54166666666666674</v>
      </c>
      <c r="U299" s="494" t="s">
        <v>915</v>
      </c>
      <c r="V299" s="620" t="str">
        <f>Combined_tables[[#This Row],[TimeSlot_Start_text]]</f>
        <v>1230</v>
      </c>
      <c r="W299" s="621" t="s">
        <v>354</v>
      </c>
      <c r="X299" s="621" t="s">
        <v>354</v>
      </c>
      <c r="Y299" s="621" t="s">
        <v>354</v>
      </c>
      <c r="Z299" s="621" t="s">
        <v>354</v>
      </c>
      <c r="AA299" s="621" t="s">
        <v>354</v>
      </c>
      <c r="AB299" s="494" t="s">
        <v>1078</v>
      </c>
      <c r="AC299" s="494" t="s">
        <v>1045</v>
      </c>
      <c r="AD299" s="625" t="s">
        <v>1046</v>
      </c>
      <c r="AE299" s="627">
        <v>29429</v>
      </c>
      <c r="AF299" s="623" t="s">
        <v>1048</v>
      </c>
      <c r="AG299" s="627">
        <v>7085430566</v>
      </c>
      <c r="AH299" s="494" t="s">
        <v>1050</v>
      </c>
      <c r="AI299" s="625" t="s">
        <v>1051</v>
      </c>
      <c r="AK299" s="623" t="s">
        <v>1052</v>
      </c>
      <c r="AL299" s="627">
        <v>7089283086</v>
      </c>
      <c r="AM299" s="494" t="s">
        <v>786</v>
      </c>
      <c r="AN299" s="625" t="s">
        <v>901</v>
      </c>
      <c r="AO299" s="627">
        <v>22230</v>
      </c>
      <c r="AP299" s="623" t="s">
        <v>882</v>
      </c>
      <c r="AQ299" s="627">
        <v>7089327433</v>
      </c>
    </row>
    <row r="300" spans="1:43" x14ac:dyDescent="0.25">
      <c r="A300" s="625">
        <v>299</v>
      </c>
      <c r="B300" s="494" t="s">
        <v>686</v>
      </c>
      <c r="C300" s="625">
        <v>130</v>
      </c>
      <c r="D300" s="494" t="s">
        <v>1040</v>
      </c>
      <c r="E300" s="627">
        <v>9504584</v>
      </c>
      <c r="F300" s="627">
        <v>29442</v>
      </c>
      <c r="G300" s="494" t="s">
        <v>1044</v>
      </c>
      <c r="S300" s="629">
        <f t="shared" si="8"/>
        <v>0.54166666666666663</v>
      </c>
      <c r="T300" s="629">
        <f t="shared" si="9"/>
        <v>0.5625</v>
      </c>
      <c r="U300" s="494" t="s">
        <v>916</v>
      </c>
      <c r="V300" s="620" t="str">
        <f>Combined_tables[[#This Row],[TimeSlot_Start_text]]</f>
        <v>1300</v>
      </c>
      <c r="W300" s="621" t="s">
        <v>380</v>
      </c>
      <c r="X300" s="621" t="s">
        <v>707</v>
      </c>
      <c r="Y300" s="621" t="s">
        <v>707</v>
      </c>
      <c r="Z300" s="621"/>
      <c r="AA300" s="621"/>
      <c r="AB300" s="494" t="s">
        <v>1071</v>
      </c>
      <c r="AC300" s="494" t="s">
        <v>1045</v>
      </c>
      <c r="AD300" s="625" t="s">
        <v>1046</v>
      </c>
      <c r="AE300" s="627">
        <v>29429</v>
      </c>
      <c r="AF300" s="623" t="s">
        <v>1048</v>
      </c>
      <c r="AG300" s="627">
        <v>7085430566</v>
      </c>
      <c r="AH300" s="494" t="s">
        <v>1050</v>
      </c>
      <c r="AI300" s="625" t="s">
        <v>1051</v>
      </c>
      <c r="AK300" s="623" t="s">
        <v>1052</v>
      </c>
      <c r="AL300" s="627">
        <v>7089283086</v>
      </c>
      <c r="AM300" s="494" t="s">
        <v>786</v>
      </c>
      <c r="AN300" s="625" t="s">
        <v>901</v>
      </c>
      <c r="AO300" s="627">
        <v>22230</v>
      </c>
      <c r="AP300" s="623" t="s">
        <v>882</v>
      </c>
      <c r="AQ300" s="627">
        <v>7089327433</v>
      </c>
    </row>
    <row r="301" spans="1:43" x14ac:dyDescent="0.25">
      <c r="A301" s="625">
        <v>300</v>
      </c>
      <c r="B301" s="494" t="s">
        <v>686</v>
      </c>
      <c r="C301" s="625">
        <v>130</v>
      </c>
      <c r="D301" s="494" t="s">
        <v>1040</v>
      </c>
      <c r="E301" s="627">
        <v>9504584</v>
      </c>
      <c r="F301" s="627">
        <v>29442</v>
      </c>
      <c r="G301" s="494" t="s">
        <v>1044</v>
      </c>
      <c r="S301" s="629">
        <f t="shared" si="8"/>
        <v>0.5625</v>
      </c>
      <c r="T301" s="629">
        <f t="shared" si="9"/>
        <v>0.58333333333333337</v>
      </c>
      <c r="U301" s="494" t="s">
        <v>917</v>
      </c>
      <c r="V301" s="620" t="str">
        <f>Combined_tables[[#This Row],[TimeSlot_Start_text]]</f>
        <v>1330</v>
      </c>
      <c r="W301" s="621" t="s">
        <v>380</v>
      </c>
      <c r="X301" s="621" t="s">
        <v>707</v>
      </c>
      <c r="Y301" s="621" t="s">
        <v>707</v>
      </c>
      <c r="Z301" s="621"/>
      <c r="AA301" s="621" t="s">
        <v>707</v>
      </c>
      <c r="AB301" s="494" t="s">
        <v>1072</v>
      </c>
      <c r="AC301" s="494" t="s">
        <v>1045</v>
      </c>
      <c r="AD301" s="625" t="s">
        <v>1046</v>
      </c>
      <c r="AE301" s="627">
        <v>29429</v>
      </c>
      <c r="AF301" s="623" t="s">
        <v>1048</v>
      </c>
      <c r="AG301" s="627">
        <v>7085430566</v>
      </c>
      <c r="AH301" s="494" t="s">
        <v>1050</v>
      </c>
      <c r="AI301" s="625" t="s">
        <v>1051</v>
      </c>
      <c r="AK301" s="623" t="s">
        <v>1052</v>
      </c>
      <c r="AL301" s="627">
        <v>7089283086</v>
      </c>
      <c r="AM301" s="494" t="s">
        <v>786</v>
      </c>
      <c r="AN301" s="625" t="s">
        <v>901</v>
      </c>
      <c r="AO301" s="627">
        <v>22230</v>
      </c>
      <c r="AP301" s="623" t="s">
        <v>882</v>
      </c>
      <c r="AQ301" s="627">
        <v>7089327433</v>
      </c>
    </row>
    <row r="302" spans="1:43" x14ac:dyDescent="0.25">
      <c r="A302" s="625">
        <v>301</v>
      </c>
      <c r="B302" s="494" t="s">
        <v>686</v>
      </c>
      <c r="C302" s="625">
        <v>130</v>
      </c>
      <c r="D302" s="494" t="s">
        <v>1040</v>
      </c>
      <c r="E302" s="627">
        <v>9504584</v>
      </c>
      <c r="F302" s="627">
        <v>29442</v>
      </c>
      <c r="G302" s="494" t="s">
        <v>1044</v>
      </c>
      <c r="S302" s="629">
        <f t="shared" si="8"/>
        <v>0.58333333333333337</v>
      </c>
      <c r="T302" s="629">
        <f t="shared" si="9"/>
        <v>0.60416666666666674</v>
      </c>
      <c r="U302" s="494" t="s">
        <v>918</v>
      </c>
      <c r="V302" s="620" t="str">
        <f>Combined_tables[[#This Row],[TimeSlot_Start_text]]</f>
        <v>1400</v>
      </c>
      <c r="W302" s="621" t="s">
        <v>380</v>
      </c>
      <c r="X302" s="621" t="s">
        <v>707</v>
      </c>
      <c r="Y302" s="621" t="s">
        <v>707</v>
      </c>
      <c r="Z302" s="621"/>
      <c r="AA302" s="621" t="s">
        <v>707</v>
      </c>
      <c r="AB302" s="494" t="s">
        <v>1079</v>
      </c>
      <c r="AC302" s="494" t="s">
        <v>1045</v>
      </c>
      <c r="AD302" s="625" t="s">
        <v>1046</v>
      </c>
      <c r="AE302" s="627">
        <v>29429</v>
      </c>
      <c r="AF302" s="623" t="s">
        <v>1048</v>
      </c>
      <c r="AG302" s="627">
        <v>7085430566</v>
      </c>
      <c r="AH302" s="494" t="s">
        <v>1050</v>
      </c>
      <c r="AI302" s="625" t="s">
        <v>1051</v>
      </c>
      <c r="AK302" s="623" t="s">
        <v>1052</v>
      </c>
      <c r="AL302" s="627">
        <v>7089283086</v>
      </c>
      <c r="AM302" s="494" t="s">
        <v>786</v>
      </c>
      <c r="AN302" s="625" t="s">
        <v>901</v>
      </c>
      <c r="AO302" s="627">
        <v>22230</v>
      </c>
      <c r="AP302" s="623" t="s">
        <v>882</v>
      </c>
      <c r="AQ302" s="627">
        <v>7089327433</v>
      </c>
    </row>
    <row r="303" spans="1:43" x14ac:dyDescent="0.25">
      <c r="A303" s="625">
        <v>302</v>
      </c>
      <c r="B303" s="494" t="s">
        <v>686</v>
      </c>
      <c r="C303" s="625">
        <v>130</v>
      </c>
      <c r="D303" s="494" t="s">
        <v>1040</v>
      </c>
      <c r="E303" s="627">
        <v>9504584</v>
      </c>
      <c r="F303" s="627">
        <v>29442</v>
      </c>
      <c r="G303" s="494" t="s">
        <v>1044</v>
      </c>
      <c r="S303" s="629">
        <f t="shared" si="8"/>
        <v>0.60416666666666663</v>
      </c>
      <c r="T303" s="629">
        <f t="shared" si="9"/>
        <v>0.625</v>
      </c>
      <c r="U303" s="494" t="s">
        <v>919</v>
      </c>
      <c r="V303" s="620" t="str">
        <f>Combined_tables[[#This Row],[TimeSlot_Start_text]]</f>
        <v>1430</v>
      </c>
      <c r="W303" s="621" t="s">
        <v>380</v>
      </c>
      <c r="X303" s="621" t="s">
        <v>707</v>
      </c>
      <c r="Y303" s="621" t="s">
        <v>707</v>
      </c>
      <c r="Z303" s="621"/>
      <c r="AA303" s="621" t="s">
        <v>707</v>
      </c>
      <c r="AB303" s="494" t="s">
        <v>1080</v>
      </c>
      <c r="AC303" s="494" t="s">
        <v>1045</v>
      </c>
      <c r="AD303" s="625" t="s">
        <v>1046</v>
      </c>
      <c r="AE303" s="627">
        <v>29429</v>
      </c>
      <c r="AF303" s="623" t="s">
        <v>1048</v>
      </c>
      <c r="AG303" s="627">
        <v>7085430566</v>
      </c>
      <c r="AH303" s="494" t="s">
        <v>1050</v>
      </c>
      <c r="AI303" s="625" t="s">
        <v>1051</v>
      </c>
      <c r="AK303" s="623" t="s">
        <v>1052</v>
      </c>
      <c r="AL303" s="627">
        <v>7089283086</v>
      </c>
      <c r="AM303" s="494" t="s">
        <v>786</v>
      </c>
      <c r="AN303" s="625" t="s">
        <v>901</v>
      </c>
      <c r="AO303" s="627">
        <v>22230</v>
      </c>
      <c r="AP303" s="623" t="s">
        <v>882</v>
      </c>
      <c r="AQ303" s="627">
        <v>7089327433</v>
      </c>
    </row>
    <row r="304" spans="1:43" x14ac:dyDescent="0.25">
      <c r="A304" s="625">
        <v>303</v>
      </c>
      <c r="B304" s="494" t="s">
        <v>686</v>
      </c>
      <c r="C304" s="625">
        <v>130</v>
      </c>
      <c r="D304" s="494" t="s">
        <v>1040</v>
      </c>
      <c r="E304" s="627">
        <v>9504584</v>
      </c>
      <c r="F304" s="627">
        <v>29442</v>
      </c>
      <c r="G304" s="494" t="s">
        <v>1044</v>
      </c>
      <c r="S304" s="629">
        <f t="shared" si="8"/>
        <v>0.625</v>
      </c>
      <c r="T304" s="629">
        <f t="shared" si="9"/>
        <v>0.64583333333333337</v>
      </c>
      <c r="U304" s="494" t="s">
        <v>920</v>
      </c>
      <c r="V304" s="620" t="str">
        <f>Combined_tables[[#This Row],[TimeSlot_Start_text]]</f>
        <v>1500</v>
      </c>
      <c r="W304" s="621"/>
      <c r="X304" s="621" t="s">
        <v>707</v>
      </c>
      <c r="Y304" s="621" t="s">
        <v>707</v>
      </c>
      <c r="Z304" s="621"/>
      <c r="AA304" s="621" t="s">
        <v>707</v>
      </c>
      <c r="AB304" s="494" t="s">
        <v>1081</v>
      </c>
      <c r="AC304" s="494" t="s">
        <v>1045</v>
      </c>
      <c r="AD304" s="625" t="s">
        <v>1046</v>
      </c>
      <c r="AE304" s="627">
        <v>29429</v>
      </c>
      <c r="AF304" s="623" t="s">
        <v>1048</v>
      </c>
      <c r="AG304" s="627">
        <v>7085430566</v>
      </c>
      <c r="AH304" s="494" t="s">
        <v>1050</v>
      </c>
      <c r="AI304" s="625" t="s">
        <v>1051</v>
      </c>
      <c r="AK304" s="623" t="s">
        <v>1052</v>
      </c>
      <c r="AL304" s="627">
        <v>7089283086</v>
      </c>
      <c r="AM304" s="494" t="s">
        <v>786</v>
      </c>
      <c r="AN304" s="625" t="s">
        <v>901</v>
      </c>
      <c r="AO304" s="627">
        <v>22230</v>
      </c>
      <c r="AP304" s="623" t="s">
        <v>882</v>
      </c>
      <c r="AQ304" s="627">
        <v>7089327433</v>
      </c>
    </row>
    <row r="305" spans="1:43" x14ac:dyDescent="0.25">
      <c r="A305" s="625">
        <v>304</v>
      </c>
      <c r="B305" s="494" t="s">
        <v>686</v>
      </c>
      <c r="C305" s="625">
        <v>130</v>
      </c>
      <c r="D305" s="494" t="s">
        <v>1040</v>
      </c>
      <c r="E305" s="627">
        <v>9504584</v>
      </c>
      <c r="F305" s="627">
        <v>29442</v>
      </c>
      <c r="G305" s="494" t="s">
        <v>1044</v>
      </c>
      <c r="S305" s="629">
        <f t="shared" si="8"/>
        <v>0.64583333333333337</v>
      </c>
      <c r="T305" s="629">
        <f t="shared" si="9"/>
        <v>0.66666666666666674</v>
      </c>
      <c r="U305" s="494" t="s">
        <v>921</v>
      </c>
      <c r="V305" s="620" t="str">
        <f>Combined_tables[[#This Row],[TimeSlot_Start_text]]</f>
        <v>1530</v>
      </c>
      <c r="W305" s="621"/>
      <c r="X305" s="621" t="s">
        <v>707</v>
      </c>
      <c r="Y305" s="621" t="s">
        <v>707</v>
      </c>
      <c r="Z305" s="621"/>
      <c r="AA305" s="621" t="s">
        <v>707</v>
      </c>
      <c r="AB305" s="494" t="s">
        <v>1082</v>
      </c>
      <c r="AC305" s="494" t="s">
        <v>1045</v>
      </c>
      <c r="AD305" s="625" t="s">
        <v>1046</v>
      </c>
      <c r="AE305" s="627">
        <v>29429</v>
      </c>
      <c r="AF305" s="623" t="s">
        <v>1048</v>
      </c>
      <c r="AG305" s="627">
        <v>7085430566</v>
      </c>
      <c r="AH305" s="494" t="s">
        <v>1050</v>
      </c>
      <c r="AI305" s="625" t="s">
        <v>1051</v>
      </c>
      <c r="AK305" s="623" t="s">
        <v>1052</v>
      </c>
      <c r="AL305" s="627">
        <v>7089283086</v>
      </c>
      <c r="AM305" s="494" t="s">
        <v>786</v>
      </c>
      <c r="AN305" s="625" t="s">
        <v>901</v>
      </c>
      <c r="AO305" s="627">
        <v>22230</v>
      </c>
      <c r="AP305" s="623" t="s">
        <v>882</v>
      </c>
      <c r="AQ305" s="627">
        <v>7089327433</v>
      </c>
    </row>
    <row r="306" spans="1:43" ht="15" customHeight="1" x14ac:dyDescent="0.25">
      <c r="A306" s="625">
        <v>305</v>
      </c>
      <c r="B306" s="494" t="s">
        <v>783</v>
      </c>
      <c r="C306" s="625">
        <v>102</v>
      </c>
      <c r="D306" s="494" t="s">
        <v>871</v>
      </c>
      <c r="E306" s="627">
        <v>9504580</v>
      </c>
      <c r="F306" s="627">
        <v>29946</v>
      </c>
      <c r="G306" s="494" t="s">
        <v>887</v>
      </c>
      <c r="S306" s="629">
        <f t="shared" si="8"/>
        <v>0.33333333333333331</v>
      </c>
      <c r="T306" s="629">
        <f t="shared" si="9"/>
        <v>0.35416666666666663</v>
      </c>
      <c r="U306" s="494" t="s">
        <v>906</v>
      </c>
      <c r="V306" s="620" t="str">
        <f>Combined_tables[[#This Row],[TimeSlot_Start_text]]</f>
        <v>0800</v>
      </c>
      <c r="W306" s="621" t="s">
        <v>381</v>
      </c>
      <c r="X306" s="621"/>
      <c r="Y306" s="621"/>
      <c r="Z306" s="621"/>
      <c r="AA306" s="621"/>
      <c r="AB306" s="494" t="s">
        <v>1083</v>
      </c>
      <c r="AC306" s="494" t="s">
        <v>879</v>
      </c>
      <c r="AD306" s="625" t="s">
        <v>895</v>
      </c>
      <c r="AE306" s="627">
        <v>29940</v>
      </c>
      <c r="AF306" s="623" t="s">
        <v>880</v>
      </c>
      <c r="AG306" s="627">
        <v>7082430448</v>
      </c>
      <c r="AH306" s="494" t="s">
        <v>881</v>
      </c>
      <c r="AI306" s="625" t="s">
        <v>894</v>
      </c>
      <c r="AJ306" s="627">
        <v>29941</v>
      </c>
      <c r="AM306" s="494" t="s">
        <v>786</v>
      </c>
      <c r="AN306" s="625" t="s">
        <v>901</v>
      </c>
      <c r="AO306" s="627">
        <v>22230</v>
      </c>
      <c r="AP306" s="623" t="s">
        <v>882</v>
      </c>
      <c r="AQ306" s="627">
        <v>7089327433</v>
      </c>
    </row>
    <row r="307" spans="1:43" ht="15" customHeight="1" x14ac:dyDescent="0.25">
      <c r="A307" s="625">
        <v>306</v>
      </c>
      <c r="B307" s="494" t="s">
        <v>783</v>
      </c>
      <c r="C307" s="625">
        <v>102</v>
      </c>
      <c r="D307" s="494" t="s">
        <v>871</v>
      </c>
      <c r="E307" s="627">
        <v>9504580</v>
      </c>
      <c r="F307" s="627">
        <v>29946</v>
      </c>
      <c r="G307" s="494" t="s">
        <v>887</v>
      </c>
      <c r="S307" s="629">
        <f t="shared" si="8"/>
        <v>0.35416666666666669</v>
      </c>
      <c r="T307" s="629">
        <f t="shared" si="9"/>
        <v>0.375</v>
      </c>
      <c r="U307" s="494" t="s">
        <v>907</v>
      </c>
      <c r="V307" s="620" t="str">
        <f>Combined_tables[[#This Row],[TimeSlot_Start_text]]</f>
        <v>0830</v>
      </c>
      <c r="W307" s="621"/>
      <c r="X307" s="621" t="s">
        <v>807</v>
      </c>
      <c r="Y307" s="621"/>
      <c r="Z307" s="621"/>
      <c r="AA307" s="621"/>
      <c r="AB307" s="494" t="s">
        <v>1084</v>
      </c>
      <c r="AC307" s="494" t="s">
        <v>879</v>
      </c>
      <c r="AD307" s="625" t="s">
        <v>895</v>
      </c>
      <c r="AE307" s="627">
        <v>29940</v>
      </c>
      <c r="AF307" s="623" t="s">
        <v>880</v>
      </c>
      <c r="AG307" s="627">
        <v>7082430448</v>
      </c>
      <c r="AH307" s="494" t="s">
        <v>881</v>
      </c>
      <c r="AI307" s="625" t="s">
        <v>894</v>
      </c>
      <c r="AJ307" s="627">
        <v>29941</v>
      </c>
      <c r="AM307" s="494" t="s">
        <v>786</v>
      </c>
      <c r="AN307" s="625" t="s">
        <v>901</v>
      </c>
      <c r="AO307" s="627">
        <v>22230</v>
      </c>
      <c r="AP307" s="623" t="s">
        <v>882</v>
      </c>
      <c r="AQ307" s="627">
        <v>7089327433</v>
      </c>
    </row>
    <row r="308" spans="1:43" ht="15" customHeight="1" x14ac:dyDescent="0.25">
      <c r="A308" s="625">
        <v>307</v>
      </c>
      <c r="B308" s="494" t="s">
        <v>783</v>
      </c>
      <c r="C308" s="625">
        <v>102</v>
      </c>
      <c r="D308" s="494" t="s">
        <v>871</v>
      </c>
      <c r="E308" s="627">
        <v>9504580</v>
      </c>
      <c r="F308" s="627">
        <v>29946</v>
      </c>
      <c r="G308" s="494" t="s">
        <v>887</v>
      </c>
      <c r="S308" s="629">
        <f t="shared" si="8"/>
        <v>0.375</v>
      </c>
      <c r="T308" s="629">
        <f t="shared" si="9"/>
        <v>0.39583333333333331</v>
      </c>
      <c r="U308" s="494" t="s">
        <v>908</v>
      </c>
      <c r="V308" s="620" t="str">
        <f>Combined_tables[[#This Row],[TimeSlot_Start_text]]</f>
        <v>0900</v>
      </c>
      <c r="W308" s="621"/>
      <c r="X308" s="621" t="s">
        <v>807</v>
      </c>
      <c r="Y308" s="621"/>
      <c r="Z308" s="621"/>
      <c r="AA308" s="621"/>
      <c r="AB308" s="494" t="s">
        <v>1085</v>
      </c>
      <c r="AC308" s="494" t="s">
        <v>879</v>
      </c>
      <c r="AD308" s="625" t="s">
        <v>895</v>
      </c>
      <c r="AE308" s="627">
        <v>29940</v>
      </c>
      <c r="AF308" s="623" t="s">
        <v>880</v>
      </c>
      <c r="AG308" s="627">
        <v>7082430448</v>
      </c>
      <c r="AH308" s="494" t="s">
        <v>881</v>
      </c>
      <c r="AI308" s="625" t="s">
        <v>894</v>
      </c>
      <c r="AJ308" s="627">
        <v>29941</v>
      </c>
      <c r="AM308" s="494" t="s">
        <v>786</v>
      </c>
      <c r="AN308" s="625" t="s">
        <v>901</v>
      </c>
      <c r="AO308" s="627">
        <v>22230</v>
      </c>
      <c r="AP308" s="623" t="s">
        <v>882</v>
      </c>
      <c r="AQ308" s="627">
        <v>7089327433</v>
      </c>
    </row>
    <row r="309" spans="1:43" ht="15" customHeight="1" x14ac:dyDescent="0.25">
      <c r="A309" s="625">
        <v>308</v>
      </c>
      <c r="B309" s="494" t="s">
        <v>783</v>
      </c>
      <c r="C309" s="625">
        <v>102</v>
      </c>
      <c r="D309" s="494" t="s">
        <v>871</v>
      </c>
      <c r="E309" s="627">
        <v>9504580</v>
      </c>
      <c r="F309" s="627">
        <v>29946</v>
      </c>
      <c r="G309" s="494" t="s">
        <v>887</v>
      </c>
      <c r="S309" s="629">
        <f t="shared" si="8"/>
        <v>0.39583333333333331</v>
      </c>
      <c r="T309" s="629">
        <f t="shared" si="9"/>
        <v>0.41666666666666663</v>
      </c>
      <c r="U309" s="494" t="s">
        <v>909</v>
      </c>
      <c r="V309" s="620" t="str">
        <f>Combined_tables[[#This Row],[TimeSlot_Start_text]]</f>
        <v>0930</v>
      </c>
      <c r="W309" s="621" t="s">
        <v>381</v>
      </c>
      <c r="X309" s="621" t="s">
        <v>807</v>
      </c>
      <c r="Y309" s="621"/>
      <c r="Z309" s="621"/>
      <c r="AA309" s="621"/>
      <c r="AB309" s="494" t="s">
        <v>1086</v>
      </c>
      <c r="AC309" s="494" t="s">
        <v>879</v>
      </c>
      <c r="AD309" s="625" t="s">
        <v>895</v>
      </c>
      <c r="AE309" s="627">
        <v>29940</v>
      </c>
      <c r="AF309" s="623" t="s">
        <v>880</v>
      </c>
      <c r="AG309" s="627">
        <v>7082430448</v>
      </c>
      <c r="AH309" s="494" t="s">
        <v>881</v>
      </c>
      <c r="AI309" s="625" t="s">
        <v>894</v>
      </c>
      <c r="AJ309" s="627">
        <v>29941</v>
      </c>
      <c r="AM309" s="494" t="s">
        <v>786</v>
      </c>
      <c r="AN309" s="625" t="s">
        <v>901</v>
      </c>
      <c r="AO309" s="627">
        <v>22230</v>
      </c>
      <c r="AP309" s="623" t="s">
        <v>882</v>
      </c>
      <c r="AQ309" s="627">
        <v>7089327433</v>
      </c>
    </row>
    <row r="310" spans="1:43" x14ac:dyDescent="0.25">
      <c r="A310" s="625">
        <v>309</v>
      </c>
      <c r="B310" s="494" t="s">
        <v>783</v>
      </c>
      <c r="C310" s="625">
        <v>102</v>
      </c>
      <c r="D310" s="494" t="s">
        <v>871</v>
      </c>
      <c r="E310" s="627">
        <v>9504580</v>
      </c>
      <c r="F310" s="627">
        <v>29946</v>
      </c>
      <c r="G310" s="494" t="s">
        <v>887</v>
      </c>
      <c r="S310" s="629">
        <f t="shared" si="8"/>
        <v>0.41666666666666669</v>
      </c>
      <c r="T310" s="629">
        <f t="shared" si="9"/>
        <v>0.4375</v>
      </c>
      <c r="U310" s="494" t="s">
        <v>910</v>
      </c>
      <c r="V310" s="620" t="str">
        <f>Combined_tables[[#This Row],[TimeSlot_Start_text]]</f>
        <v>1000</v>
      </c>
      <c r="W310" s="621"/>
      <c r="X310" s="621"/>
      <c r="Y310" s="621"/>
      <c r="Z310" s="621"/>
      <c r="AA310" s="621"/>
      <c r="AB310" s="494" t="s">
        <v>1073</v>
      </c>
      <c r="AC310" s="494" t="s">
        <v>879</v>
      </c>
      <c r="AD310" s="625" t="s">
        <v>895</v>
      </c>
      <c r="AE310" s="627">
        <v>29940</v>
      </c>
      <c r="AF310" s="623" t="s">
        <v>880</v>
      </c>
      <c r="AG310" s="627">
        <v>7082430448</v>
      </c>
      <c r="AH310" s="494" t="s">
        <v>881</v>
      </c>
      <c r="AI310" s="625" t="s">
        <v>894</v>
      </c>
      <c r="AJ310" s="627">
        <v>29941</v>
      </c>
      <c r="AM310" s="494" t="s">
        <v>786</v>
      </c>
      <c r="AN310" s="625" t="s">
        <v>901</v>
      </c>
      <c r="AO310" s="627">
        <v>22230</v>
      </c>
      <c r="AP310" s="623" t="s">
        <v>882</v>
      </c>
      <c r="AQ310" s="627">
        <v>7089327433</v>
      </c>
    </row>
    <row r="311" spans="1:43" x14ac:dyDescent="0.25">
      <c r="A311" s="625">
        <v>310</v>
      </c>
      <c r="B311" s="494" t="s">
        <v>783</v>
      </c>
      <c r="C311" s="625">
        <v>102</v>
      </c>
      <c r="D311" s="494" t="s">
        <v>871</v>
      </c>
      <c r="E311" s="627">
        <v>9504580</v>
      </c>
      <c r="F311" s="627">
        <v>29946</v>
      </c>
      <c r="G311" s="494" t="s">
        <v>887</v>
      </c>
      <c r="S311" s="629">
        <f t="shared" si="8"/>
        <v>0.4375</v>
      </c>
      <c r="T311" s="629">
        <f t="shared" si="9"/>
        <v>0.45833333333333331</v>
      </c>
      <c r="U311" s="494" t="s">
        <v>911</v>
      </c>
      <c r="V311" s="620" t="str">
        <f>Combined_tables[[#This Row],[TimeSlot_Start_text]]</f>
        <v>1030</v>
      </c>
      <c r="W311" s="621"/>
      <c r="X311" s="621" t="s">
        <v>807</v>
      </c>
      <c r="Y311" s="621"/>
      <c r="Z311" s="621"/>
      <c r="AA311" s="621"/>
      <c r="AB311" s="494" t="s">
        <v>1074</v>
      </c>
      <c r="AC311" s="494" t="s">
        <v>879</v>
      </c>
      <c r="AD311" s="625" t="s">
        <v>895</v>
      </c>
      <c r="AE311" s="627">
        <v>29940</v>
      </c>
      <c r="AF311" s="623" t="s">
        <v>880</v>
      </c>
      <c r="AG311" s="627">
        <v>7082430448</v>
      </c>
      <c r="AH311" s="494" t="s">
        <v>881</v>
      </c>
      <c r="AI311" s="625" t="s">
        <v>894</v>
      </c>
      <c r="AJ311" s="627">
        <v>29941</v>
      </c>
      <c r="AM311" s="494" t="s">
        <v>786</v>
      </c>
      <c r="AN311" s="625" t="s">
        <v>901</v>
      </c>
      <c r="AO311" s="627">
        <v>22230</v>
      </c>
      <c r="AP311" s="623" t="s">
        <v>882</v>
      </c>
      <c r="AQ311" s="627">
        <v>7089327433</v>
      </c>
    </row>
    <row r="312" spans="1:43" x14ac:dyDescent="0.25">
      <c r="A312" s="625">
        <v>311</v>
      </c>
      <c r="B312" s="494" t="s">
        <v>783</v>
      </c>
      <c r="C312" s="625">
        <v>102</v>
      </c>
      <c r="D312" s="494" t="s">
        <v>871</v>
      </c>
      <c r="E312" s="627">
        <v>9504580</v>
      </c>
      <c r="F312" s="627">
        <v>29946</v>
      </c>
      <c r="G312" s="494" t="s">
        <v>887</v>
      </c>
      <c r="S312" s="629">
        <f t="shared" si="8"/>
        <v>0.45833333333333331</v>
      </c>
      <c r="T312" s="629">
        <f t="shared" si="9"/>
        <v>0.47916666666666663</v>
      </c>
      <c r="U312" s="494" t="s">
        <v>912</v>
      </c>
      <c r="V312" s="620" t="str">
        <f>Combined_tables[[#This Row],[TimeSlot_Start_text]]</f>
        <v>1100</v>
      </c>
      <c r="W312" s="621" t="s">
        <v>815</v>
      </c>
      <c r="X312" s="621" t="s">
        <v>807</v>
      </c>
      <c r="Y312" s="621"/>
      <c r="Z312" s="621"/>
      <c r="AA312" s="621"/>
      <c r="AB312" s="494" t="s">
        <v>1076</v>
      </c>
      <c r="AC312" s="494" t="s">
        <v>879</v>
      </c>
      <c r="AD312" s="625" t="s">
        <v>895</v>
      </c>
      <c r="AE312" s="627">
        <v>29940</v>
      </c>
      <c r="AF312" s="623" t="s">
        <v>880</v>
      </c>
      <c r="AG312" s="627">
        <v>7082430448</v>
      </c>
      <c r="AH312" s="494" t="s">
        <v>881</v>
      </c>
      <c r="AI312" s="625" t="s">
        <v>894</v>
      </c>
      <c r="AJ312" s="627">
        <v>29941</v>
      </c>
      <c r="AM312" s="494" t="s">
        <v>786</v>
      </c>
      <c r="AN312" s="625" t="s">
        <v>901</v>
      </c>
      <c r="AO312" s="627">
        <v>22230</v>
      </c>
      <c r="AP312" s="623" t="s">
        <v>882</v>
      </c>
      <c r="AQ312" s="627">
        <v>7089327433</v>
      </c>
    </row>
    <row r="313" spans="1:43" x14ac:dyDescent="0.25">
      <c r="A313" s="625">
        <v>312</v>
      </c>
      <c r="B313" s="494" t="s">
        <v>783</v>
      </c>
      <c r="C313" s="625">
        <v>102</v>
      </c>
      <c r="D313" s="494" t="s">
        <v>871</v>
      </c>
      <c r="E313" s="627">
        <v>9504580</v>
      </c>
      <c r="F313" s="627">
        <v>29946</v>
      </c>
      <c r="G313" s="494" t="s">
        <v>887</v>
      </c>
      <c r="S313" s="629">
        <f t="shared" si="8"/>
        <v>0.47916666666666669</v>
      </c>
      <c r="T313" s="629">
        <f t="shared" si="9"/>
        <v>0.5</v>
      </c>
      <c r="U313" s="494" t="s">
        <v>913</v>
      </c>
      <c r="V313" s="620" t="str">
        <f>Combined_tables[[#This Row],[TimeSlot_Start_text]]</f>
        <v>1130</v>
      </c>
      <c r="W313" s="621" t="s">
        <v>815</v>
      </c>
      <c r="X313" s="621" t="s">
        <v>807</v>
      </c>
      <c r="Y313" s="621"/>
      <c r="Z313" s="621"/>
      <c r="AA313" s="621"/>
      <c r="AB313" s="494" t="s">
        <v>1075</v>
      </c>
      <c r="AC313" s="494" t="s">
        <v>879</v>
      </c>
      <c r="AD313" s="625" t="s">
        <v>895</v>
      </c>
      <c r="AE313" s="627">
        <v>29940</v>
      </c>
      <c r="AF313" s="623" t="s">
        <v>880</v>
      </c>
      <c r="AG313" s="627">
        <v>7082430448</v>
      </c>
      <c r="AH313" s="494" t="s">
        <v>881</v>
      </c>
      <c r="AI313" s="625" t="s">
        <v>894</v>
      </c>
      <c r="AJ313" s="627">
        <v>29941</v>
      </c>
      <c r="AM313" s="494" t="s">
        <v>786</v>
      </c>
      <c r="AN313" s="625" t="s">
        <v>901</v>
      </c>
      <c r="AO313" s="627">
        <v>22230</v>
      </c>
      <c r="AP313" s="623" t="s">
        <v>882</v>
      </c>
      <c r="AQ313" s="627">
        <v>7089327433</v>
      </c>
    </row>
    <row r="314" spans="1:43" ht="15" customHeight="1" x14ac:dyDescent="0.25">
      <c r="A314" s="625">
        <v>313</v>
      </c>
      <c r="B314" s="494" t="s">
        <v>783</v>
      </c>
      <c r="C314" s="625">
        <v>102</v>
      </c>
      <c r="D314" s="494" t="s">
        <v>871</v>
      </c>
      <c r="E314" s="627">
        <v>9504580</v>
      </c>
      <c r="F314" s="627">
        <v>29946</v>
      </c>
      <c r="G314" s="494" t="s">
        <v>887</v>
      </c>
      <c r="S314" s="629">
        <f t="shared" si="8"/>
        <v>0.5</v>
      </c>
      <c r="T314" s="629">
        <f t="shared" si="9"/>
        <v>0.52083333333333337</v>
      </c>
      <c r="U314" s="494" t="s">
        <v>914</v>
      </c>
      <c r="V314" s="620" t="str">
        <f>Combined_tables[[#This Row],[TimeSlot_Start_text]]</f>
        <v>1200</v>
      </c>
      <c r="W314" s="621" t="s">
        <v>354</v>
      </c>
      <c r="X314" s="621" t="s">
        <v>354</v>
      </c>
      <c r="Y314" s="621" t="s">
        <v>354</v>
      </c>
      <c r="Z314" s="621" t="s">
        <v>354</v>
      </c>
      <c r="AA314" s="621" t="s">
        <v>354</v>
      </c>
      <c r="AB314" s="494" t="s">
        <v>1077</v>
      </c>
      <c r="AC314" s="494" t="s">
        <v>879</v>
      </c>
      <c r="AD314" s="625" t="s">
        <v>895</v>
      </c>
      <c r="AE314" s="627">
        <v>29940</v>
      </c>
      <c r="AF314" s="623" t="s">
        <v>880</v>
      </c>
      <c r="AG314" s="627">
        <v>7082430448</v>
      </c>
      <c r="AH314" s="494" t="s">
        <v>881</v>
      </c>
      <c r="AI314" s="625" t="s">
        <v>894</v>
      </c>
      <c r="AJ314" s="627">
        <v>29941</v>
      </c>
      <c r="AM314" s="494" t="s">
        <v>786</v>
      </c>
      <c r="AN314" s="625" t="s">
        <v>901</v>
      </c>
      <c r="AO314" s="627">
        <v>22230</v>
      </c>
      <c r="AP314" s="623" t="s">
        <v>882</v>
      </c>
      <c r="AQ314" s="627">
        <v>7089327433</v>
      </c>
    </row>
    <row r="315" spans="1:43" ht="15.75" customHeight="1" x14ac:dyDescent="0.25">
      <c r="A315" s="625">
        <v>314</v>
      </c>
      <c r="B315" s="494" t="s">
        <v>783</v>
      </c>
      <c r="C315" s="625">
        <v>102</v>
      </c>
      <c r="D315" s="494" t="s">
        <v>871</v>
      </c>
      <c r="E315" s="627">
        <v>9504580</v>
      </c>
      <c r="F315" s="627">
        <v>29946</v>
      </c>
      <c r="G315" s="494" t="s">
        <v>887</v>
      </c>
      <c r="S315" s="629">
        <f t="shared" si="8"/>
        <v>0.52083333333333337</v>
      </c>
      <c r="T315" s="629">
        <f t="shared" si="9"/>
        <v>0.54166666666666674</v>
      </c>
      <c r="U315" s="494" t="s">
        <v>915</v>
      </c>
      <c r="V315" s="620" t="str">
        <f>Combined_tables[[#This Row],[TimeSlot_Start_text]]</f>
        <v>1230</v>
      </c>
      <c r="W315" s="621" t="s">
        <v>354</v>
      </c>
      <c r="X315" s="621" t="s">
        <v>354</v>
      </c>
      <c r="Y315" s="621" t="s">
        <v>354</v>
      </c>
      <c r="Z315" s="621" t="s">
        <v>354</v>
      </c>
      <c r="AA315" s="621" t="s">
        <v>354</v>
      </c>
      <c r="AB315" s="494" t="s">
        <v>1078</v>
      </c>
      <c r="AC315" s="494" t="s">
        <v>879</v>
      </c>
      <c r="AD315" s="625" t="s">
        <v>895</v>
      </c>
      <c r="AE315" s="627">
        <v>29940</v>
      </c>
      <c r="AF315" s="623" t="s">
        <v>880</v>
      </c>
      <c r="AG315" s="627">
        <v>7082430448</v>
      </c>
      <c r="AH315" s="494" t="s">
        <v>881</v>
      </c>
      <c r="AI315" s="625" t="s">
        <v>894</v>
      </c>
      <c r="AJ315" s="627">
        <v>29941</v>
      </c>
      <c r="AM315" s="494" t="s">
        <v>786</v>
      </c>
      <c r="AN315" s="625" t="s">
        <v>901</v>
      </c>
      <c r="AO315" s="627">
        <v>22230</v>
      </c>
      <c r="AP315" s="623" t="s">
        <v>882</v>
      </c>
      <c r="AQ315" s="627">
        <v>7089327433</v>
      </c>
    </row>
    <row r="316" spans="1:43" x14ac:dyDescent="0.25">
      <c r="A316" s="625">
        <v>315</v>
      </c>
      <c r="B316" s="494" t="s">
        <v>783</v>
      </c>
      <c r="C316" s="625">
        <v>102</v>
      </c>
      <c r="D316" s="494" t="s">
        <v>871</v>
      </c>
      <c r="E316" s="627">
        <v>9504580</v>
      </c>
      <c r="F316" s="627">
        <v>29946</v>
      </c>
      <c r="G316" s="494" t="s">
        <v>887</v>
      </c>
      <c r="S316" s="629">
        <f t="shared" si="8"/>
        <v>0.54166666666666663</v>
      </c>
      <c r="T316" s="629">
        <f t="shared" si="9"/>
        <v>0.5625</v>
      </c>
      <c r="U316" s="494" t="s">
        <v>916</v>
      </c>
      <c r="V316" s="620" t="str">
        <f>Combined_tables[[#This Row],[TimeSlot_Start_text]]</f>
        <v>1300</v>
      </c>
      <c r="W316" s="621"/>
      <c r="X316" s="621"/>
      <c r="Y316" s="621"/>
      <c r="Z316" s="621"/>
      <c r="AA316" s="621"/>
      <c r="AB316" s="494" t="s">
        <v>1071</v>
      </c>
      <c r="AC316" s="494" t="s">
        <v>879</v>
      </c>
      <c r="AD316" s="625" t="s">
        <v>895</v>
      </c>
      <c r="AE316" s="627">
        <v>29940</v>
      </c>
      <c r="AF316" s="623" t="s">
        <v>880</v>
      </c>
      <c r="AG316" s="627">
        <v>7082430448</v>
      </c>
      <c r="AH316" s="494" t="s">
        <v>881</v>
      </c>
      <c r="AI316" s="625" t="s">
        <v>894</v>
      </c>
      <c r="AJ316" s="627">
        <v>29941</v>
      </c>
      <c r="AM316" s="494" t="s">
        <v>786</v>
      </c>
      <c r="AN316" s="625" t="s">
        <v>901</v>
      </c>
      <c r="AO316" s="627">
        <v>22230</v>
      </c>
      <c r="AP316" s="623" t="s">
        <v>882</v>
      </c>
      <c r="AQ316" s="627">
        <v>7089327433</v>
      </c>
    </row>
    <row r="317" spans="1:43" x14ac:dyDescent="0.25">
      <c r="A317" s="625">
        <v>316</v>
      </c>
      <c r="B317" s="494" t="s">
        <v>783</v>
      </c>
      <c r="C317" s="625">
        <v>102</v>
      </c>
      <c r="D317" s="494" t="s">
        <v>871</v>
      </c>
      <c r="E317" s="627">
        <v>9504580</v>
      </c>
      <c r="F317" s="627">
        <v>29946</v>
      </c>
      <c r="G317" s="494" t="s">
        <v>887</v>
      </c>
      <c r="S317" s="629">
        <f t="shared" si="8"/>
        <v>0.5625</v>
      </c>
      <c r="T317" s="629">
        <f t="shared" si="9"/>
        <v>0.58333333333333337</v>
      </c>
      <c r="U317" s="494" t="s">
        <v>917</v>
      </c>
      <c r="V317" s="620" t="str">
        <f>Combined_tables[[#This Row],[TimeSlot_Start_text]]</f>
        <v>1330</v>
      </c>
      <c r="W317" s="621"/>
      <c r="X317" s="621" t="s">
        <v>807</v>
      </c>
      <c r="Y317" s="621"/>
      <c r="Z317" s="621"/>
      <c r="AA317" s="621" t="s">
        <v>807</v>
      </c>
      <c r="AB317" s="494" t="s">
        <v>1072</v>
      </c>
      <c r="AC317" s="494" t="s">
        <v>879</v>
      </c>
      <c r="AD317" s="625" t="s">
        <v>895</v>
      </c>
      <c r="AE317" s="627">
        <v>29940</v>
      </c>
      <c r="AF317" s="623" t="s">
        <v>880</v>
      </c>
      <c r="AG317" s="627">
        <v>7082430448</v>
      </c>
      <c r="AH317" s="494" t="s">
        <v>881</v>
      </c>
      <c r="AI317" s="625" t="s">
        <v>894</v>
      </c>
      <c r="AJ317" s="627">
        <v>29941</v>
      </c>
      <c r="AM317" s="494" t="s">
        <v>786</v>
      </c>
      <c r="AN317" s="625" t="s">
        <v>901</v>
      </c>
      <c r="AO317" s="627">
        <v>22230</v>
      </c>
      <c r="AP317" s="623" t="s">
        <v>882</v>
      </c>
      <c r="AQ317" s="627">
        <v>7089327433</v>
      </c>
    </row>
    <row r="318" spans="1:43" x14ac:dyDescent="0.25">
      <c r="A318" s="625">
        <v>317</v>
      </c>
      <c r="B318" s="494" t="s">
        <v>783</v>
      </c>
      <c r="C318" s="625">
        <v>102</v>
      </c>
      <c r="D318" s="494" t="s">
        <v>871</v>
      </c>
      <c r="E318" s="627">
        <v>9504580</v>
      </c>
      <c r="F318" s="627">
        <v>29946</v>
      </c>
      <c r="G318" s="494" t="s">
        <v>887</v>
      </c>
      <c r="S318" s="629">
        <f t="shared" si="8"/>
        <v>0.58333333333333337</v>
      </c>
      <c r="T318" s="629">
        <f t="shared" si="9"/>
        <v>0.60416666666666674</v>
      </c>
      <c r="U318" s="494" t="s">
        <v>918</v>
      </c>
      <c r="V318" s="620" t="str">
        <f>Combined_tables[[#This Row],[TimeSlot_Start_text]]</f>
        <v>1400</v>
      </c>
      <c r="W318" s="621"/>
      <c r="X318" s="621" t="s">
        <v>807</v>
      </c>
      <c r="Y318" s="621"/>
      <c r="Z318" s="621"/>
      <c r="AA318" s="621" t="s">
        <v>807</v>
      </c>
      <c r="AB318" s="494" t="s">
        <v>1079</v>
      </c>
      <c r="AC318" s="494" t="s">
        <v>879</v>
      </c>
      <c r="AD318" s="625" t="s">
        <v>895</v>
      </c>
      <c r="AE318" s="627">
        <v>29940</v>
      </c>
      <c r="AF318" s="623" t="s">
        <v>880</v>
      </c>
      <c r="AG318" s="627">
        <v>7082430448</v>
      </c>
      <c r="AH318" s="494" t="s">
        <v>881</v>
      </c>
      <c r="AI318" s="625" t="s">
        <v>894</v>
      </c>
      <c r="AJ318" s="627">
        <v>29941</v>
      </c>
      <c r="AM318" s="494" t="s">
        <v>786</v>
      </c>
      <c r="AN318" s="625" t="s">
        <v>901</v>
      </c>
      <c r="AO318" s="627">
        <v>22230</v>
      </c>
      <c r="AP318" s="623" t="s">
        <v>882</v>
      </c>
      <c r="AQ318" s="627">
        <v>7089327433</v>
      </c>
    </row>
    <row r="319" spans="1:43" x14ac:dyDescent="0.25">
      <c r="A319" s="625">
        <v>318</v>
      </c>
      <c r="B319" s="494" t="s">
        <v>783</v>
      </c>
      <c r="C319" s="625">
        <v>102</v>
      </c>
      <c r="D319" s="494" t="s">
        <v>871</v>
      </c>
      <c r="E319" s="627">
        <v>9504580</v>
      </c>
      <c r="F319" s="627">
        <v>29946</v>
      </c>
      <c r="G319" s="494" t="s">
        <v>887</v>
      </c>
      <c r="S319" s="629">
        <f t="shared" si="8"/>
        <v>0.60416666666666663</v>
      </c>
      <c r="T319" s="629">
        <f t="shared" si="9"/>
        <v>0.625</v>
      </c>
      <c r="U319" s="494" t="s">
        <v>919</v>
      </c>
      <c r="V319" s="620" t="str">
        <f>Combined_tables[[#This Row],[TimeSlot_Start_text]]</f>
        <v>1430</v>
      </c>
      <c r="W319" s="621"/>
      <c r="X319" s="621" t="s">
        <v>807</v>
      </c>
      <c r="Y319" s="621"/>
      <c r="Z319" s="621"/>
      <c r="AA319" s="621" t="s">
        <v>807</v>
      </c>
      <c r="AB319" s="494" t="s">
        <v>1080</v>
      </c>
      <c r="AC319" s="494" t="s">
        <v>879</v>
      </c>
      <c r="AD319" s="625" t="s">
        <v>895</v>
      </c>
      <c r="AE319" s="627">
        <v>29940</v>
      </c>
      <c r="AF319" s="623" t="s">
        <v>880</v>
      </c>
      <c r="AG319" s="627">
        <v>7082430448</v>
      </c>
      <c r="AH319" s="494" t="s">
        <v>881</v>
      </c>
      <c r="AI319" s="625" t="s">
        <v>894</v>
      </c>
      <c r="AJ319" s="627">
        <v>29941</v>
      </c>
      <c r="AM319" s="494" t="s">
        <v>786</v>
      </c>
      <c r="AN319" s="625" t="s">
        <v>901</v>
      </c>
      <c r="AO319" s="627">
        <v>22230</v>
      </c>
      <c r="AP319" s="623" t="s">
        <v>882</v>
      </c>
      <c r="AQ319" s="627">
        <v>7089327433</v>
      </c>
    </row>
    <row r="320" spans="1:43" x14ac:dyDescent="0.25">
      <c r="A320" s="625">
        <v>319</v>
      </c>
      <c r="B320" s="494" t="s">
        <v>783</v>
      </c>
      <c r="C320" s="625">
        <v>102</v>
      </c>
      <c r="D320" s="494" t="s">
        <v>871</v>
      </c>
      <c r="E320" s="627">
        <v>9504580</v>
      </c>
      <c r="F320" s="627">
        <v>29946</v>
      </c>
      <c r="G320" s="494" t="s">
        <v>887</v>
      </c>
      <c r="S320" s="629">
        <f t="shared" si="8"/>
        <v>0.625</v>
      </c>
      <c r="T320" s="629">
        <f t="shared" si="9"/>
        <v>0.64583333333333337</v>
      </c>
      <c r="U320" s="494" t="s">
        <v>920</v>
      </c>
      <c r="V320" s="620" t="str">
        <f>Combined_tables[[#This Row],[TimeSlot_Start_text]]</f>
        <v>1500</v>
      </c>
      <c r="W320" s="621"/>
      <c r="X320" s="621" t="s">
        <v>807</v>
      </c>
      <c r="Y320" s="621"/>
      <c r="Z320" s="621"/>
      <c r="AA320" s="621" t="s">
        <v>807</v>
      </c>
      <c r="AB320" s="494" t="s">
        <v>1081</v>
      </c>
      <c r="AC320" s="494" t="s">
        <v>879</v>
      </c>
      <c r="AD320" s="625" t="s">
        <v>895</v>
      </c>
      <c r="AE320" s="627">
        <v>29940</v>
      </c>
      <c r="AF320" s="623" t="s">
        <v>880</v>
      </c>
      <c r="AG320" s="627">
        <v>7082430448</v>
      </c>
      <c r="AH320" s="494" t="s">
        <v>881</v>
      </c>
      <c r="AI320" s="625" t="s">
        <v>894</v>
      </c>
      <c r="AJ320" s="627">
        <v>29941</v>
      </c>
      <c r="AM320" s="494" t="s">
        <v>786</v>
      </c>
      <c r="AN320" s="625" t="s">
        <v>901</v>
      </c>
      <c r="AO320" s="627">
        <v>22230</v>
      </c>
      <c r="AP320" s="623" t="s">
        <v>882</v>
      </c>
      <c r="AQ320" s="627">
        <v>7089327433</v>
      </c>
    </row>
    <row r="321" spans="1:43" x14ac:dyDescent="0.25">
      <c r="A321" s="625">
        <v>320</v>
      </c>
      <c r="B321" s="494" t="s">
        <v>783</v>
      </c>
      <c r="C321" s="625">
        <v>102</v>
      </c>
      <c r="D321" s="494" t="s">
        <v>871</v>
      </c>
      <c r="E321" s="627">
        <v>9504580</v>
      </c>
      <c r="F321" s="627">
        <v>29946</v>
      </c>
      <c r="G321" s="494" t="s">
        <v>887</v>
      </c>
      <c r="S321" s="629">
        <f t="shared" si="8"/>
        <v>0.64583333333333337</v>
      </c>
      <c r="T321" s="629">
        <f t="shared" si="9"/>
        <v>0.66666666666666674</v>
      </c>
      <c r="U321" s="494" t="s">
        <v>921</v>
      </c>
      <c r="V321" s="620" t="str">
        <f>Combined_tables[[#This Row],[TimeSlot_Start_text]]</f>
        <v>1530</v>
      </c>
      <c r="W321" s="621"/>
      <c r="X321" s="621" t="s">
        <v>807</v>
      </c>
      <c r="Y321" s="621"/>
      <c r="Z321" s="621"/>
      <c r="AA321" s="621" t="s">
        <v>807</v>
      </c>
      <c r="AB321" s="494" t="s">
        <v>1082</v>
      </c>
      <c r="AC321" s="494" t="s">
        <v>879</v>
      </c>
      <c r="AD321" s="625" t="s">
        <v>895</v>
      </c>
      <c r="AE321" s="627">
        <v>29940</v>
      </c>
      <c r="AF321" s="623" t="s">
        <v>880</v>
      </c>
      <c r="AG321" s="627">
        <v>7082430448</v>
      </c>
      <c r="AH321" s="494" t="s">
        <v>881</v>
      </c>
      <c r="AI321" s="625" t="s">
        <v>894</v>
      </c>
      <c r="AJ321" s="627">
        <v>29941</v>
      </c>
      <c r="AM321" s="494" t="s">
        <v>786</v>
      </c>
      <c r="AN321" s="625" t="s">
        <v>901</v>
      </c>
      <c r="AO321" s="627">
        <v>22230</v>
      </c>
      <c r="AP321" s="623" t="s">
        <v>882</v>
      </c>
      <c r="AQ321" s="627">
        <v>7089327433</v>
      </c>
    </row>
    <row r="322" spans="1:43" ht="15" customHeight="1" x14ac:dyDescent="0.25">
      <c r="A322" s="625">
        <v>321</v>
      </c>
      <c r="B322" s="494" t="s">
        <v>783</v>
      </c>
      <c r="C322" s="625">
        <v>103</v>
      </c>
      <c r="D322" s="494" t="s">
        <v>903</v>
      </c>
      <c r="E322" s="627">
        <v>9504585</v>
      </c>
      <c r="F322" s="627">
        <v>29947</v>
      </c>
      <c r="G322" s="494" t="s">
        <v>904</v>
      </c>
      <c r="S322" s="629">
        <f t="shared" ref="S322:S385" si="10">TIME(LEFT(U322,2),RIGHT(U322,2),"00")</f>
        <v>0.33333333333333331</v>
      </c>
      <c r="T322" s="629">
        <f t="shared" ref="T322:T385" si="11">S322+(TIME("00","30","00"))</f>
        <v>0.35416666666666663</v>
      </c>
      <c r="U322" s="494" t="s">
        <v>906</v>
      </c>
      <c r="V322" s="620" t="str">
        <f>Combined_tables[[#This Row],[TimeSlot_Start_text]]</f>
        <v>0800</v>
      </c>
      <c r="W322" s="621" t="s">
        <v>805</v>
      </c>
      <c r="X322" s="621" t="s">
        <v>805</v>
      </c>
      <c r="Y322" s="621"/>
      <c r="Z322" s="621"/>
      <c r="AA322" s="621"/>
      <c r="AB322" s="494" t="s">
        <v>1083</v>
      </c>
      <c r="AC322" s="494" t="s">
        <v>879</v>
      </c>
      <c r="AD322" s="625" t="s">
        <v>895</v>
      </c>
      <c r="AE322" s="627">
        <v>29940</v>
      </c>
      <c r="AF322" s="623" t="s">
        <v>880</v>
      </c>
      <c r="AG322" s="627">
        <v>7082430448</v>
      </c>
      <c r="AH322" s="494" t="s">
        <v>881</v>
      </c>
      <c r="AI322" s="625" t="s">
        <v>894</v>
      </c>
      <c r="AJ322" s="627">
        <v>29941</v>
      </c>
      <c r="AM322" s="494" t="s">
        <v>786</v>
      </c>
      <c r="AN322" s="625" t="s">
        <v>901</v>
      </c>
      <c r="AO322" s="627">
        <v>22230</v>
      </c>
      <c r="AP322" s="623" t="s">
        <v>882</v>
      </c>
      <c r="AQ322" s="627">
        <v>7089327433</v>
      </c>
    </row>
    <row r="323" spans="1:43" ht="15" customHeight="1" x14ac:dyDescent="0.25">
      <c r="A323" s="625">
        <v>322</v>
      </c>
      <c r="B323" s="494" t="s">
        <v>783</v>
      </c>
      <c r="C323" s="625">
        <v>103</v>
      </c>
      <c r="D323" s="494" t="s">
        <v>903</v>
      </c>
      <c r="E323" s="627">
        <v>9504585</v>
      </c>
      <c r="F323" s="627">
        <v>29947</v>
      </c>
      <c r="G323" s="494" t="s">
        <v>904</v>
      </c>
      <c r="S323" s="629">
        <f t="shared" si="10"/>
        <v>0.35416666666666669</v>
      </c>
      <c r="T323" s="629">
        <f t="shared" si="11"/>
        <v>0.375</v>
      </c>
      <c r="U323" s="494" t="s">
        <v>907</v>
      </c>
      <c r="V323" s="620" t="str">
        <f>Combined_tables[[#This Row],[TimeSlot_Start_text]]</f>
        <v>0830</v>
      </c>
      <c r="W323" s="621" t="s">
        <v>805</v>
      </c>
      <c r="X323" s="621" t="s">
        <v>805</v>
      </c>
      <c r="Y323" s="621"/>
      <c r="Z323" s="621"/>
      <c r="AA323" s="621"/>
      <c r="AB323" s="494" t="s">
        <v>1084</v>
      </c>
      <c r="AC323" s="494" t="s">
        <v>879</v>
      </c>
      <c r="AD323" s="625" t="s">
        <v>895</v>
      </c>
      <c r="AE323" s="627">
        <v>29940</v>
      </c>
      <c r="AF323" s="623" t="s">
        <v>880</v>
      </c>
      <c r="AG323" s="627">
        <v>7082430448</v>
      </c>
      <c r="AH323" s="494" t="s">
        <v>881</v>
      </c>
      <c r="AI323" s="625" t="s">
        <v>894</v>
      </c>
      <c r="AJ323" s="627">
        <v>29941</v>
      </c>
      <c r="AM323" s="494" t="s">
        <v>786</v>
      </c>
      <c r="AN323" s="625" t="s">
        <v>901</v>
      </c>
      <c r="AO323" s="627">
        <v>22230</v>
      </c>
      <c r="AP323" s="623" t="s">
        <v>882</v>
      </c>
      <c r="AQ323" s="627">
        <v>7089327433</v>
      </c>
    </row>
    <row r="324" spans="1:43" ht="15" customHeight="1" x14ac:dyDescent="0.25">
      <c r="A324" s="625">
        <v>323</v>
      </c>
      <c r="B324" s="494" t="s">
        <v>783</v>
      </c>
      <c r="C324" s="625">
        <v>103</v>
      </c>
      <c r="D324" s="494" t="s">
        <v>903</v>
      </c>
      <c r="E324" s="627">
        <v>9504585</v>
      </c>
      <c r="F324" s="627">
        <v>29947</v>
      </c>
      <c r="G324" s="494" t="s">
        <v>904</v>
      </c>
      <c r="S324" s="629">
        <f t="shared" si="10"/>
        <v>0.375</v>
      </c>
      <c r="T324" s="629">
        <f t="shared" si="11"/>
        <v>0.39583333333333331</v>
      </c>
      <c r="U324" s="494" t="s">
        <v>908</v>
      </c>
      <c r="V324" s="620" t="str">
        <f>Combined_tables[[#This Row],[TimeSlot_Start_text]]</f>
        <v>0900</v>
      </c>
      <c r="W324" s="621" t="s">
        <v>805</v>
      </c>
      <c r="X324" s="621" t="s">
        <v>805</v>
      </c>
      <c r="Y324" s="621"/>
      <c r="Z324" s="621"/>
      <c r="AA324" s="621"/>
      <c r="AB324" s="494" t="s">
        <v>1085</v>
      </c>
      <c r="AC324" s="494" t="s">
        <v>879</v>
      </c>
      <c r="AD324" s="625" t="s">
        <v>895</v>
      </c>
      <c r="AE324" s="627">
        <v>29940</v>
      </c>
      <c r="AF324" s="623" t="s">
        <v>880</v>
      </c>
      <c r="AG324" s="627">
        <v>7082430448</v>
      </c>
      <c r="AH324" s="494" t="s">
        <v>881</v>
      </c>
      <c r="AI324" s="625" t="s">
        <v>894</v>
      </c>
      <c r="AJ324" s="627">
        <v>29941</v>
      </c>
      <c r="AM324" s="494" t="s">
        <v>786</v>
      </c>
      <c r="AN324" s="625" t="s">
        <v>901</v>
      </c>
      <c r="AO324" s="627">
        <v>22230</v>
      </c>
      <c r="AP324" s="623" t="s">
        <v>882</v>
      </c>
      <c r="AQ324" s="627">
        <v>7089327433</v>
      </c>
    </row>
    <row r="325" spans="1:43" ht="15" customHeight="1" x14ac:dyDescent="0.25">
      <c r="A325" s="625">
        <v>324</v>
      </c>
      <c r="B325" s="494" t="s">
        <v>783</v>
      </c>
      <c r="C325" s="625">
        <v>103</v>
      </c>
      <c r="D325" s="494" t="s">
        <v>903</v>
      </c>
      <c r="E325" s="627">
        <v>9504585</v>
      </c>
      <c r="F325" s="627">
        <v>29947</v>
      </c>
      <c r="G325" s="494" t="s">
        <v>904</v>
      </c>
      <c r="S325" s="629">
        <f t="shared" si="10"/>
        <v>0.39583333333333331</v>
      </c>
      <c r="T325" s="629">
        <f t="shared" si="11"/>
        <v>0.41666666666666663</v>
      </c>
      <c r="U325" s="494" t="s">
        <v>909</v>
      </c>
      <c r="V325" s="620" t="str">
        <f>Combined_tables[[#This Row],[TimeSlot_Start_text]]</f>
        <v>0930</v>
      </c>
      <c r="W325" s="621" t="s">
        <v>805</v>
      </c>
      <c r="X325" s="621" t="s">
        <v>805</v>
      </c>
      <c r="Y325" s="621"/>
      <c r="Z325" s="621"/>
      <c r="AA325" s="621"/>
      <c r="AB325" s="494" t="s">
        <v>1086</v>
      </c>
      <c r="AC325" s="494" t="s">
        <v>879</v>
      </c>
      <c r="AD325" s="625" t="s">
        <v>895</v>
      </c>
      <c r="AE325" s="627">
        <v>29940</v>
      </c>
      <c r="AF325" s="623" t="s">
        <v>880</v>
      </c>
      <c r="AG325" s="627">
        <v>7082430448</v>
      </c>
      <c r="AH325" s="494" t="s">
        <v>881</v>
      </c>
      <c r="AI325" s="625" t="s">
        <v>894</v>
      </c>
      <c r="AJ325" s="627">
        <v>29941</v>
      </c>
      <c r="AM325" s="494" t="s">
        <v>786</v>
      </c>
      <c r="AN325" s="625" t="s">
        <v>901</v>
      </c>
      <c r="AO325" s="627">
        <v>22230</v>
      </c>
      <c r="AP325" s="623" t="s">
        <v>882</v>
      </c>
      <c r="AQ325" s="627">
        <v>7089327433</v>
      </c>
    </row>
    <row r="326" spans="1:43" x14ac:dyDescent="0.25">
      <c r="A326" s="625">
        <v>325</v>
      </c>
      <c r="B326" s="494" t="s">
        <v>783</v>
      </c>
      <c r="C326" s="625">
        <v>103</v>
      </c>
      <c r="D326" s="494" t="s">
        <v>903</v>
      </c>
      <c r="E326" s="627">
        <v>9504585</v>
      </c>
      <c r="F326" s="627">
        <v>29947</v>
      </c>
      <c r="G326" s="494" t="s">
        <v>904</v>
      </c>
      <c r="S326" s="629">
        <f t="shared" si="10"/>
        <v>0.41666666666666669</v>
      </c>
      <c r="T326" s="629">
        <f t="shared" si="11"/>
        <v>0.4375</v>
      </c>
      <c r="U326" s="494" t="s">
        <v>910</v>
      </c>
      <c r="V326" s="620" t="str">
        <f>Combined_tables[[#This Row],[TimeSlot_Start_text]]</f>
        <v>1000</v>
      </c>
      <c r="W326" s="621"/>
      <c r="X326" s="621"/>
      <c r="Y326" s="621"/>
      <c r="Z326" s="621"/>
      <c r="AA326" s="621"/>
      <c r="AB326" s="494" t="s">
        <v>1073</v>
      </c>
      <c r="AC326" s="494" t="s">
        <v>879</v>
      </c>
      <c r="AD326" s="625" t="s">
        <v>895</v>
      </c>
      <c r="AE326" s="627">
        <v>29940</v>
      </c>
      <c r="AF326" s="623" t="s">
        <v>880</v>
      </c>
      <c r="AG326" s="627">
        <v>7082430448</v>
      </c>
      <c r="AH326" s="494" t="s">
        <v>881</v>
      </c>
      <c r="AI326" s="625" t="s">
        <v>894</v>
      </c>
      <c r="AJ326" s="627">
        <v>29941</v>
      </c>
      <c r="AM326" s="494" t="s">
        <v>786</v>
      </c>
      <c r="AN326" s="625" t="s">
        <v>901</v>
      </c>
      <c r="AO326" s="627">
        <v>22230</v>
      </c>
      <c r="AP326" s="623" t="s">
        <v>882</v>
      </c>
      <c r="AQ326" s="627">
        <v>7089327433</v>
      </c>
    </row>
    <row r="327" spans="1:43" x14ac:dyDescent="0.25">
      <c r="A327" s="625">
        <v>326</v>
      </c>
      <c r="B327" s="494" t="s">
        <v>783</v>
      </c>
      <c r="C327" s="625">
        <v>103</v>
      </c>
      <c r="D327" s="494" t="s">
        <v>903</v>
      </c>
      <c r="E327" s="627">
        <v>9504585</v>
      </c>
      <c r="F327" s="627">
        <v>29947</v>
      </c>
      <c r="G327" s="494" t="s">
        <v>904</v>
      </c>
      <c r="S327" s="629">
        <f t="shared" si="10"/>
        <v>0.4375</v>
      </c>
      <c r="T327" s="629">
        <f t="shared" si="11"/>
        <v>0.45833333333333331</v>
      </c>
      <c r="U327" s="494" t="s">
        <v>911</v>
      </c>
      <c r="V327" s="620" t="str">
        <f>Combined_tables[[#This Row],[TimeSlot_Start_text]]</f>
        <v>1030</v>
      </c>
      <c r="W327" s="621" t="s">
        <v>805</v>
      </c>
      <c r="X327" s="621" t="s">
        <v>805</v>
      </c>
      <c r="Y327" s="621"/>
      <c r="Z327" s="621"/>
      <c r="AA327" s="621"/>
      <c r="AB327" s="494" t="s">
        <v>1074</v>
      </c>
      <c r="AC327" s="494" t="s">
        <v>879</v>
      </c>
      <c r="AD327" s="625" t="s">
        <v>895</v>
      </c>
      <c r="AE327" s="627">
        <v>29940</v>
      </c>
      <c r="AF327" s="623" t="s">
        <v>880</v>
      </c>
      <c r="AG327" s="627">
        <v>7082430448</v>
      </c>
      <c r="AH327" s="494" t="s">
        <v>881</v>
      </c>
      <c r="AI327" s="625" t="s">
        <v>894</v>
      </c>
      <c r="AJ327" s="627">
        <v>29941</v>
      </c>
      <c r="AM327" s="494" t="s">
        <v>786</v>
      </c>
      <c r="AN327" s="625" t="s">
        <v>901</v>
      </c>
      <c r="AO327" s="627">
        <v>22230</v>
      </c>
      <c r="AP327" s="623" t="s">
        <v>882</v>
      </c>
      <c r="AQ327" s="627">
        <v>7089327433</v>
      </c>
    </row>
    <row r="328" spans="1:43" x14ac:dyDescent="0.25">
      <c r="A328" s="625">
        <v>327</v>
      </c>
      <c r="B328" s="494" t="s">
        <v>783</v>
      </c>
      <c r="C328" s="625">
        <v>103</v>
      </c>
      <c r="D328" s="494" t="s">
        <v>903</v>
      </c>
      <c r="E328" s="627">
        <v>9504585</v>
      </c>
      <c r="F328" s="627">
        <v>29947</v>
      </c>
      <c r="G328" s="494" t="s">
        <v>904</v>
      </c>
      <c r="S328" s="629">
        <f t="shared" si="10"/>
        <v>0.45833333333333331</v>
      </c>
      <c r="T328" s="629">
        <f t="shared" si="11"/>
        <v>0.47916666666666663</v>
      </c>
      <c r="U328" s="494" t="s">
        <v>912</v>
      </c>
      <c r="V328" s="620" t="str">
        <f>Combined_tables[[#This Row],[TimeSlot_Start_text]]</f>
        <v>1100</v>
      </c>
      <c r="W328" s="621" t="s">
        <v>805</v>
      </c>
      <c r="X328" s="621" t="s">
        <v>805</v>
      </c>
      <c r="Y328" s="621"/>
      <c r="Z328" s="621"/>
      <c r="AA328" s="621"/>
      <c r="AB328" s="494" t="s">
        <v>1076</v>
      </c>
      <c r="AC328" s="494" t="s">
        <v>879</v>
      </c>
      <c r="AD328" s="625" t="s">
        <v>895</v>
      </c>
      <c r="AE328" s="627">
        <v>29940</v>
      </c>
      <c r="AF328" s="623" t="s">
        <v>880</v>
      </c>
      <c r="AG328" s="627">
        <v>7082430448</v>
      </c>
      <c r="AH328" s="494" t="s">
        <v>881</v>
      </c>
      <c r="AI328" s="625" t="s">
        <v>894</v>
      </c>
      <c r="AJ328" s="627">
        <v>29941</v>
      </c>
      <c r="AM328" s="494" t="s">
        <v>786</v>
      </c>
      <c r="AN328" s="625" t="s">
        <v>901</v>
      </c>
      <c r="AO328" s="627">
        <v>22230</v>
      </c>
      <c r="AP328" s="623" t="s">
        <v>882</v>
      </c>
      <c r="AQ328" s="627">
        <v>7089327433</v>
      </c>
    </row>
    <row r="329" spans="1:43" x14ac:dyDescent="0.25">
      <c r="A329" s="625">
        <v>328</v>
      </c>
      <c r="B329" s="494" t="s">
        <v>783</v>
      </c>
      <c r="C329" s="625">
        <v>103</v>
      </c>
      <c r="D329" s="494" t="s">
        <v>903</v>
      </c>
      <c r="E329" s="627">
        <v>9504585</v>
      </c>
      <c r="F329" s="627">
        <v>29947</v>
      </c>
      <c r="G329" s="494" t="s">
        <v>904</v>
      </c>
      <c r="S329" s="629">
        <f t="shared" si="10"/>
        <v>0.47916666666666669</v>
      </c>
      <c r="T329" s="629">
        <f t="shared" si="11"/>
        <v>0.5</v>
      </c>
      <c r="U329" s="494" t="s">
        <v>913</v>
      </c>
      <c r="V329" s="620" t="str">
        <f>Combined_tables[[#This Row],[TimeSlot_Start_text]]</f>
        <v>1130</v>
      </c>
      <c r="W329" s="621"/>
      <c r="X329" s="621"/>
      <c r="Y329" s="621"/>
      <c r="Z329" s="621"/>
      <c r="AA329" s="621"/>
      <c r="AB329" s="494" t="s">
        <v>1075</v>
      </c>
      <c r="AC329" s="494" t="s">
        <v>879</v>
      </c>
      <c r="AD329" s="625" t="s">
        <v>895</v>
      </c>
      <c r="AE329" s="627">
        <v>29940</v>
      </c>
      <c r="AF329" s="623" t="s">
        <v>880</v>
      </c>
      <c r="AG329" s="627">
        <v>7082430448</v>
      </c>
      <c r="AH329" s="494" t="s">
        <v>881</v>
      </c>
      <c r="AI329" s="625" t="s">
        <v>894</v>
      </c>
      <c r="AJ329" s="627">
        <v>29941</v>
      </c>
      <c r="AM329" s="494" t="s">
        <v>786</v>
      </c>
      <c r="AN329" s="625" t="s">
        <v>901</v>
      </c>
      <c r="AO329" s="627">
        <v>22230</v>
      </c>
      <c r="AP329" s="623" t="s">
        <v>882</v>
      </c>
      <c r="AQ329" s="627">
        <v>7089327433</v>
      </c>
    </row>
    <row r="330" spans="1:43" ht="15" customHeight="1" x14ac:dyDescent="0.25">
      <c r="A330" s="625">
        <v>329</v>
      </c>
      <c r="B330" s="494" t="s">
        <v>783</v>
      </c>
      <c r="C330" s="625">
        <v>103</v>
      </c>
      <c r="D330" s="494" t="s">
        <v>903</v>
      </c>
      <c r="E330" s="627">
        <v>9504585</v>
      </c>
      <c r="F330" s="627">
        <v>29947</v>
      </c>
      <c r="G330" s="494" t="s">
        <v>904</v>
      </c>
      <c r="S330" s="629">
        <f t="shared" si="10"/>
        <v>0.5</v>
      </c>
      <c r="T330" s="629">
        <f t="shared" si="11"/>
        <v>0.52083333333333337</v>
      </c>
      <c r="U330" s="494" t="s">
        <v>914</v>
      </c>
      <c r="V330" s="620" t="str">
        <f>Combined_tables[[#This Row],[TimeSlot_Start_text]]</f>
        <v>1200</v>
      </c>
      <c r="W330" s="621" t="s">
        <v>354</v>
      </c>
      <c r="X330" s="621" t="s">
        <v>354</v>
      </c>
      <c r="Y330" s="621" t="s">
        <v>354</v>
      </c>
      <c r="Z330" s="621" t="s">
        <v>354</v>
      </c>
      <c r="AA330" s="621" t="s">
        <v>354</v>
      </c>
      <c r="AB330" s="494" t="s">
        <v>1077</v>
      </c>
      <c r="AC330" s="494" t="s">
        <v>879</v>
      </c>
      <c r="AD330" s="625" t="s">
        <v>895</v>
      </c>
      <c r="AE330" s="627">
        <v>29940</v>
      </c>
      <c r="AF330" s="623" t="s">
        <v>880</v>
      </c>
      <c r="AG330" s="627">
        <v>7082430448</v>
      </c>
      <c r="AH330" s="494" t="s">
        <v>881</v>
      </c>
      <c r="AI330" s="625" t="s">
        <v>894</v>
      </c>
      <c r="AJ330" s="627">
        <v>29941</v>
      </c>
      <c r="AM330" s="494" t="s">
        <v>786</v>
      </c>
      <c r="AN330" s="625" t="s">
        <v>901</v>
      </c>
      <c r="AO330" s="627">
        <v>22230</v>
      </c>
      <c r="AP330" s="623" t="s">
        <v>882</v>
      </c>
      <c r="AQ330" s="627">
        <v>7089327433</v>
      </c>
    </row>
    <row r="331" spans="1:43" ht="15.75" customHeight="1" x14ac:dyDescent="0.25">
      <c r="A331" s="625">
        <v>330</v>
      </c>
      <c r="B331" s="494" t="s">
        <v>783</v>
      </c>
      <c r="C331" s="625">
        <v>103</v>
      </c>
      <c r="D331" s="494" t="s">
        <v>903</v>
      </c>
      <c r="E331" s="627">
        <v>9504585</v>
      </c>
      <c r="F331" s="627">
        <v>29947</v>
      </c>
      <c r="G331" s="494" t="s">
        <v>904</v>
      </c>
      <c r="S331" s="629">
        <f t="shared" si="10"/>
        <v>0.52083333333333337</v>
      </c>
      <c r="T331" s="629">
        <f t="shared" si="11"/>
        <v>0.54166666666666674</v>
      </c>
      <c r="U331" s="494" t="s">
        <v>915</v>
      </c>
      <c r="V331" s="620" t="str">
        <f>Combined_tables[[#This Row],[TimeSlot_Start_text]]</f>
        <v>1230</v>
      </c>
      <c r="W331" s="621" t="s">
        <v>354</v>
      </c>
      <c r="X331" s="621" t="s">
        <v>354</v>
      </c>
      <c r="Y331" s="621" t="s">
        <v>354</v>
      </c>
      <c r="Z331" s="621" t="s">
        <v>354</v>
      </c>
      <c r="AA331" s="621" t="s">
        <v>354</v>
      </c>
      <c r="AB331" s="494" t="s">
        <v>1078</v>
      </c>
      <c r="AC331" s="494" t="s">
        <v>879</v>
      </c>
      <c r="AD331" s="625" t="s">
        <v>895</v>
      </c>
      <c r="AE331" s="627">
        <v>29940</v>
      </c>
      <c r="AF331" s="623" t="s">
        <v>880</v>
      </c>
      <c r="AG331" s="627">
        <v>7082430448</v>
      </c>
      <c r="AH331" s="494" t="s">
        <v>881</v>
      </c>
      <c r="AI331" s="625" t="s">
        <v>894</v>
      </c>
      <c r="AJ331" s="627">
        <v>29941</v>
      </c>
      <c r="AM331" s="494" t="s">
        <v>786</v>
      </c>
      <c r="AN331" s="625" t="s">
        <v>901</v>
      </c>
      <c r="AO331" s="627">
        <v>22230</v>
      </c>
      <c r="AP331" s="623" t="s">
        <v>882</v>
      </c>
      <c r="AQ331" s="627">
        <v>7089327433</v>
      </c>
    </row>
    <row r="332" spans="1:43" x14ac:dyDescent="0.25">
      <c r="A332" s="625">
        <v>331</v>
      </c>
      <c r="B332" s="494" t="s">
        <v>783</v>
      </c>
      <c r="C332" s="625">
        <v>103</v>
      </c>
      <c r="D332" s="494" t="s">
        <v>903</v>
      </c>
      <c r="E332" s="627">
        <v>9504585</v>
      </c>
      <c r="F332" s="627">
        <v>29947</v>
      </c>
      <c r="G332" s="494" t="s">
        <v>904</v>
      </c>
      <c r="S332" s="629">
        <f t="shared" si="10"/>
        <v>0.54166666666666663</v>
      </c>
      <c r="T332" s="629">
        <f t="shared" si="11"/>
        <v>0.5625</v>
      </c>
      <c r="U332" s="494" t="s">
        <v>916</v>
      </c>
      <c r="V332" s="620" t="str">
        <f>Combined_tables[[#This Row],[TimeSlot_Start_text]]</f>
        <v>1300</v>
      </c>
      <c r="W332" s="621"/>
      <c r="X332" s="621"/>
      <c r="Y332" s="621"/>
      <c r="Z332" s="621"/>
      <c r="AA332" s="621"/>
      <c r="AB332" s="494" t="s">
        <v>1071</v>
      </c>
      <c r="AC332" s="494" t="s">
        <v>879</v>
      </c>
      <c r="AD332" s="625" t="s">
        <v>895</v>
      </c>
      <c r="AE332" s="627">
        <v>29940</v>
      </c>
      <c r="AF332" s="623" t="s">
        <v>880</v>
      </c>
      <c r="AG332" s="627">
        <v>7082430448</v>
      </c>
      <c r="AH332" s="494" t="s">
        <v>881</v>
      </c>
      <c r="AI332" s="625" t="s">
        <v>894</v>
      </c>
      <c r="AJ332" s="627">
        <v>29941</v>
      </c>
      <c r="AM332" s="494" t="s">
        <v>786</v>
      </c>
      <c r="AN332" s="625" t="s">
        <v>901</v>
      </c>
      <c r="AO332" s="627">
        <v>22230</v>
      </c>
      <c r="AP332" s="623" t="s">
        <v>882</v>
      </c>
      <c r="AQ332" s="627">
        <v>7089327433</v>
      </c>
    </row>
    <row r="333" spans="1:43" x14ac:dyDescent="0.25">
      <c r="A333" s="625">
        <v>332</v>
      </c>
      <c r="B333" s="494" t="s">
        <v>783</v>
      </c>
      <c r="C333" s="625">
        <v>103</v>
      </c>
      <c r="D333" s="494" t="s">
        <v>903</v>
      </c>
      <c r="E333" s="627">
        <v>9504585</v>
      </c>
      <c r="F333" s="627">
        <v>29947</v>
      </c>
      <c r="G333" s="494" t="s">
        <v>904</v>
      </c>
      <c r="S333" s="629">
        <f t="shared" si="10"/>
        <v>0.5625</v>
      </c>
      <c r="T333" s="629">
        <f t="shared" si="11"/>
        <v>0.58333333333333337</v>
      </c>
      <c r="U333" s="494" t="s">
        <v>917</v>
      </c>
      <c r="V333" s="620" t="str">
        <f>Combined_tables[[#This Row],[TimeSlot_Start_text]]</f>
        <v>1330</v>
      </c>
      <c r="W333" s="621"/>
      <c r="X333" s="621"/>
      <c r="Y333" s="621"/>
      <c r="Z333" s="621"/>
      <c r="AA333" s="621"/>
      <c r="AB333" s="494" t="s">
        <v>1072</v>
      </c>
      <c r="AC333" s="494" t="s">
        <v>879</v>
      </c>
      <c r="AD333" s="625" t="s">
        <v>895</v>
      </c>
      <c r="AE333" s="627">
        <v>29940</v>
      </c>
      <c r="AF333" s="623" t="s">
        <v>880</v>
      </c>
      <c r="AG333" s="627">
        <v>7082430448</v>
      </c>
      <c r="AH333" s="494" t="s">
        <v>881</v>
      </c>
      <c r="AI333" s="625" t="s">
        <v>894</v>
      </c>
      <c r="AJ333" s="627">
        <v>29941</v>
      </c>
      <c r="AM333" s="494" t="s">
        <v>786</v>
      </c>
      <c r="AN333" s="625" t="s">
        <v>901</v>
      </c>
      <c r="AO333" s="627">
        <v>22230</v>
      </c>
      <c r="AP333" s="623" t="s">
        <v>882</v>
      </c>
      <c r="AQ333" s="627">
        <v>7089327433</v>
      </c>
    </row>
    <row r="334" spans="1:43" x14ac:dyDescent="0.25">
      <c r="A334" s="625">
        <v>333</v>
      </c>
      <c r="B334" s="494" t="s">
        <v>783</v>
      </c>
      <c r="C334" s="625">
        <v>103</v>
      </c>
      <c r="D334" s="494" t="s">
        <v>903</v>
      </c>
      <c r="E334" s="627">
        <v>9504585</v>
      </c>
      <c r="F334" s="627">
        <v>29947</v>
      </c>
      <c r="G334" s="494" t="s">
        <v>904</v>
      </c>
      <c r="S334" s="629">
        <f t="shared" si="10"/>
        <v>0.58333333333333337</v>
      </c>
      <c r="T334" s="629">
        <f t="shared" si="11"/>
        <v>0.60416666666666674</v>
      </c>
      <c r="U334" s="494" t="s">
        <v>918</v>
      </c>
      <c r="V334" s="620" t="str">
        <f>Combined_tables[[#This Row],[TimeSlot_Start_text]]</f>
        <v>1400</v>
      </c>
      <c r="W334" s="621"/>
      <c r="X334" s="621"/>
      <c r="Y334" s="621"/>
      <c r="Z334" s="621"/>
      <c r="AA334" s="621"/>
      <c r="AB334" s="494" t="s">
        <v>1079</v>
      </c>
      <c r="AC334" s="494" t="s">
        <v>879</v>
      </c>
      <c r="AD334" s="625" t="s">
        <v>895</v>
      </c>
      <c r="AE334" s="627">
        <v>29940</v>
      </c>
      <c r="AF334" s="623" t="s">
        <v>880</v>
      </c>
      <c r="AG334" s="627">
        <v>7082430448</v>
      </c>
      <c r="AH334" s="494" t="s">
        <v>881</v>
      </c>
      <c r="AI334" s="625" t="s">
        <v>894</v>
      </c>
      <c r="AJ334" s="627">
        <v>29941</v>
      </c>
      <c r="AM334" s="494" t="s">
        <v>786</v>
      </c>
      <c r="AN334" s="625" t="s">
        <v>901</v>
      </c>
      <c r="AO334" s="627">
        <v>22230</v>
      </c>
      <c r="AP334" s="623" t="s">
        <v>882</v>
      </c>
      <c r="AQ334" s="627">
        <v>7089327433</v>
      </c>
    </row>
    <row r="335" spans="1:43" x14ac:dyDescent="0.25">
      <c r="A335" s="625">
        <v>334</v>
      </c>
      <c r="B335" s="494" t="s">
        <v>783</v>
      </c>
      <c r="C335" s="625">
        <v>103</v>
      </c>
      <c r="D335" s="494" t="s">
        <v>903</v>
      </c>
      <c r="E335" s="627">
        <v>9504585</v>
      </c>
      <c r="F335" s="627">
        <v>29947</v>
      </c>
      <c r="G335" s="494" t="s">
        <v>904</v>
      </c>
      <c r="S335" s="629">
        <f t="shared" si="10"/>
        <v>0.60416666666666663</v>
      </c>
      <c r="T335" s="629">
        <f t="shared" si="11"/>
        <v>0.625</v>
      </c>
      <c r="U335" s="494" t="s">
        <v>919</v>
      </c>
      <c r="V335" s="620" t="str">
        <f>Combined_tables[[#This Row],[TimeSlot_Start_text]]</f>
        <v>1430</v>
      </c>
      <c r="W335" s="621"/>
      <c r="X335" s="621"/>
      <c r="Y335" s="621"/>
      <c r="Z335" s="621"/>
      <c r="AA335" s="621"/>
      <c r="AB335" s="494" t="s">
        <v>1080</v>
      </c>
      <c r="AC335" s="494" t="s">
        <v>879</v>
      </c>
      <c r="AD335" s="625" t="s">
        <v>895</v>
      </c>
      <c r="AE335" s="627">
        <v>29940</v>
      </c>
      <c r="AF335" s="623" t="s">
        <v>880</v>
      </c>
      <c r="AG335" s="627">
        <v>7082430448</v>
      </c>
      <c r="AH335" s="494" t="s">
        <v>881</v>
      </c>
      <c r="AI335" s="625" t="s">
        <v>894</v>
      </c>
      <c r="AJ335" s="627">
        <v>29941</v>
      </c>
      <c r="AM335" s="494" t="s">
        <v>786</v>
      </c>
      <c r="AN335" s="625" t="s">
        <v>901</v>
      </c>
      <c r="AO335" s="627">
        <v>22230</v>
      </c>
      <c r="AP335" s="623" t="s">
        <v>882</v>
      </c>
      <c r="AQ335" s="627">
        <v>7089327433</v>
      </c>
    </row>
    <row r="336" spans="1:43" x14ac:dyDescent="0.25">
      <c r="A336" s="625">
        <v>335</v>
      </c>
      <c r="B336" s="494" t="s">
        <v>783</v>
      </c>
      <c r="C336" s="625">
        <v>103</v>
      </c>
      <c r="D336" s="494" t="s">
        <v>903</v>
      </c>
      <c r="E336" s="627">
        <v>9504585</v>
      </c>
      <c r="F336" s="627">
        <v>29947</v>
      </c>
      <c r="G336" s="494" t="s">
        <v>904</v>
      </c>
      <c r="S336" s="629">
        <f t="shared" si="10"/>
        <v>0.625</v>
      </c>
      <c r="T336" s="629">
        <f t="shared" si="11"/>
        <v>0.64583333333333337</v>
      </c>
      <c r="U336" s="494" t="s">
        <v>920</v>
      </c>
      <c r="V336" s="620" t="str">
        <f>Combined_tables[[#This Row],[TimeSlot_Start_text]]</f>
        <v>1500</v>
      </c>
      <c r="W336" s="621"/>
      <c r="X336" s="621"/>
      <c r="Y336" s="621"/>
      <c r="Z336" s="621"/>
      <c r="AA336" s="621"/>
      <c r="AB336" s="494" t="s">
        <v>1081</v>
      </c>
      <c r="AC336" s="494" t="s">
        <v>879</v>
      </c>
      <c r="AD336" s="625" t="s">
        <v>895</v>
      </c>
      <c r="AE336" s="627">
        <v>29940</v>
      </c>
      <c r="AF336" s="623" t="s">
        <v>880</v>
      </c>
      <c r="AG336" s="627">
        <v>7082430448</v>
      </c>
      <c r="AH336" s="494" t="s">
        <v>881</v>
      </c>
      <c r="AI336" s="625" t="s">
        <v>894</v>
      </c>
      <c r="AJ336" s="627">
        <v>29941</v>
      </c>
      <c r="AM336" s="494" t="s">
        <v>786</v>
      </c>
      <c r="AN336" s="625" t="s">
        <v>901</v>
      </c>
      <c r="AO336" s="627">
        <v>22230</v>
      </c>
      <c r="AP336" s="623" t="s">
        <v>882</v>
      </c>
      <c r="AQ336" s="627">
        <v>7089327433</v>
      </c>
    </row>
    <row r="337" spans="1:43" x14ac:dyDescent="0.25">
      <c r="A337" s="625">
        <v>336</v>
      </c>
      <c r="B337" s="494" t="s">
        <v>783</v>
      </c>
      <c r="C337" s="625">
        <v>103</v>
      </c>
      <c r="D337" s="494" t="s">
        <v>903</v>
      </c>
      <c r="E337" s="627">
        <v>9504585</v>
      </c>
      <c r="F337" s="627">
        <v>29947</v>
      </c>
      <c r="G337" s="494" t="s">
        <v>904</v>
      </c>
      <c r="S337" s="629">
        <f t="shared" si="10"/>
        <v>0.64583333333333337</v>
      </c>
      <c r="T337" s="629">
        <f t="shared" si="11"/>
        <v>0.66666666666666674</v>
      </c>
      <c r="U337" s="494" t="s">
        <v>921</v>
      </c>
      <c r="V337" s="620" t="str">
        <f>Combined_tables[[#This Row],[TimeSlot_Start_text]]</f>
        <v>1530</v>
      </c>
      <c r="W337" s="621"/>
      <c r="X337" s="621"/>
      <c r="Y337" s="621"/>
      <c r="Z337" s="621"/>
      <c r="AA337" s="621"/>
      <c r="AB337" s="494" t="s">
        <v>1082</v>
      </c>
      <c r="AC337" s="494" t="s">
        <v>879</v>
      </c>
      <c r="AD337" s="625" t="s">
        <v>895</v>
      </c>
      <c r="AE337" s="627">
        <v>29940</v>
      </c>
      <c r="AF337" s="623" t="s">
        <v>880</v>
      </c>
      <c r="AG337" s="627">
        <v>7082430448</v>
      </c>
      <c r="AH337" s="494" t="s">
        <v>881</v>
      </c>
      <c r="AI337" s="625" t="s">
        <v>894</v>
      </c>
      <c r="AJ337" s="627">
        <v>29941</v>
      </c>
      <c r="AM337" s="494" t="s">
        <v>786</v>
      </c>
      <c r="AN337" s="625" t="s">
        <v>901</v>
      </c>
      <c r="AO337" s="627">
        <v>22230</v>
      </c>
      <c r="AP337" s="623" t="s">
        <v>882</v>
      </c>
      <c r="AQ337" s="627">
        <v>7089327433</v>
      </c>
    </row>
    <row r="338" spans="1:43" ht="15" customHeight="1" x14ac:dyDescent="0.25">
      <c r="A338" s="625">
        <v>337</v>
      </c>
      <c r="B338" s="494" t="s">
        <v>783</v>
      </c>
      <c r="C338" s="625">
        <v>104</v>
      </c>
      <c r="D338" s="494" t="s">
        <v>922</v>
      </c>
      <c r="E338" s="627">
        <v>9504589</v>
      </c>
      <c r="F338" s="627">
        <v>29948</v>
      </c>
      <c r="G338" s="494" t="s">
        <v>925</v>
      </c>
      <c r="S338" s="629">
        <f t="shared" si="10"/>
        <v>0.33333333333333331</v>
      </c>
      <c r="T338" s="629">
        <f t="shared" si="11"/>
        <v>0.35416666666666663</v>
      </c>
      <c r="U338" s="494" t="s">
        <v>906</v>
      </c>
      <c r="V338" s="620" t="str">
        <f>Combined_tables[[#This Row],[TimeSlot_Start_text]]</f>
        <v>0800</v>
      </c>
      <c r="W338" s="621" t="s">
        <v>711</v>
      </c>
      <c r="X338" s="621"/>
      <c r="Y338" s="621"/>
      <c r="Z338" s="621" t="s">
        <v>380</v>
      </c>
      <c r="AA338" s="621"/>
      <c r="AB338" s="494" t="s">
        <v>1083</v>
      </c>
      <c r="AC338" s="494" t="s">
        <v>879</v>
      </c>
      <c r="AD338" s="625" t="s">
        <v>895</v>
      </c>
      <c r="AE338" s="627">
        <v>29940</v>
      </c>
      <c r="AF338" s="623" t="s">
        <v>880</v>
      </c>
      <c r="AG338" s="627">
        <v>7082430448</v>
      </c>
      <c r="AH338" s="494" t="s">
        <v>881</v>
      </c>
      <c r="AI338" s="625" t="s">
        <v>894</v>
      </c>
      <c r="AJ338" s="627">
        <v>29941</v>
      </c>
      <c r="AM338" s="494" t="s">
        <v>786</v>
      </c>
      <c r="AN338" s="625" t="s">
        <v>901</v>
      </c>
      <c r="AO338" s="627">
        <v>22230</v>
      </c>
      <c r="AP338" s="623" t="s">
        <v>882</v>
      </c>
      <c r="AQ338" s="627">
        <v>7089327433</v>
      </c>
    </row>
    <row r="339" spans="1:43" ht="15" customHeight="1" x14ac:dyDescent="0.25">
      <c r="A339" s="625">
        <v>338</v>
      </c>
      <c r="B339" s="494" t="s">
        <v>783</v>
      </c>
      <c r="C339" s="625">
        <v>104</v>
      </c>
      <c r="D339" s="494" t="s">
        <v>922</v>
      </c>
      <c r="E339" s="627">
        <v>9504589</v>
      </c>
      <c r="F339" s="627">
        <v>29948</v>
      </c>
      <c r="G339" s="494" t="s">
        <v>925</v>
      </c>
      <c r="S339" s="629">
        <f t="shared" si="10"/>
        <v>0.35416666666666669</v>
      </c>
      <c r="T339" s="629">
        <f t="shared" si="11"/>
        <v>0.375</v>
      </c>
      <c r="U339" s="494" t="s">
        <v>907</v>
      </c>
      <c r="V339" s="620" t="str">
        <f>Combined_tables[[#This Row],[TimeSlot_Start_text]]</f>
        <v>0830</v>
      </c>
      <c r="W339" s="621" t="s">
        <v>711</v>
      </c>
      <c r="X339" s="621" t="s">
        <v>808</v>
      </c>
      <c r="Y339" s="621"/>
      <c r="Z339" s="621"/>
      <c r="AA339" s="621"/>
      <c r="AB339" s="494" t="s">
        <v>1084</v>
      </c>
      <c r="AC339" s="494" t="s">
        <v>879</v>
      </c>
      <c r="AD339" s="625" t="s">
        <v>895</v>
      </c>
      <c r="AE339" s="627">
        <v>29940</v>
      </c>
      <c r="AF339" s="623" t="s">
        <v>880</v>
      </c>
      <c r="AG339" s="627">
        <v>7082430448</v>
      </c>
      <c r="AH339" s="494" t="s">
        <v>881</v>
      </c>
      <c r="AI339" s="625" t="s">
        <v>894</v>
      </c>
      <c r="AJ339" s="627">
        <v>29941</v>
      </c>
      <c r="AM339" s="494" t="s">
        <v>786</v>
      </c>
      <c r="AN339" s="625" t="s">
        <v>901</v>
      </c>
      <c r="AO339" s="627">
        <v>22230</v>
      </c>
      <c r="AP339" s="623" t="s">
        <v>882</v>
      </c>
      <c r="AQ339" s="627">
        <v>7089327433</v>
      </c>
    </row>
    <row r="340" spans="1:43" ht="15" customHeight="1" x14ac:dyDescent="0.25">
      <c r="A340" s="625">
        <v>339</v>
      </c>
      <c r="B340" s="494" t="s">
        <v>783</v>
      </c>
      <c r="C340" s="625">
        <v>104</v>
      </c>
      <c r="D340" s="494" t="s">
        <v>922</v>
      </c>
      <c r="E340" s="627">
        <v>9504589</v>
      </c>
      <c r="F340" s="627">
        <v>29948</v>
      </c>
      <c r="G340" s="494" t="s">
        <v>925</v>
      </c>
      <c r="S340" s="629">
        <f t="shared" si="10"/>
        <v>0.375</v>
      </c>
      <c r="T340" s="629">
        <f t="shared" si="11"/>
        <v>0.39583333333333331</v>
      </c>
      <c r="U340" s="494" t="s">
        <v>908</v>
      </c>
      <c r="V340" s="620" t="str">
        <f>Combined_tables[[#This Row],[TimeSlot_Start_text]]</f>
        <v>0900</v>
      </c>
      <c r="W340" s="621"/>
      <c r="X340" s="621" t="s">
        <v>808</v>
      </c>
      <c r="Y340" s="621"/>
      <c r="Z340" s="621"/>
      <c r="AA340" s="621" t="s">
        <v>380</v>
      </c>
      <c r="AB340" s="494" t="s">
        <v>1085</v>
      </c>
      <c r="AC340" s="494" t="s">
        <v>879</v>
      </c>
      <c r="AD340" s="625" t="s">
        <v>895</v>
      </c>
      <c r="AE340" s="627">
        <v>29940</v>
      </c>
      <c r="AF340" s="623" t="s">
        <v>880</v>
      </c>
      <c r="AG340" s="627">
        <v>7082430448</v>
      </c>
      <c r="AH340" s="494" t="s">
        <v>881</v>
      </c>
      <c r="AI340" s="625" t="s">
        <v>894</v>
      </c>
      <c r="AJ340" s="627">
        <v>29941</v>
      </c>
      <c r="AM340" s="494" t="s">
        <v>786</v>
      </c>
      <c r="AN340" s="625" t="s">
        <v>901</v>
      </c>
      <c r="AO340" s="627">
        <v>22230</v>
      </c>
      <c r="AP340" s="623" t="s">
        <v>882</v>
      </c>
      <c r="AQ340" s="627">
        <v>7089327433</v>
      </c>
    </row>
    <row r="341" spans="1:43" ht="15" customHeight="1" x14ac:dyDescent="0.25">
      <c r="A341" s="625">
        <v>340</v>
      </c>
      <c r="B341" s="494" t="s">
        <v>783</v>
      </c>
      <c r="C341" s="625">
        <v>104</v>
      </c>
      <c r="D341" s="494" t="s">
        <v>922</v>
      </c>
      <c r="E341" s="627">
        <v>9504589</v>
      </c>
      <c r="F341" s="627">
        <v>29948</v>
      </c>
      <c r="G341" s="494" t="s">
        <v>925</v>
      </c>
      <c r="S341" s="629">
        <f t="shared" si="10"/>
        <v>0.39583333333333331</v>
      </c>
      <c r="T341" s="629">
        <f t="shared" si="11"/>
        <v>0.41666666666666663</v>
      </c>
      <c r="U341" s="494" t="s">
        <v>909</v>
      </c>
      <c r="V341" s="620" t="str">
        <f>Combined_tables[[#This Row],[TimeSlot_Start_text]]</f>
        <v>0930</v>
      </c>
      <c r="W341" s="621"/>
      <c r="X341" s="621" t="s">
        <v>808</v>
      </c>
      <c r="Y341" s="621"/>
      <c r="Z341" s="621"/>
      <c r="AA341" s="621"/>
      <c r="AB341" s="494" t="s">
        <v>1086</v>
      </c>
      <c r="AC341" s="494" t="s">
        <v>879</v>
      </c>
      <c r="AD341" s="625" t="s">
        <v>895</v>
      </c>
      <c r="AE341" s="627">
        <v>29940</v>
      </c>
      <c r="AF341" s="623" t="s">
        <v>880</v>
      </c>
      <c r="AG341" s="627">
        <v>7082430448</v>
      </c>
      <c r="AH341" s="494" t="s">
        <v>881</v>
      </c>
      <c r="AI341" s="625" t="s">
        <v>894</v>
      </c>
      <c r="AJ341" s="627">
        <v>29941</v>
      </c>
      <c r="AM341" s="494" t="s">
        <v>786</v>
      </c>
      <c r="AN341" s="625" t="s">
        <v>901</v>
      </c>
      <c r="AO341" s="627">
        <v>22230</v>
      </c>
      <c r="AP341" s="623" t="s">
        <v>882</v>
      </c>
      <c r="AQ341" s="627">
        <v>7089327433</v>
      </c>
    </row>
    <row r="342" spans="1:43" x14ac:dyDescent="0.25">
      <c r="A342" s="625">
        <v>341</v>
      </c>
      <c r="B342" s="494" t="s">
        <v>783</v>
      </c>
      <c r="C342" s="625">
        <v>104</v>
      </c>
      <c r="D342" s="494" t="s">
        <v>922</v>
      </c>
      <c r="E342" s="627">
        <v>9504589</v>
      </c>
      <c r="F342" s="627">
        <v>29948</v>
      </c>
      <c r="G342" s="494" t="s">
        <v>925</v>
      </c>
      <c r="S342" s="629">
        <f t="shared" si="10"/>
        <v>0.41666666666666669</v>
      </c>
      <c r="T342" s="629">
        <f t="shared" si="11"/>
        <v>0.4375</v>
      </c>
      <c r="U342" s="494" t="s">
        <v>910</v>
      </c>
      <c r="V342" s="620" t="str">
        <f>Combined_tables[[#This Row],[TimeSlot_Start_text]]</f>
        <v>1000</v>
      </c>
      <c r="W342" s="621"/>
      <c r="X342" s="621" t="s">
        <v>808</v>
      </c>
      <c r="Y342" s="621"/>
      <c r="Z342" s="621"/>
      <c r="AA342" s="621"/>
      <c r="AB342" s="494" t="s">
        <v>1073</v>
      </c>
      <c r="AC342" s="494" t="s">
        <v>879</v>
      </c>
      <c r="AD342" s="625" t="s">
        <v>895</v>
      </c>
      <c r="AE342" s="627">
        <v>29940</v>
      </c>
      <c r="AF342" s="623" t="s">
        <v>880</v>
      </c>
      <c r="AG342" s="627">
        <v>7082430448</v>
      </c>
      <c r="AH342" s="494" t="s">
        <v>881</v>
      </c>
      <c r="AI342" s="625" t="s">
        <v>894</v>
      </c>
      <c r="AJ342" s="627">
        <v>29941</v>
      </c>
      <c r="AM342" s="494" t="s">
        <v>786</v>
      </c>
      <c r="AN342" s="625" t="s">
        <v>901</v>
      </c>
      <c r="AO342" s="627">
        <v>22230</v>
      </c>
      <c r="AP342" s="623" t="s">
        <v>882</v>
      </c>
      <c r="AQ342" s="627">
        <v>7089327433</v>
      </c>
    </row>
    <row r="343" spans="1:43" x14ac:dyDescent="0.25">
      <c r="A343" s="625">
        <v>342</v>
      </c>
      <c r="B343" s="494" t="s">
        <v>783</v>
      </c>
      <c r="C343" s="625">
        <v>104</v>
      </c>
      <c r="D343" s="494" t="s">
        <v>922</v>
      </c>
      <c r="E343" s="627">
        <v>9504589</v>
      </c>
      <c r="F343" s="627">
        <v>29948</v>
      </c>
      <c r="G343" s="494" t="s">
        <v>925</v>
      </c>
      <c r="S343" s="629">
        <f t="shared" si="10"/>
        <v>0.4375</v>
      </c>
      <c r="T343" s="629">
        <f t="shared" si="11"/>
        <v>0.45833333333333331</v>
      </c>
      <c r="U343" s="494" t="s">
        <v>911</v>
      </c>
      <c r="V343" s="620" t="str">
        <f>Combined_tables[[#This Row],[TimeSlot_Start_text]]</f>
        <v>1030</v>
      </c>
      <c r="W343" s="621"/>
      <c r="X343" s="621" t="s">
        <v>808</v>
      </c>
      <c r="Y343" s="621"/>
      <c r="Z343" s="621"/>
      <c r="AA343" s="621"/>
      <c r="AB343" s="494" t="s">
        <v>1074</v>
      </c>
      <c r="AC343" s="494" t="s">
        <v>879</v>
      </c>
      <c r="AD343" s="625" t="s">
        <v>895</v>
      </c>
      <c r="AE343" s="627">
        <v>29940</v>
      </c>
      <c r="AF343" s="623" t="s">
        <v>880</v>
      </c>
      <c r="AG343" s="627">
        <v>7082430448</v>
      </c>
      <c r="AH343" s="494" t="s">
        <v>881</v>
      </c>
      <c r="AI343" s="625" t="s">
        <v>894</v>
      </c>
      <c r="AJ343" s="627">
        <v>29941</v>
      </c>
      <c r="AM343" s="494" t="s">
        <v>786</v>
      </c>
      <c r="AN343" s="625" t="s">
        <v>901</v>
      </c>
      <c r="AO343" s="627">
        <v>22230</v>
      </c>
      <c r="AP343" s="623" t="s">
        <v>882</v>
      </c>
      <c r="AQ343" s="627">
        <v>7089327433</v>
      </c>
    </row>
    <row r="344" spans="1:43" x14ac:dyDescent="0.25">
      <c r="A344" s="625">
        <v>343</v>
      </c>
      <c r="B344" s="494" t="s">
        <v>783</v>
      </c>
      <c r="C344" s="625">
        <v>104</v>
      </c>
      <c r="D344" s="494" t="s">
        <v>922</v>
      </c>
      <c r="E344" s="627">
        <v>9504589</v>
      </c>
      <c r="F344" s="627">
        <v>29948</v>
      </c>
      <c r="G344" s="494" t="s">
        <v>925</v>
      </c>
      <c r="S344" s="629">
        <f t="shared" si="10"/>
        <v>0.45833333333333331</v>
      </c>
      <c r="T344" s="629">
        <f t="shared" si="11"/>
        <v>0.47916666666666663</v>
      </c>
      <c r="U344" s="494" t="s">
        <v>912</v>
      </c>
      <c r="V344" s="620" t="str">
        <f>Combined_tables[[#This Row],[TimeSlot_Start_text]]</f>
        <v>1100</v>
      </c>
      <c r="W344" s="621" t="s">
        <v>816</v>
      </c>
      <c r="X344" s="621" t="s">
        <v>808</v>
      </c>
      <c r="Y344" s="621" t="s">
        <v>380</v>
      </c>
      <c r="Z344" s="621"/>
      <c r="AA344" s="621"/>
      <c r="AB344" s="494" t="s">
        <v>1076</v>
      </c>
      <c r="AC344" s="494" t="s">
        <v>879</v>
      </c>
      <c r="AD344" s="625" t="s">
        <v>895</v>
      </c>
      <c r="AE344" s="627">
        <v>29940</v>
      </c>
      <c r="AF344" s="623" t="s">
        <v>880</v>
      </c>
      <c r="AG344" s="627">
        <v>7082430448</v>
      </c>
      <c r="AH344" s="494" t="s">
        <v>881</v>
      </c>
      <c r="AI344" s="625" t="s">
        <v>894</v>
      </c>
      <c r="AJ344" s="627">
        <v>29941</v>
      </c>
      <c r="AM344" s="494" t="s">
        <v>786</v>
      </c>
      <c r="AN344" s="625" t="s">
        <v>901</v>
      </c>
      <c r="AO344" s="627">
        <v>22230</v>
      </c>
      <c r="AP344" s="623" t="s">
        <v>882</v>
      </c>
      <c r="AQ344" s="627">
        <v>7089327433</v>
      </c>
    </row>
    <row r="345" spans="1:43" x14ac:dyDescent="0.25">
      <c r="A345" s="625">
        <v>344</v>
      </c>
      <c r="B345" s="494" t="s">
        <v>783</v>
      </c>
      <c r="C345" s="625">
        <v>104</v>
      </c>
      <c r="D345" s="494" t="s">
        <v>922</v>
      </c>
      <c r="E345" s="627">
        <v>9504589</v>
      </c>
      <c r="F345" s="627">
        <v>29948</v>
      </c>
      <c r="G345" s="494" t="s">
        <v>925</v>
      </c>
      <c r="S345" s="629">
        <f t="shared" si="10"/>
        <v>0.47916666666666669</v>
      </c>
      <c r="T345" s="629">
        <f t="shared" si="11"/>
        <v>0.5</v>
      </c>
      <c r="U345" s="494" t="s">
        <v>913</v>
      </c>
      <c r="V345" s="620" t="str">
        <f>Combined_tables[[#This Row],[TimeSlot_Start_text]]</f>
        <v>1130</v>
      </c>
      <c r="W345" s="621" t="s">
        <v>816</v>
      </c>
      <c r="X345" s="621" t="s">
        <v>808</v>
      </c>
      <c r="Y345" s="621"/>
      <c r="Z345" s="621"/>
      <c r="AA345" s="621"/>
      <c r="AB345" s="494" t="s">
        <v>1075</v>
      </c>
      <c r="AC345" s="494" t="s">
        <v>879</v>
      </c>
      <c r="AD345" s="625" t="s">
        <v>895</v>
      </c>
      <c r="AE345" s="627">
        <v>29940</v>
      </c>
      <c r="AF345" s="623" t="s">
        <v>880</v>
      </c>
      <c r="AG345" s="627">
        <v>7082430448</v>
      </c>
      <c r="AH345" s="494" t="s">
        <v>881</v>
      </c>
      <c r="AI345" s="625" t="s">
        <v>894</v>
      </c>
      <c r="AJ345" s="627">
        <v>29941</v>
      </c>
      <c r="AM345" s="494" t="s">
        <v>786</v>
      </c>
      <c r="AN345" s="625" t="s">
        <v>901</v>
      </c>
      <c r="AO345" s="627">
        <v>22230</v>
      </c>
      <c r="AP345" s="623" t="s">
        <v>882</v>
      </c>
      <c r="AQ345" s="627">
        <v>7089327433</v>
      </c>
    </row>
    <row r="346" spans="1:43" ht="15" customHeight="1" x14ac:dyDescent="0.25">
      <c r="A346" s="625">
        <v>345</v>
      </c>
      <c r="B346" s="494" t="s">
        <v>783</v>
      </c>
      <c r="C346" s="625">
        <v>104</v>
      </c>
      <c r="D346" s="494" t="s">
        <v>922</v>
      </c>
      <c r="E346" s="627">
        <v>9504589</v>
      </c>
      <c r="F346" s="627">
        <v>29948</v>
      </c>
      <c r="G346" s="494" t="s">
        <v>925</v>
      </c>
      <c r="S346" s="629">
        <f t="shared" si="10"/>
        <v>0.5</v>
      </c>
      <c r="T346" s="629">
        <f t="shared" si="11"/>
        <v>0.52083333333333337</v>
      </c>
      <c r="U346" s="494" t="s">
        <v>914</v>
      </c>
      <c r="V346" s="620" t="str">
        <f>Combined_tables[[#This Row],[TimeSlot_Start_text]]</f>
        <v>1200</v>
      </c>
      <c r="W346" s="621" t="s">
        <v>354</v>
      </c>
      <c r="X346" s="621" t="s">
        <v>354</v>
      </c>
      <c r="Y346" s="621" t="s">
        <v>354</v>
      </c>
      <c r="Z346" s="621" t="s">
        <v>354</v>
      </c>
      <c r="AA346" s="621" t="s">
        <v>354</v>
      </c>
      <c r="AB346" s="494" t="s">
        <v>1077</v>
      </c>
      <c r="AC346" s="494" t="s">
        <v>879</v>
      </c>
      <c r="AD346" s="625" t="s">
        <v>895</v>
      </c>
      <c r="AE346" s="627">
        <v>29940</v>
      </c>
      <c r="AF346" s="623" t="s">
        <v>880</v>
      </c>
      <c r="AG346" s="627">
        <v>7082430448</v>
      </c>
      <c r="AH346" s="494" t="s">
        <v>881</v>
      </c>
      <c r="AI346" s="625" t="s">
        <v>894</v>
      </c>
      <c r="AJ346" s="627">
        <v>29941</v>
      </c>
      <c r="AM346" s="494" t="s">
        <v>786</v>
      </c>
      <c r="AN346" s="625" t="s">
        <v>901</v>
      </c>
      <c r="AO346" s="627">
        <v>22230</v>
      </c>
      <c r="AP346" s="623" t="s">
        <v>882</v>
      </c>
      <c r="AQ346" s="627">
        <v>7089327433</v>
      </c>
    </row>
    <row r="347" spans="1:43" ht="15.75" customHeight="1" x14ac:dyDescent="0.25">
      <c r="A347" s="625">
        <v>346</v>
      </c>
      <c r="B347" s="494" t="s">
        <v>783</v>
      </c>
      <c r="C347" s="625">
        <v>104</v>
      </c>
      <c r="D347" s="494" t="s">
        <v>922</v>
      </c>
      <c r="E347" s="627">
        <v>9504589</v>
      </c>
      <c r="F347" s="627">
        <v>29948</v>
      </c>
      <c r="G347" s="494" t="s">
        <v>925</v>
      </c>
      <c r="S347" s="629">
        <f t="shared" si="10"/>
        <v>0.52083333333333337</v>
      </c>
      <c r="T347" s="629">
        <f t="shared" si="11"/>
        <v>0.54166666666666674</v>
      </c>
      <c r="U347" s="494" t="s">
        <v>915</v>
      </c>
      <c r="V347" s="620" t="str">
        <f>Combined_tables[[#This Row],[TimeSlot_Start_text]]</f>
        <v>1230</v>
      </c>
      <c r="W347" s="621" t="s">
        <v>354</v>
      </c>
      <c r="X347" s="621" t="s">
        <v>354</v>
      </c>
      <c r="Y347" s="621" t="s">
        <v>354</v>
      </c>
      <c r="Z347" s="621" t="s">
        <v>354</v>
      </c>
      <c r="AA347" s="621" t="s">
        <v>354</v>
      </c>
      <c r="AB347" s="494" t="s">
        <v>1078</v>
      </c>
      <c r="AC347" s="494" t="s">
        <v>879</v>
      </c>
      <c r="AD347" s="625" t="s">
        <v>895</v>
      </c>
      <c r="AE347" s="627">
        <v>29940</v>
      </c>
      <c r="AF347" s="623" t="s">
        <v>880</v>
      </c>
      <c r="AG347" s="627">
        <v>7082430448</v>
      </c>
      <c r="AH347" s="494" t="s">
        <v>881</v>
      </c>
      <c r="AI347" s="625" t="s">
        <v>894</v>
      </c>
      <c r="AJ347" s="627">
        <v>29941</v>
      </c>
      <c r="AM347" s="494" t="s">
        <v>786</v>
      </c>
      <c r="AN347" s="625" t="s">
        <v>901</v>
      </c>
      <c r="AO347" s="627">
        <v>22230</v>
      </c>
      <c r="AP347" s="623" t="s">
        <v>882</v>
      </c>
      <c r="AQ347" s="627">
        <v>7089327433</v>
      </c>
    </row>
    <row r="348" spans="1:43" x14ac:dyDescent="0.25">
      <c r="A348" s="625">
        <v>347</v>
      </c>
      <c r="B348" s="494" t="s">
        <v>783</v>
      </c>
      <c r="C348" s="625">
        <v>104</v>
      </c>
      <c r="D348" s="494" t="s">
        <v>922</v>
      </c>
      <c r="E348" s="627">
        <v>9504589</v>
      </c>
      <c r="F348" s="627">
        <v>29948</v>
      </c>
      <c r="G348" s="494" t="s">
        <v>925</v>
      </c>
      <c r="S348" s="629">
        <f t="shared" si="10"/>
        <v>0.54166666666666663</v>
      </c>
      <c r="T348" s="629">
        <f t="shared" si="11"/>
        <v>0.5625</v>
      </c>
      <c r="U348" s="494" t="s">
        <v>916</v>
      </c>
      <c r="V348" s="620" t="str">
        <f>Combined_tables[[#This Row],[TimeSlot_Start_text]]</f>
        <v>1300</v>
      </c>
      <c r="W348" s="621"/>
      <c r="X348" s="621"/>
      <c r="Y348" s="621"/>
      <c r="Z348" s="621"/>
      <c r="AA348" s="621" t="s">
        <v>821</v>
      </c>
      <c r="AB348" s="494" t="s">
        <v>1071</v>
      </c>
      <c r="AC348" s="494" t="s">
        <v>879</v>
      </c>
      <c r="AD348" s="625" t="s">
        <v>895</v>
      </c>
      <c r="AE348" s="627">
        <v>29940</v>
      </c>
      <c r="AF348" s="623" t="s">
        <v>880</v>
      </c>
      <c r="AG348" s="627">
        <v>7082430448</v>
      </c>
      <c r="AH348" s="494" t="s">
        <v>881</v>
      </c>
      <c r="AI348" s="625" t="s">
        <v>894</v>
      </c>
      <c r="AJ348" s="627">
        <v>29941</v>
      </c>
      <c r="AM348" s="494" t="s">
        <v>786</v>
      </c>
      <c r="AN348" s="625" t="s">
        <v>901</v>
      </c>
      <c r="AO348" s="627">
        <v>22230</v>
      </c>
      <c r="AP348" s="623" t="s">
        <v>882</v>
      </c>
      <c r="AQ348" s="627">
        <v>7089327433</v>
      </c>
    </row>
    <row r="349" spans="1:43" x14ac:dyDescent="0.25">
      <c r="A349" s="625">
        <v>348</v>
      </c>
      <c r="B349" s="494" t="s">
        <v>783</v>
      </c>
      <c r="C349" s="625">
        <v>104</v>
      </c>
      <c r="D349" s="494" t="s">
        <v>922</v>
      </c>
      <c r="E349" s="627">
        <v>9504589</v>
      </c>
      <c r="F349" s="627">
        <v>29948</v>
      </c>
      <c r="G349" s="494" t="s">
        <v>925</v>
      </c>
      <c r="S349" s="629">
        <f t="shared" si="10"/>
        <v>0.5625</v>
      </c>
      <c r="T349" s="629">
        <f t="shared" si="11"/>
        <v>0.58333333333333337</v>
      </c>
      <c r="U349" s="494" t="s">
        <v>917</v>
      </c>
      <c r="V349" s="620" t="str">
        <f>Combined_tables[[#This Row],[TimeSlot_Start_text]]</f>
        <v>1330</v>
      </c>
      <c r="W349" s="621"/>
      <c r="X349" s="621"/>
      <c r="Y349" s="621" t="s">
        <v>808</v>
      </c>
      <c r="Z349" s="621"/>
      <c r="AA349" s="621" t="s">
        <v>821</v>
      </c>
      <c r="AB349" s="494" t="s">
        <v>1072</v>
      </c>
      <c r="AC349" s="494" t="s">
        <v>879</v>
      </c>
      <c r="AD349" s="625" t="s">
        <v>895</v>
      </c>
      <c r="AE349" s="627">
        <v>29940</v>
      </c>
      <c r="AF349" s="623" t="s">
        <v>880</v>
      </c>
      <c r="AG349" s="627">
        <v>7082430448</v>
      </c>
      <c r="AH349" s="494" t="s">
        <v>881</v>
      </c>
      <c r="AI349" s="625" t="s">
        <v>894</v>
      </c>
      <c r="AJ349" s="627">
        <v>29941</v>
      </c>
      <c r="AM349" s="494" t="s">
        <v>786</v>
      </c>
      <c r="AN349" s="625" t="s">
        <v>901</v>
      </c>
      <c r="AO349" s="627">
        <v>22230</v>
      </c>
      <c r="AP349" s="623" t="s">
        <v>882</v>
      </c>
      <c r="AQ349" s="627">
        <v>7089327433</v>
      </c>
    </row>
    <row r="350" spans="1:43" x14ac:dyDescent="0.25">
      <c r="A350" s="625">
        <v>349</v>
      </c>
      <c r="B350" s="494" t="s">
        <v>783</v>
      </c>
      <c r="C350" s="625">
        <v>104</v>
      </c>
      <c r="D350" s="494" t="s">
        <v>922</v>
      </c>
      <c r="E350" s="627">
        <v>9504589</v>
      </c>
      <c r="F350" s="627">
        <v>29948</v>
      </c>
      <c r="G350" s="494" t="s">
        <v>925</v>
      </c>
      <c r="S350" s="629">
        <f t="shared" si="10"/>
        <v>0.58333333333333337</v>
      </c>
      <c r="T350" s="629">
        <f t="shared" si="11"/>
        <v>0.60416666666666674</v>
      </c>
      <c r="U350" s="494" t="s">
        <v>918</v>
      </c>
      <c r="V350" s="620" t="str">
        <f>Combined_tables[[#This Row],[TimeSlot_Start_text]]</f>
        <v>1400</v>
      </c>
      <c r="W350" s="621"/>
      <c r="X350" s="621" t="s">
        <v>381</v>
      </c>
      <c r="Y350" s="621" t="s">
        <v>808</v>
      </c>
      <c r="Z350" s="621"/>
      <c r="AA350" s="621"/>
      <c r="AB350" s="494" t="s">
        <v>1079</v>
      </c>
      <c r="AC350" s="494" t="s">
        <v>879</v>
      </c>
      <c r="AD350" s="625" t="s">
        <v>895</v>
      </c>
      <c r="AE350" s="627">
        <v>29940</v>
      </c>
      <c r="AF350" s="623" t="s">
        <v>880</v>
      </c>
      <c r="AG350" s="627">
        <v>7082430448</v>
      </c>
      <c r="AH350" s="494" t="s">
        <v>881</v>
      </c>
      <c r="AI350" s="625" t="s">
        <v>894</v>
      </c>
      <c r="AJ350" s="627">
        <v>29941</v>
      </c>
      <c r="AM350" s="494" t="s">
        <v>786</v>
      </c>
      <c r="AN350" s="625" t="s">
        <v>901</v>
      </c>
      <c r="AO350" s="627">
        <v>22230</v>
      </c>
      <c r="AP350" s="623" t="s">
        <v>882</v>
      </c>
      <c r="AQ350" s="627">
        <v>7089327433</v>
      </c>
    </row>
    <row r="351" spans="1:43" x14ac:dyDescent="0.25">
      <c r="A351" s="625">
        <v>350</v>
      </c>
      <c r="B351" s="494" t="s">
        <v>783</v>
      </c>
      <c r="C351" s="625">
        <v>104</v>
      </c>
      <c r="D351" s="494" t="s">
        <v>922</v>
      </c>
      <c r="E351" s="627">
        <v>9504589</v>
      </c>
      <c r="F351" s="627">
        <v>29948</v>
      </c>
      <c r="G351" s="494" t="s">
        <v>925</v>
      </c>
      <c r="S351" s="629">
        <f t="shared" si="10"/>
        <v>0.60416666666666663</v>
      </c>
      <c r="T351" s="629">
        <f t="shared" si="11"/>
        <v>0.625</v>
      </c>
      <c r="U351" s="494" t="s">
        <v>919</v>
      </c>
      <c r="V351" s="620" t="str">
        <f>Combined_tables[[#This Row],[TimeSlot_Start_text]]</f>
        <v>1430</v>
      </c>
      <c r="W351" s="621"/>
      <c r="X351" s="621"/>
      <c r="Y351" s="621" t="s">
        <v>808</v>
      </c>
      <c r="Z351" s="621"/>
      <c r="AA351" s="621"/>
      <c r="AB351" s="494" t="s">
        <v>1080</v>
      </c>
      <c r="AC351" s="494" t="s">
        <v>879</v>
      </c>
      <c r="AD351" s="625" t="s">
        <v>895</v>
      </c>
      <c r="AE351" s="627">
        <v>29940</v>
      </c>
      <c r="AF351" s="623" t="s">
        <v>880</v>
      </c>
      <c r="AG351" s="627">
        <v>7082430448</v>
      </c>
      <c r="AH351" s="494" t="s">
        <v>881</v>
      </c>
      <c r="AI351" s="625" t="s">
        <v>894</v>
      </c>
      <c r="AJ351" s="627">
        <v>29941</v>
      </c>
      <c r="AM351" s="494" t="s">
        <v>786</v>
      </c>
      <c r="AN351" s="625" t="s">
        <v>901</v>
      </c>
      <c r="AO351" s="627">
        <v>22230</v>
      </c>
      <c r="AP351" s="623" t="s">
        <v>882</v>
      </c>
      <c r="AQ351" s="627">
        <v>7089327433</v>
      </c>
    </row>
    <row r="352" spans="1:43" x14ac:dyDescent="0.25">
      <c r="A352" s="625">
        <v>351</v>
      </c>
      <c r="B352" s="494" t="s">
        <v>783</v>
      </c>
      <c r="C352" s="625">
        <v>104</v>
      </c>
      <c r="D352" s="494" t="s">
        <v>922</v>
      </c>
      <c r="E352" s="627">
        <v>9504589</v>
      </c>
      <c r="F352" s="627">
        <v>29948</v>
      </c>
      <c r="G352" s="494" t="s">
        <v>925</v>
      </c>
      <c r="S352" s="629">
        <f t="shared" si="10"/>
        <v>0.625</v>
      </c>
      <c r="T352" s="629">
        <f t="shared" si="11"/>
        <v>0.64583333333333337</v>
      </c>
      <c r="U352" s="494" t="s">
        <v>920</v>
      </c>
      <c r="V352" s="620" t="str">
        <f>Combined_tables[[#This Row],[TimeSlot_Start_text]]</f>
        <v>1500</v>
      </c>
      <c r="W352" s="621"/>
      <c r="X352" s="621"/>
      <c r="Y352" s="621" t="s">
        <v>808</v>
      </c>
      <c r="Z352" s="621"/>
      <c r="AA352" s="621"/>
      <c r="AB352" s="494" t="s">
        <v>1081</v>
      </c>
      <c r="AC352" s="494" t="s">
        <v>879</v>
      </c>
      <c r="AD352" s="625" t="s">
        <v>895</v>
      </c>
      <c r="AE352" s="627">
        <v>29940</v>
      </c>
      <c r="AF352" s="623" t="s">
        <v>880</v>
      </c>
      <c r="AG352" s="627">
        <v>7082430448</v>
      </c>
      <c r="AH352" s="494" t="s">
        <v>881</v>
      </c>
      <c r="AI352" s="625" t="s">
        <v>894</v>
      </c>
      <c r="AJ352" s="627">
        <v>29941</v>
      </c>
      <c r="AM352" s="494" t="s">
        <v>786</v>
      </c>
      <c r="AN352" s="625" t="s">
        <v>901</v>
      </c>
      <c r="AO352" s="627">
        <v>22230</v>
      </c>
      <c r="AP352" s="623" t="s">
        <v>882</v>
      </c>
      <c r="AQ352" s="627">
        <v>7089327433</v>
      </c>
    </row>
    <row r="353" spans="1:43" x14ac:dyDescent="0.25">
      <c r="A353" s="625">
        <v>352</v>
      </c>
      <c r="B353" s="494" t="s">
        <v>783</v>
      </c>
      <c r="C353" s="625">
        <v>104</v>
      </c>
      <c r="D353" s="494" t="s">
        <v>922</v>
      </c>
      <c r="E353" s="627">
        <v>9504589</v>
      </c>
      <c r="F353" s="627">
        <v>29948</v>
      </c>
      <c r="G353" s="494" t="s">
        <v>925</v>
      </c>
      <c r="S353" s="629">
        <f t="shared" si="10"/>
        <v>0.64583333333333337</v>
      </c>
      <c r="T353" s="629">
        <f t="shared" si="11"/>
        <v>0.66666666666666674</v>
      </c>
      <c r="U353" s="494" t="s">
        <v>921</v>
      </c>
      <c r="V353" s="620" t="str">
        <f>Combined_tables[[#This Row],[TimeSlot_Start_text]]</f>
        <v>1530</v>
      </c>
      <c r="W353" s="621"/>
      <c r="X353" s="621"/>
      <c r="Y353" s="621"/>
      <c r="Z353" s="621"/>
      <c r="AA353" s="621"/>
      <c r="AB353" s="494" t="s">
        <v>1082</v>
      </c>
      <c r="AC353" s="494" t="s">
        <v>879</v>
      </c>
      <c r="AD353" s="625" t="s">
        <v>895</v>
      </c>
      <c r="AE353" s="627">
        <v>29940</v>
      </c>
      <c r="AF353" s="623" t="s">
        <v>880</v>
      </c>
      <c r="AG353" s="627">
        <v>7082430448</v>
      </c>
      <c r="AH353" s="494" t="s">
        <v>881</v>
      </c>
      <c r="AI353" s="625" t="s">
        <v>894</v>
      </c>
      <c r="AJ353" s="627">
        <v>29941</v>
      </c>
      <c r="AM353" s="494" t="s">
        <v>786</v>
      </c>
      <c r="AN353" s="625" t="s">
        <v>901</v>
      </c>
      <c r="AO353" s="627">
        <v>22230</v>
      </c>
      <c r="AP353" s="623" t="s">
        <v>882</v>
      </c>
      <c r="AQ353" s="627">
        <v>7089327433</v>
      </c>
    </row>
    <row r="354" spans="1:43" ht="15" customHeight="1" x14ac:dyDescent="0.25">
      <c r="A354" s="625">
        <v>353</v>
      </c>
      <c r="B354" s="494" t="s">
        <v>783</v>
      </c>
      <c r="C354" s="625">
        <v>105</v>
      </c>
      <c r="D354" s="494" t="s">
        <v>926</v>
      </c>
      <c r="E354" s="627">
        <v>9504574</v>
      </c>
      <c r="F354" s="627">
        <v>29944</v>
      </c>
      <c r="S354" s="629">
        <f t="shared" si="10"/>
        <v>0.33333333333333331</v>
      </c>
      <c r="T354" s="629">
        <f t="shared" si="11"/>
        <v>0.35416666666666663</v>
      </c>
      <c r="U354" s="494" t="s">
        <v>906</v>
      </c>
      <c r="V354" s="620" t="str">
        <f>Combined_tables[[#This Row],[TimeSlot_Start_text]]</f>
        <v>0800</v>
      </c>
      <c r="W354" s="621"/>
      <c r="X354" s="621"/>
      <c r="Y354" s="621"/>
      <c r="Z354" s="621" t="s">
        <v>381</v>
      </c>
      <c r="AA354" s="621"/>
      <c r="AB354" s="494" t="s">
        <v>1083</v>
      </c>
      <c r="AC354" s="494" t="s">
        <v>879</v>
      </c>
      <c r="AD354" s="625" t="s">
        <v>895</v>
      </c>
      <c r="AE354" s="627">
        <v>29940</v>
      </c>
      <c r="AF354" s="623" t="s">
        <v>880</v>
      </c>
      <c r="AG354" s="627">
        <v>7082430448</v>
      </c>
      <c r="AH354" s="494" t="s">
        <v>881</v>
      </c>
      <c r="AI354" s="625" t="s">
        <v>894</v>
      </c>
      <c r="AJ354" s="627">
        <v>29941</v>
      </c>
      <c r="AM354" s="494" t="s">
        <v>786</v>
      </c>
      <c r="AN354" s="625" t="s">
        <v>901</v>
      </c>
      <c r="AO354" s="627">
        <v>22230</v>
      </c>
      <c r="AP354" s="623" t="s">
        <v>882</v>
      </c>
      <c r="AQ354" s="627">
        <v>7089327433</v>
      </c>
    </row>
    <row r="355" spans="1:43" ht="15" customHeight="1" x14ac:dyDescent="0.25">
      <c r="A355" s="625">
        <v>354</v>
      </c>
      <c r="B355" s="494" t="s">
        <v>783</v>
      </c>
      <c r="C355" s="625">
        <v>105</v>
      </c>
      <c r="D355" s="494" t="s">
        <v>926</v>
      </c>
      <c r="E355" s="627">
        <v>9504574</v>
      </c>
      <c r="F355" s="627">
        <v>29944</v>
      </c>
      <c r="S355" s="629">
        <f t="shared" si="10"/>
        <v>0.35416666666666669</v>
      </c>
      <c r="T355" s="629">
        <f t="shared" si="11"/>
        <v>0.375</v>
      </c>
      <c r="U355" s="494" t="s">
        <v>907</v>
      </c>
      <c r="V355" s="620" t="str">
        <f>Combined_tables[[#This Row],[TimeSlot_Start_text]]</f>
        <v>0830</v>
      </c>
      <c r="W355" s="621" t="s">
        <v>809</v>
      </c>
      <c r="X355" s="621"/>
      <c r="Y355" s="621" t="s">
        <v>809</v>
      </c>
      <c r="Z355" s="621"/>
      <c r="AA355" s="621" t="s">
        <v>381</v>
      </c>
      <c r="AB355" s="494" t="s">
        <v>1084</v>
      </c>
      <c r="AC355" s="494" t="s">
        <v>879</v>
      </c>
      <c r="AD355" s="625" t="s">
        <v>895</v>
      </c>
      <c r="AE355" s="627">
        <v>29940</v>
      </c>
      <c r="AF355" s="623" t="s">
        <v>880</v>
      </c>
      <c r="AG355" s="627">
        <v>7082430448</v>
      </c>
      <c r="AH355" s="494" t="s">
        <v>881</v>
      </c>
      <c r="AI355" s="625" t="s">
        <v>894</v>
      </c>
      <c r="AJ355" s="627">
        <v>29941</v>
      </c>
      <c r="AM355" s="494" t="s">
        <v>786</v>
      </c>
      <c r="AN355" s="625" t="s">
        <v>901</v>
      </c>
      <c r="AO355" s="627">
        <v>22230</v>
      </c>
      <c r="AP355" s="623" t="s">
        <v>882</v>
      </c>
      <c r="AQ355" s="627">
        <v>7089327433</v>
      </c>
    </row>
    <row r="356" spans="1:43" ht="15" customHeight="1" x14ac:dyDescent="0.25">
      <c r="A356" s="625">
        <v>355</v>
      </c>
      <c r="B356" s="494" t="s">
        <v>783</v>
      </c>
      <c r="C356" s="625">
        <v>105</v>
      </c>
      <c r="D356" s="494" t="s">
        <v>926</v>
      </c>
      <c r="E356" s="627">
        <v>9504574</v>
      </c>
      <c r="F356" s="627">
        <v>29944</v>
      </c>
      <c r="S356" s="629">
        <f t="shared" si="10"/>
        <v>0.375</v>
      </c>
      <c r="T356" s="629">
        <f t="shared" si="11"/>
        <v>0.39583333333333331</v>
      </c>
      <c r="U356" s="494" t="s">
        <v>908</v>
      </c>
      <c r="V356" s="620" t="str">
        <f>Combined_tables[[#This Row],[TimeSlot_Start_text]]</f>
        <v>0900</v>
      </c>
      <c r="W356" s="621" t="s">
        <v>809</v>
      </c>
      <c r="X356" s="621"/>
      <c r="Y356" s="621" t="s">
        <v>809</v>
      </c>
      <c r="Z356" s="621"/>
      <c r="AA356" s="621"/>
      <c r="AB356" s="494" t="s">
        <v>1085</v>
      </c>
      <c r="AC356" s="494" t="s">
        <v>879</v>
      </c>
      <c r="AD356" s="625" t="s">
        <v>895</v>
      </c>
      <c r="AE356" s="627">
        <v>29940</v>
      </c>
      <c r="AF356" s="623" t="s">
        <v>880</v>
      </c>
      <c r="AG356" s="627">
        <v>7082430448</v>
      </c>
      <c r="AH356" s="494" t="s">
        <v>881</v>
      </c>
      <c r="AI356" s="625" t="s">
        <v>894</v>
      </c>
      <c r="AJ356" s="627">
        <v>29941</v>
      </c>
      <c r="AM356" s="494" t="s">
        <v>786</v>
      </c>
      <c r="AN356" s="625" t="s">
        <v>901</v>
      </c>
      <c r="AO356" s="627">
        <v>22230</v>
      </c>
      <c r="AP356" s="623" t="s">
        <v>882</v>
      </c>
      <c r="AQ356" s="627">
        <v>7089327433</v>
      </c>
    </row>
    <row r="357" spans="1:43" ht="15" customHeight="1" x14ac:dyDescent="0.25">
      <c r="A357" s="625">
        <v>356</v>
      </c>
      <c r="B357" s="494" t="s">
        <v>783</v>
      </c>
      <c r="C357" s="625">
        <v>105</v>
      </c>
      <c r="D357" s="494" t="s">
        <v>926</v>
      </c>
      <c r="E357" s="627">
        <v>9504574</v>
      </c>
      <c r="F357" s="627">
        <v>29944</v>
      </c>
      <c r="S357" s="629">
        <f t="shared" si="10"/>
        <v>0.39583333333333331</v>
      </c>
      <c r="T357" s="629">
        <f t="shared" si="11"/>
        <v>0.41666666666666663</v>
      </c>
      <c r="U357" s="494" t="s">
        <v>909</v>
      </c>
      <c r="V357" s="620" t="str">
        <f>Combined_tables[[#This Row],[TimeSlot_Start_text]]</f>
        <v>0930</v>
      </c>
      <c r="W357" s="621" t="s">
        <v>809</v>
      </c>
      <c r="X357" s="621"/>
      <c r="Y357" s="621" t="s">
        <v>809</v>
      </c>
      <c r="Z357" s="621" t="s">
        <v>381</v>
      </c>
      <c r="AA357" s="621"/>
      <c r="AB357" s="494" t="s">
        <v>1086</v>
      </c>
      <c r="AC357" s="494" t="s">
        <v>879</v>
      </c>
      <c r="AD357" s="625" t="s">
        <v>895</v>
      </c>
      <c r="AE357" s="627">
        <v>29940</v>
      </c>
      <c r="AF357" s="623" t="s">
        <v>880</v>
      </c>
      <c r="AG357" s="627">
        <v>7082430448</v>
      </c>
      <c r="AH357" s="494" t="s">
        <v>881</v>
      </c>
      <c r="AI357" s="625" t="s">
        <v>894</v>
      </c>
      <c r="AJ357" s="627">
        <v>29941</v>
      </c>
      <c r="AM357" s="494" t="s">
        <v>786</v>
      </c>
      <c r="AN357" s="625" t="s">
        <v>901</v>
      </c>
      <c r="AO357" s="627">
        <v>22230</v>
      </c>
      <c r="AP357" s="623" t="s">
        <v>882</v>
      </c>
      <c r="AQ357" s="627">
        <v>7089327433</v>
      </c>
    </row>
    <row r="358" spans="1:43" x14ac:dyDescent="0.25">
      <c r="A358" s="625">
        <v>357</v>
      </c>
      <c r="B358" s="494" t="s">
        <v>783</v>
      </c>
      <c r="C358" s="625">
        <v>105</v>
      </c>
      <c r="D358" s="494" t="s">
        <v>926</v>
      </c>
      <c r="E358" s="627">
        <v>9504574</v>
      </c>
      <c r="F358" s="627">
        <v>29944</v>
      </c>
      <c r="S358" s="629">
        <f t="shared" si="10"/>
        <v>0.41666666666666669</v>
      </c>
      <c r="T358" s="629">
        <f t="shared" si="11"/>
        <v>0.4375</v>
      </c>
      <c r="U358" s="494" t="s">
        <v>910</v>
      </c>
      <c r="V358" s="620" t="str">
        <f>Combined_tables[[#This Row],[TimeSlot_Start_text]]</f>
        <v>1000</v>
      </c>
      <c r="W358" s="621"/>
      <c r="X358" s="621"/>
      <c r="Y358" s="621"/>
      <c r="Z358" s="621"/>
      <c r="AA358" s="621"/>
      <c r="AB358" s="494" t="s">
        <v>1073</v>
      </c>
      <c r="AC358" s="494" t="s">
        <v>879</v>
      </c>
      <c r="AD358" s="625" t="s">
        <v>895</v>
      </c>
      <c r="AE358" s="627">
        <v>29940</v>
      </c>
      <c r="AF358" s="623" t="s">
        <v>880</v>
      </c>
      <c r="AG358" s="627">
        <v>7082430448</v>
      </c>
      <c r="AH358" s="494" t="s">
        <v>881</v>
      </c>
      <c r="AI358" s="625" t="s">
        <v>894</v>
      </c>
      <c r="AJ358" s="627">
        <v>29941</v>
      </c>
      <c r="AM358" s="494" t="s">
        <v>786</v>
      </c>
      <c r="AN358" s="625" t="s">
        <v>901</v>
      </c>
      <c r="AO358" s="627">
        <v>22230</v>
      </c>
      <c r="AP358" s="623" t="s">
        <v>882</v>
      </c>
      <c r="AQ358" s="627">
        <v>7089327433</v>
      </c>
    </row>
    <row r="359" spans="1:43" x14ac:dyDescent="0.25">
      <c r="A359" s="625">
        <v>358</v>
      </c>
      <c r="B359" s="494" t="s">
        <v>783</v>
      </c>
      <c r="C359" s="625">
        <v>105</v>
      </c>
      <c r="D359" s="494" t="s">
        <v>926</v>
      </c>
      <c r="E359" s="627">
        <v>9504574</v>
      </c>
      <c r="F359" s="627">
        <v>29944</v>
      </c>
      <c r="S359" s="629">
        <f t="shared" si="10"/>
        <v>0.4375</v>
      </c>
      <c r="T359" s="629">
        <f t="shared" si="11"/>
        <v>0.45833333333333331</v>
      </c>
      <c r="U359" s="494" t="s">
        <v>911</v>
      </c>
      <c r="V359" s="620" t="str">
        <f>Combined_tables[[#This Row],[TimeSlot_Start_text]]</f>
        <v>1030</v>
      </c>
      <c r="W359" s="621" t="s">
        <v>809</v>
      </c>
      <c r="X359" s="621"/>
      <c r="Y359" s="621" t="s">
        <v>809</v>
      </c>
      <c r="Z359" s="621"/>
      <c r="AA359" s="621"/>
      <c r="AB359" s="494" t="s">
        <v>1074</v>
      </c>
      <c r="AC359" s="494" t="s">
        <v>879</v>
      </c>
      <c r="AD359" s="625" t="s">
        <v>895</v>
      </c>
      <c r="AE359" s="627">
        <v>29940</v>
      </c>
      <c r="AF359" s="623" t="s">
        <v>880</v>
      </c>
      <c r="AG359" s="627">
        <v>7082430448</v>
      </c>
      <c r="AH359" s="494" t="s">
        <v>881</v>
      </c>
      <c r="AI359" s="625" t="s">
        <v>894</v>
      </c>
      <c r="AJ359" s="627">
        <v>29941</v>
      </c>
      <c r="AM359" s="494" t="s">
        <v>786</v>
      </c>
      <c r="AN359" s="625" t="s">
        <v>901</v>
      </c>
      <c r="AO359" s="627">
        <v>22230</v>
      </c>
      <c r="AP359" s="623" t="s">
        <v>882</v>
      </c>
      <c r="AQ359" s="627">
        <v>7089327433</v>
      </c>
    </row>
    <row r="360" spans="1:43" x14ac:dyDescent="0.25">
      <c r="A360" s="625">
        <v>359</v>
      </c>
      <c r="B360" s="494" t="s">
        <v>783</v>
      </c>
      <c r="C360" s="625">
        <v>105</v>
      </c>
      <c r="D360" s="494" t="s">
        <v>926</v>
      </c>
      <c r="E360" s="627">
        <v>9504574</v>
      </c>
      <c r="F360" s="627">
        <v>29944</v>
      </c>
      <c r="S360" s="629">
        <f t="shared" si="10"/>
        <v>0.45833333333333331</v>
      </c>
      <c r="T360" s="629">
        <f t="shared" si="11"/>
        <v>0.47916666666666663</v>
      </c>
      <c r="U360" s="494" t="s">
        <v>912</v>
      </c>
      <c r="V360" s="620" t="str">
        <f>Combined_tables[[#This Row],[TimeSlot_Start_text]]</f>
        <v>1100</v>
      </c>
      <c r="W360" s="621" t="s">
        <v>809</v>
      </c>
      <c r="X360" s="621"/>
      <c r="Y360" s="621" t="s">
        <v>809</v>
      </c>
      <c r="Z360" s="621"/>
      <c r="AA360" s="621"/>
      <c r="AB360" s="494" t="s">
        <v>1076</v>
      </c>
      <c r="AC360" s="494" t="s">
        <v>879</v>
      </c>
      <c r="AD360" s="625" t="s">
        <v>895</v>
      </c>
      <c r="AE360" s="627">
        <v>29940</v>
      </c>
      <c r="AF360" s="623" t="s">
        <v>880</v>
      </c>
      <c r="AG360" s="627">
        <v>7082430448</v>
      </c>
      <c r="AH360" s="494" t="s">
        <v>881</v>
      </c>
      <c r="AI360" s="625" t="s">
        <v>894</v>
      </c>
      <c r="AJ360" s="627">
        <v>29941</v>
      </c>
      <c r="AM360" s="494" t="s">
        <v>786</v>
      </c>
      <c r="AN360" s="625" t="s">
        <v>901</v>
      </c>
      <c r="AO360" s="627">
        <v>22230</v>
      </c>
      <c r="AP360" s="623" t="s">
        <v>882</v>
      </c>
      <c r="AQ360" s="627">
        <v>7089327433</v>
      </c>
    </row>
    <row r="361" spans="1:43" x14ac:dyDescent="0.25">
      <c r="A361" s="625">
        <v>360</v>
      </c>
      <c r="B361" s="494" t="s">
        <v>783</v>
      </c>
      <c r="C361" s="625">
        <v>105</v>
      </c>
      <c r="D361" s="494" t="s">
        <v>926</v>
      </c>
      <c r="E361" s="627">
        <v>9504574</v>
      </c>
      <c r="F361" s="627">
        <v>29944</v>
      </c>
      <c r="S361" s="629">
        <f t="shared" si="10"/>
        <v>0.47916666666666669</v>
      </c>
      <c r="T361" s="629">
        <f t="shared" si="11"/>
        <v>0.5</v>
      </c>
      <c r="U361" s="494" t="s">
        <v>913</v>
      </c>
      <c r="V361" s="620" t="str">
        <f>Combined_tables[[#This Row],[TimeSlot_Start_text]]</f>
        <v>1130</v>
      </c>
      <c r="W361" s="621" t="s">
        <v>809</v>
      </c>
      <c r="X361" s="621"/>
      <c r="Y361" s="621" t="s">
        <v>809</v>
      </c>
      <c r="Z361" s="621"/>
      <c r="AA361" s="621"/>
      <c r="AB361" s="494" t="s">
        <v>1075</v>
      </c>
      <c r="AC361" s="494" t="s">
        <v>879</v>
      </c>
      <c r="AD361" s="625" t="s">
        <v>895</v>
      </c>
      <c r="AE361" s="627">
        <v>29940</v>
      </c>
      <c r="AF361" s="623" t="s">
        <v>880</v>
      </c>
      <c r="AG361" s="627">
        <v>7082430448</v>
      </c>
      <c r="AH361" s="494" t="s">
        <v>881</v>
      </c>
      <c r="AI361" s="625" t="s">
        <v>894</v>
      </c>
      <c r="AJ361" s="627">
        <v>29941</v>
      </c>
      <c r="AM361" s="494" t="s">
        <v>786</v>
      </c>
      <c r="AN361" s="625" t="s">
        <v>901</v>
      </c>
      <c r="AO361" s="627">
        <v>22230</v>
      </c>
      <c r="AP361" s="623" t="s">
        <v>882</v>
      </c>
      <c r="AQ361" s="627">
        <v>7089327433</v>
      </c>
    </row>
    <row r="362" spans="1:43" ht="15" customHeight="1" x14ac:dyDescent="0.25">
      <c r="A362" s="625">
        <v>361</v>
      </c>
      <c r="B362" s="494" t="s">
        <v>783</v>
      </c>
      <c r="C362" s="625">
        <v>105</v>
      </c>
      <c r="D362" s="494" t="s">
        <v>926</v>
      </c>
      <c r="E362" s="627">
        <v>9504574</v>
      </c>
      <c r="F362" s="627">
        <v>29944</v>
      </c>
      <c r="S362" s="629">
        <f t="shared" si="10"/>
        <v>0.5</v>
      </c>
      <c r="T362" s="629">
        <f t="shared" si="11"/>
        <v>0.52083333333333337</v>
      </c>
      <c r="U362" s="494" t="s">
        <v>914</v>
      </c>
      <c r="V362" s="620" t="str">
        <f>Combined_tables[[#This Row],[TimeSlot_Start_text]]</f>
        <v>1200</v>
      </c>
      <c r="W362" s="621" t="s">
        <v>354</v>
      </c>
      <c r="X362" s="621" t="s">
        <v>354</v>
      </c>
      <c r="Y362" s="621" t="s">
        <v>354</v>
      </c>
      <c r="Z362" s="621" t="s">
        <v>354</v>
      </c>
      <c r="AA362" s="621" t="s">
        <v>354</v>
      </c>
      <c r="AB362" s="494" t="s">
        <v>1077</v>
      </c>
      <c r="AC362" s="494" t="s">
        <v>879</v>
      </c>
      <c r="AD362" s="625" t="s">
        <v>895</v>
      </c>
      <c r="AE362" s="627">
        <v>29940</v>
      </c>
      <c r="AF362" s="623" t="s">
        <v>880</v>
      </c>
      <c r="AG362" s="627">
        <v>7082430448</v>
      </c>
      <c r="AH362" s="494" t="s">
        <v>881</v>
      </c>
      <c r="AI362" s="625" t="s">
        <v>894</v>
      </c>
      <c r="AJ362" s="627">
        <v>29941</v>
      </c>
      <c r="AM362" s="494" t="s">
        <v>786</v>
      </c>
      <c r="AN362" s="625" t="s">
        <v>901</v>
      </c>
      <c r="AO362" s="627">
        <v>22230</v>
      </c>
      <c r="AP362" s="623" t="s">
        <v>882</v>
      </c>
      <c r="AQ362" s="627">
        <v>7089327433</v>
      </c>
    </row>
    <row r="363" spans="1:43" ht="15.75" customHeight="1" x14ac:dyDescent="0.25">
      <c r="A363" s="625">
        <v>362</v>
      </c>
      <c r="B363" s="494" t="s">
        <v>783</v>
      </c>
      <c r="C363" s="625">
        <v>105</v>
      </c>
      <c r="D363" s="494" t="s">
        <v>926</v>
      </c>
      <c r="E363" s="627">
        <v>9504574</v>
      </c>
      <c r="F363" s="627">
        <v>29944</v>
      </c>
      <c r="S363" s="629">
        <f t="shared" si="10"/>
        <v>0.52083333333333337</v>
      </c>
      <c r="T363" s="629">
        <f t="shared" si="11"/>
        <v>0.54166666666666674</v>
      </c>
      <c r="U363" s="494" t="s">
        <v>915</v>
      </c>
      <c r="V363" s="620" t="str">
        <f>Combined_tables[[#This Row],[TimeSlot_Start_text]]</f>
        <v>1230</v>
      </c>
      <c r="W363" s="621" t="s">
        <v>354</v>
      </c>
      <c r="X363" s="621" t="s">
        <v>354</v>
      </c>
      <c r="Y363" s="621" t="s">
        <v>354</v>
      </c>
      <c r="Z363" s="621" t="s">
        <v>354</v>
      </c>
      <c r="AA363" s="621" t="s">
        <v>354</v>
      </c>
      <c r="AB363" s="494" t="s">
        <v>1078</v>
      </c>
      <c r="AC363" s="494" t="s">
        <v>879</v>
      </c>
      <c r="AD363" s="625" t="s">
        <v>895</v>
      </c>
      <c r="AE363" s="627">
        <v>29940</v>
      </c>
      <c r="AF363" s="623" t="s">
        <v>880</v>
      </c>
      <c r="AG363" s="627">
        <v>7082430448</v>
      </c>
      <c r="AH363" s="494" t="s">
        <v>881</v>
      </c>
      <c r="AI363" s="625" t="s">
        <v>894</v>
      </c>
      <c r="AJ363" s="627">
        <v>29941</v>
      </c>
      <c r="AM363" s="494" t="s">
        <v>786</v>
      </c>
      <c r="AN363" s="625" t="s">
        <v>901</v>
      </c>
      <c r="AO363" s="627">
        <v>22230</v>
      </c>
      <c r="AP363" s="623" t="s">
        <v>882</v>
      </c>
      <c r="AQ363" s="627">
        <v>7089327433</v>
      </c>
    </row>
    <row r="364" spans="1:43" x14ac:dyDescent="0.25">
      <c r="A364" s="625">
        <v>363</v>
      </c>
      <c r="B364" s="494" t="s">
        <v>783</v>
      </c>
      <c r="C364" s="625">
        <v>105</v>
      </c>
      <c r="D364" s="494" t="s">
        <v>926</v>
      </c>
      <c r="E364" s="627">
        <v>9504574</v>
      </c>
      <c r="F364" s="627">
        <v>29944</v>
      </c>
      <c r="S364" s="629">
        <f t="shared" si="10"/>
        <v>0.54166666666666663</v>
      </c>
      <c r="T364" s="629">
        <f t="shared" si="11"/>
        <v>0.5625</v>
      </c>
      <c r="U364" s="494" t="s">
        <v>916</v>
      </c>
      <c r="V364" s="620" t="str">
        <f>Combined_tables[[#This Row],[TimeSlot_Start_text]]</f>
        <v>1300</v>
      </c>
      <c r="W364" s="621" t="s">
        <v>809</v>
      </c>
      <c r="X364" s="621" t="s">
        <v>380</v>
      </c>
      <c r="Y364" s="621" t="s">
        <v>809</v>
      </c>
      <c r="Z364" s="621"/>
      <c r="AA364" s="621"/>
      <c r="AB364" s="494" t="s">
        <v>1071</v>
      </c>
      <c r="AC364" s="494" t="s">
        <v>879</v>
      </c>
      <c r="AD364" s="625" t="s">
        <v>895</v>
      </c>
      <c r="AE364" s="627">
        <v>29940</v>
      </c>
      <c r="AF364" s="623" t="s">
        <v>880</v>
      </c>
      <c r="AG364" s="627">
        <v>7082430448</v>
      </c>
      <c r="AH364" s="494" t="s">
        <v>881</v>
      </c>
      <c r="AI364" s="625" t="s">
        <v>894</v>
      </c>
      <c r="AJ364" s="627">
        <v>29941</v>
      </c>
      <c r="AM364" s="494" t="s">
        <v>786</v>
      </c>
      <c r="AN364" s="625" t="s">
        <v>901</v>
      </c>
      <c r="AO364" s="627">
        <v>22230</v>
      </c>
      <c r="AP364" s="623" t="s">
        <v>882</v>
      </c>
      <c r="AQ364" s="627">
        <v>7089327433</v>
      </c>
    </row>
    <row r="365" spans="1:43" x14ac:dyDescent="0.25">
      <c r="A365" s="625">
        <v>364</v>
      </c>
      <c r="B365" s="494" t="s">
        <v>783</v>
      </c>
      <c r="C365" s="625">
        <v>105</v>
      </c>
      <c r="D365" s="494" t="s">
        <v>926</v>
      </c>
      <c r="E365" s="627">
        <v>9504574</v>
      </c>
      <c r="F365" s="627">
        <v>29944</v>
      </c>
      <c r="S365" s="629">
        <f t="shared" si="10"/>
        <v>0.5625</v>
      </c>
      <c r="T365" s="629">
        <f t="shared" si="11"/>
        <v>0.58333333333333337</v>
      </c>
      <c r="U365" s="494" t="s">
        <v>917</v>
      </c>
      <c r="V365" s="620" t="str">
        <f>Combined_tables[[#This Row],[TimeSlot_Start_text]]</f>
        <v>1330</v>
      </c>
      <c r="W365" s="621" t="s">
        <v>809</v>
      </c>
      <c r="X365" s="621"/>
      <c r="Y365" s="621" t="s">
        <v>809</v>
      </c>
      <c r="Z365" s="621"/>
      <c r="AA365" s="621"/>
      <c r="AB365" s="494" t="s">
        <v>1072</v>
      </c>
      <c r="AC365" s="494" t="s">
        <v>879</v>
      </c>
      <c r="AD365" s="625" t="s">
        <v>895</v>
      </c>
      <c r="AE365" s="627">
        <v>29940</v>
      </c>
      <c r="AF365" s="623" t="s">
        <v>880</v>
      </c>
      <c r="AG365" s="627">
        <v>7082430448</v>
      </c>
      <c r="AH365" s="494" t="s">
        <v>881</v>
      </c>
      <c r="AI365" s="625" t="s">
        <v>894</v>
      </c>
      <c r="AJ365" s="627">
        <v>29941</v>
      </c>
      <c r="AM365" s="494" t="s">
        <v>786</v>
      </c>
      <c r="AN365" s="625" t="s">
        <v>901</v>
      </c>
      <c r="AO365" s="627">
        <v>22230</v>
      </c>
      <c r="AP365" s="623" t="s">
        <v>882</v>
      </c>
      <c r="AQ365" s="627">
        <v>7089327433</v>
      </c>
    </row>
    <row r="366" spans="1:43" x14ac:dyDescent="0.25">
      <c r="A366" s="625">
        <v>365</v>
      </c>
      <c r="B366" s="494" t="s">
        <v>783</v>
      </c>
      <c r="C366" s="625">
        <v>105</v>
      </c>
      <c r="D366" s="494" t="s">
        <v>926</v>
      </c>
      <c r="E366" s="627">
        <v>9504574</v>
      </c>
      <c r="F366" s="627">
        <v>29944</v>
      </c>
      <c r="S366" s="629">
        <f t="shared" si="10"/>
        <v>0.58333333333333337</v>
      </c>
      <c r="T366" s="629">
        <f t="shared" si="11"/>
        <v>0.60416666666666674</v>
      </c>
      <c r="U366" s="494" t="s">
        <v>918</v>
      </c>
      <c r="V366" s="620" t="str">
        <f>Combined_tables[[#This Row],[TimeSlot_Start_text]]</f>
        <v>1400</v>
      </c>
      <c r="W366" s="621" t="s">
        <v>809</v>
      </c>
      <c r="X366" s="621"/>
      <c r="Y366" s="621" t="s">
        <v>809</v>
      </c>
      <c r="Z366" s="621"/>
      <c r="AA366" s="621"/>
      <c r="AB366" s="494" t="s">
        <v>1079</v>
      </c>
      <c r="AC366" s="494" t="s">
        <v>879</v>
      </c>
      <c r="AD366" s="625" t="s">
        <v>895</v>
      </c>
      <c r="AE366" s="627">
        <v>29940</v>
      </c>
      <c r="AF366" s="623" t="s">
        <v>880</v>
      </c>
      <c r="AG366" s="627">
        <v>7082430448</v>
      </c>
      <c r="AH366" s="494" t="s">
        <v>881</v>
      </c>
      <c r="AI366" s="625" t="s">
        <v>894</v>
      </c>
      <c r="AJ366" s="627">
        <v>29941</v>
      </c>
      <c r="AM366" s="494" t="s">
        <v>786</v>
      </c>
      <c r="AN366" s="625" t="s">
        <v>901</v>
      </c>
      <c r="AO366" s="627">
        <v>22230</v>
      </c>
      <c r="AP366" s="623" t="s">
        <v>882</v>
      </c>
      <c r="AQ366" s="627">
        <v>7089327433</v>
      </c>
    </row>
    <row r="367" spans="1:43" x14ac:dyDescent="0.25">
      <c r="A367" s="625">
        <v>366</v>
      </c>
      <c r="B367" s="494" t="s">
        <v>783</v>
      </c>
      <c r="C367" s="625">
        <v>105</v>
      </c>
      <c r="D367" s="494" t="s">
        <v>926</v>
      </c>
      <c r="E367" s="627">
        <v>9504574</v>
      </c>
      <c r="F367" s="627">
        <v>29944</v>
      </c>
      <c r="S367" s="629">
        <f t="shared" si="10"/>
        <v>0.60416666666666663</v>
      </c>
      <c r="T367" s="629">
        <f t="shared" si="11"/>
        <v>0.625</v>
      </c>
      <c r="U367" s="494" t="s">
        <v>919</v>
      </c>
      <c r="V367" s="620" t="str">
        <f>Combined_tables[[#This Row],[TimeSlot_Start_text]]</f>
        <v>1430</v>
      </c>
      <c r="W367" s="621" t="s">
        <v>809</v>
      </c>
      <c r="X367" s="621"/>
      <c r="Y367" s="621" t="s">
        <v>809</v>
      </c>
      <c r="Z367" s="621"/>
      <c r="AA367" s="621"/>
      <c r="AB367" s="494" t="s">
        <v>1080</v>
      </c>
      <c r="AC367" s="494" t="s">
        <v>879</v>
      </c>
      <c r="AD367" s="625" t="s">
        <v>895</v>
      </c>
      <c r="AE367" s="627">
        <v>29940</v>
      </c>
      <c r="AF367" s="623" t="s">
        <v>880</v>
      </c>
      <c r="AG367" s="627">
        <v>7082430448</v>
      </c>
      <c r="AH367" s="494" t="s">
        <v>881</v>
      </c>
      <c r="AI367" s="625" t="s">
        <v>894</v>
      </c>
      <c r="AJ367" s="627">
        <v>29941</v>
      </c>
      <c r="AM367" s="494" t="s">
        <v>786</v>
      </c>
      <c r="AN367" s="625" t="s">
        <v>901</v>
      </c>
      <c r="AO367" s="627">
        <v>22230</v>
      </c>
      <c r="AP367" s="623" t="s">
        <v>882</v>
      </c>
      <c r="AQ367" s="627">
        <v>7089327433</v>
      </c>
    </row>
    <row r="368" spans="1:43" x14ac:dyDescent="0.25">
      <c r="A368" s="625">
        <v>367</v>
      </c>
      <c r="B368" s="494" t="s">
        <v>783</v>
      </c>
      <c r="C368" s="625">
        <v>105</v>
      </c>
      <c r="D368" s="494" t="s">
        <v>926</v>
      </c>
      <c r="E368" s="627">
        <v>9504574</v>
      </c>
      <c r="F368" s="627">
        <v>29944</v>
      </c>
      <c r="S368" s="629">
        <f t="shared" si="10"/>
        <v>0.625</v>
      </c>
      <c r="T368" s="629">
        <f t="shared" si="11"/>
        <v>0.64583333333333337</v>
      </c>
      <c r="U368" s="494" t="s">
        <v>920</v>
      </c>
      <c r="V368" s="620" t="str">
        <f>Combined_tables[[#This Row],[TimeSlot_Start_text]]</f>
        <v>1500</v>
      </c>
      <c r="W368" s="621" t="s">
        <v>809</v>
      </c>
      <c r="X368" s="621"/>
      <c r="Y368" s="621" t="s">
        <v>809</v>
      </c>
      <c r="Z368" s="621"/>
      <c r="AA368" s="621"/>
      <c r="AB368" s="494" t="s">
        <v>1081</v>
      </c>
      <c r="AC368" s="494" t="s">
        <v>879</v>
      </c>
      <c r="AD368" s="625" t="s">
        <v>895</v>
      </c>
      <c r="AE368" s="627">
        <v>29940</v>
      </c>
      <c r="AF368" s="623" t="s">
        <v>880</v>
      </c>
      <c r="AG368" s="627">
        <v>7082430448</v>
      </c>
      <c r="AH368" s="494" t="s">
        <v>881</v>
      </c>
      <c r="AI368" s="625" t="s">
        <v>894</v>
      </c>
      <c r="AJ368" s="627">
        <v>29941</v>
      </c>
      <c r="AM368" s="494" t="s">
        <v>786</v>
      </c>
      <c r="AN368" s="625" t="s">
        <v>901</v>
      </c>
      <c r="AO368" s="627">
        <v>22230</v>
      </c>
      <c r="AP368" s="623" t="s">
        <v>882</v>
      </c>
      <c r="AQ368" s="627">
        <v>7089327433</v>
      </c>
    </row>
    <row r="369" spans="1:43" x14ac:dyDescent="0.25">
      <c r="A369" s="625">
        <v>368</v>
      </c>
      <c r="B369" s="494" t="s">
        <v>783</v>
      </c>
      <c r="C369" s="625">
        <v>105</v>
      </c>
      <c r="D369" s="494" t="s">
        <v>926</v>
      </c>
      <c r="E369" s="627">
        <v>9504574</v>
      </c>
      <c r="F369" s="627">
        <v>29944</v>
      </c>
      <c r="S369" s="629">
        <f t="shared" si="10"/>
        <v>0.64583333333333337</v>
      </c>
      <c r="T369" s="629">
        <f t="shared" si="11"/>
        <v>0.66666666666666674</v>
      </c>
      <c r="U369" s="494" t="s">
        <v>921</v>
      </c>
      <c r="V369" s="620" t="str">
        <f>Combined_tables[[#This Row],[TimeSlot_Start_text]]</f>
        <v>1530</v>
      </c>
      <c r="W369" s="621" t="s">
        <v>809</v>
      </c>
      <c r="X369" s="621"/>
      <c r="Y369" s="621" t="s">
        <v>809</v>
      </c>
      <c r="Z369" s="621"/>
      <c r="AA369" s="621"/>
      <c r="AB369" s="494" t="s">
        <v>1082</v>
      </c>
      <c r="AC369" s="494" t="s">
        <v>879</v>
      </c>
      <c r="AD369" s="625" t="s">
        <v>895</v>
      </c>
      <c r="AE369" s="627">
        <v>29940</v>
      </c>
      <c r="AF369" s="623" t="s">
        <v>880</v>
      </c>
      <c r="AG369" s="627">
        <v>7082430448</v>
      </c>
      <c r="AH369" s="494" t="s">
        <v>881</v>
      </c>
      <c r="AI369" s="625" t="s">
        <v>894</v>
      </c>
      <c r="AJ369" s="627">
        <v>29941</v>
      </c>
      <c r="AM369" s="494" t="s">
        <v>786</v>
      </c>
      <c r="AN369" s="625" t="s">
        <v>901</v>
      </c>
      <c r="AO369" s="627">
        <v>22230</v>
      </c>
      <c r="AP369" s="623" t="s">
        <v>882</v>
      </c>
      <c r="AQ369" s="627">
        <v>7089327433</v>
      </c>
    </row>
  </sheetData>
  <phoneticPr fontId="4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CFF5-FE2C-4D58-AC36-051F26FFD97D}">
  <dimension ref="A1:AQ33"/>
  <sheetViews>
    <sheetView workbookViewId="0">
      <pane ySplit="1" topLeftCell="A2" activePane="bottomLeft" state="frozen"/>
      <selection pane="bottomLeft" activeCell="C16" sqref="C16"/>
    </sheetView>
  </sheetViews>
  <sheetFormatPr defaultRowHeight="15" x14ac:dyDescent="0.25"/>
  <cols>
    <col min="1" max="1" width="9.7109375" style="620" bestFit="1" customWidth="1"/>
    <col min="2" max="2" width="20.5703125" style="494" bestFit="1" customWidth="1"/>
    <col min="3" max="3" width="18" style="494" bestFit="1" customWidth="1"/>
    <col min="4" max="4" width="21.140625" style="494" bestFit="1" customWidth="1"/>
    <col min="5" max="5" width="24" style="627" bestFit="1" customWidth="1"/>
    <col min="6" max="6" width="29" style="627" bestFit="1" customWidth="1"/>
    <col min="7" max="7" width="24.85546875" style="494" bestFit="1" customWidth="1"/>
    <col min="8" max="8" width="18.140625" style="494" bestFit="1" customWidth="1"/>
    <col min="9" max="9" width="30.42578125" style="628" bestFit="1" customWidth="1"/>
    <col min="10" max="10" width="25.140625" style="494" bestFit="1" customWidth="1"/>
    <col min="11" max="11" width="34.7109375" style="632" bestFit="1" customWidth="1"/>
    <col min="12" max="12" width="34.140625" style="632" bestFit="1" customWidth="1"/>
    <col min="13" max="13" width="38.42578125" style="494" bestFit="1" customWidth="1"/>
    <col min="14" max="14" width="33.42578125" style="494" bestFit="1" customWidth="1"/>
    <col min="15" max="15" width="33.5703125" style="494" bestFit="1" customWidth="1"/>
    <col min="16" max="16" width="34.42578125" style="494" bestFit="1" customWidth="1"/>
    <col min="17" max="17" width="30.28515625" style="628" bestFit="1" customWidth="1"/>
    <col min="18" max="18" width="30" style="628" bestFit="1" customWidth="1"/>
    <col min="19" max="19" width="23.85546875" style="629" bestFit="1" customWidth="1"/>
    <col min="20" max="20" width="22.5703125" style="629" bestFit="1" customWidth="1"/>
    <col min="21" max="21" width="23.140625" style="494" bestFit="1" customWidth="1"/>
    <col min="22" max="22" width="27.140625" style="494" bestFit="1" customWidth="1"/>
    <col min="23" max="23" width="27.7109375" style="494" bestFit="1" customWidth="1"/>
    <col min="24" max="24" width="21.85546875" style="494" bestFit="1" customWidth="1"/>
    <col min="25" max="25" width="25" style="494" bestFit="1" customWidth="1"/>
    <col min="26" max="26" width="22.42578125" style="494" bestFit="1" customWidth="1"/>
    <col min="27" max="27" width="21.85546875" style="494" bestFit="1" customWidth="1"/>
    <col min="28" max="28" width="17.7109375" style="494" bestFit="1" customWidth="1"/>
    <col min="29" max="29" width="18.7109375" style="494" bestFit="1" customWidth="1"/>
    <col min="30" max="30" width="23.28515625" style="625" bestFit="1" customWidth="1"/>
    <col min="31" max="31" width="23.28515625" style="627" bestFit="1" customWidth="1"/>
    <col min="32" max="32" width="16.42578125" style="623" bestFit="1" customWidth="1"/>
    <col min="33" max="33" width="20.42578125" style="494" bestFit="1" customWidth="1"/>
    <col min="34" max="34" width="20.140625" style="494" bestFit="1" customWidth="1"/>
    <col min="35" max="35" width="25.5703125" style="625" bestFit="1" customWidth="1"/>
    <col min="36" max="36" width="24.7109375" style="627" bestFit="1" customWidth="1"/>
    <col min="37" max="37" width="17.7109375" style="623" bestFit="1" customWidth="1"/>
    <col min="38" max="38" width="21.7109375" style="627" bestFit="1" customWidth="1"/>
    <col min="39" max="39" width="18.5703125" style="494" bestFit="1" customWidth="1"/>
    <col min="40" max="40" width="21.7109375" style="625" bestFit="1" customWidth="1"/>
    <col min="41" max="41" width="23.140625" style="627" bestFit="1" customWidth="1"/>
    <col min="42" max="42" width="17.42578125" style="623" bestFit="1" customWidth="1"/>
    <col min="43" max="43" width="20.28515625" style="627" bestFit="1" customWidth="1"/>
    <col min="44" max="16384" width="9.140625" style="494"/>
  </cols>
  <sheetData>
    <row r="1" spans="1:43" s="495" customFormat="1" ht="15.75" x14ac:dyDescent="0.25">
      <c r="A1" s="619" t="s">
        <v>1093</v>
      </c>
      <c r="B1" s="495" t="s">
        <v>872</v>
      </c>
      <c r="C1" s="495" t="s">
        <v>971</v>
      </c>
      <c r="D1" s="495" t="s">
        <v>978</v>
      </c>
      <c r="E1" s="626" t="s">
        <v>1088</v>
      </c>
      <c r="F1" s="626" t="s">
        <v>1089</v>
      </c>
      <c r="G1" s="495" t="s">
        <v>886</v>
      </c>
      <c r="H1" s="495" t="s">
        <v>1094</v>
      </c>
      <c r="I1" s="633" t="s">
        <v>1103</v>
      </c>
      <c r="J1" s="495" t="s">
        <v>1104</v>
      </c>
      <c r="K1" s="631" t="s">
        <v>1100</v>
      </c>
      <c r="L1" s="631" t="s">
        <v>1097</v>
      </c>
      <c r="M1" s="495" t="s">
        <v>1098</v>
      </c>
      <c r="N1" s="495" t="s">
        <v>1101</v>
      </c>
      <c r="O1" s="495" t="s">
        <v>1099</v>
      </c>
      <c r="P1" s="495" t="s">
        <v>1102</v>
      </c>
      <c r="Q1" s="633" t="s">
        <v>1095</v>
      </c>
      <c r="R1" s="633" t="s">
        <v>1096</v>
      </c>
      <c r="S1" s="630" t="s">
        <v>1069</v>
      </c>
      <c r="T1" s="630" t="s">
        <v>1070</v>
      </c>
      <c r="U1" s="495" t="s">
        <v>905</v>
      </c>
      <c r="V1" s="619" t="s">
        <v>1087</v>
      </c>
      <c r="W1" s="495" t="s">
        <v>874</v>
      </c>
      <c r="X1" s="495" t="s">
        <v>875</v>
      </c>
      <c r="Y1" s="495" t="s">
        <v>876</v>
      </c>
      <c r="Z1" s="495" t="s">
        <v>877</v>
      </c>
      <c r="AA1" s="495" t="s">
        <v>878</v>
      </c>
      <c r="AB1" s="495" t="s">
        <v>873</v>
      </c>
      <c r="AC1" s="495" t="s">
        <v>888</v>
      </c>
      <c r="AD1" s="624" t="s">
        <v>889</v>
      </c>
      <c r="AE1" s="626" t="s">
        <v>1090</v>
      </c>
      <c r="AF1" s="622" t="s">
        <v>891</v>
      </c>
      <c r="AG1" s="495" t="s">
        <v>959</v>
      </c>
      <c r="AH1" s="495" t="s">
        <v>892</v>
      </c>
      <c r="AI1" s="624" t="s">
        <v>893</v>
      </c>
      <c r="AJ1" s="626" t="s">
        <v>1092</v>
      </c>
      <c r="AK1" s="622" t="s">
        <v>897</v>
      </c>
      <c r="AL1" s="626" t="s">
        <v>958</v>
      </c>
      <c r="AM1" s="495" t="s">
        <v>898</v>
      </c>
      <c r="AN1" s="624" t="s">
        <v>900</v>
      </c>
      <c r="AO1" s="626" t="s">
        <v>1091</v>
      </c>
      <c r="AP1" s="622" t="s">
        <v>940</v>
      </c>
      <c r="AQ1" s="619" t="s">
        <v>957</v>
      </c>
    </row>
    <row r="2" spans="1:43" x14ac:dyDescent="0.25">
      <c r="A2" s="625">
        <v>1</v>
      </c>
      <c r="B2" s="494" t="s">
        <v>929</v>
      </c>
      <c r="C2" s="625">
        <v>120</v>
      </c>
      <c r="D2" s="494" t="s">
        <v>930</v>
      </c>
      <c r="E2" s="627">
        <v>9540609</v>
      </c>
      <c r="F2" s="627">
        <v>29835</v>
      </c>
      <c r="S2" s="629">
        <f t="shared" ref="S2:S33" si="0">TIME(LEFT(U2,2),RIGHT(U2,2),"00")</f>
        <v>0.33333333333333331</v>
      </c>
      <c r="T2" s="629">
        <f t="shared" ref="T2:T33" si="1">S2+(TIME("00","30","00"))</f>
        <v>0.35416666666666663</v>
      </c>
      <c r="U2" s="494" t="s">
        <v>906</v>
      </c>
      <c r="V2" s="620" t="str">
        <f>Aurora_table[[#This Row],[TimeSlot_Start_text]]</f>
        <v>0800</v>
      </c>
      <c r="W2" s="621" t="s">
        <v>380</v>
      </c>
      <c r="X2" s="621" t="s">
        <v>344</v>
      </c>
      <c r="Y2" s="621" t="s">
        <v>381</v>
      </c>
      <c r="Z2" s="621" t="s">
        <v>346</v>
      </c>
      <c r="AA2" s="621" t="s">
        <v>381</v>
      </c>
      <c r="AB2" s="494" t="s">
        <v>1083</v>
      </c>
      <c r="AC2" s="494" t="s">
        <v>933</v>
      </c>
      <c r="AD2" s="625" t="s">
        <v>934</v>
      </c>
      <c r="AE2" s="627">
        <v>29849</v>
      </c>
      <c r="AF2" s="623" t="s">
        <v>936</v>
      </c>
      <c r="AG2" s="627">
        <v>7089643999</v>
      </c>
      <c r="AH2" s="494" t="s">
        <v>332</v>
      </c>
      <c r="AI2" s="625" t="s">
        <v>937</v>
      </c>
      <c r="AJ2" s="627">
        <v>29711</v>
      </c>
      <c r="AM2" s="494" t="s">
        <v>786</v>
      </c>
      <c r="AN2" s="625" t="s">
        <v>901</v>
      </c>
      <c r="AO2" s="627">
        <v>22230</v>
      </c>
      <c r="AP2" s="623" t="s">
        <v>882</v>
      </c>
      <c r="AQ2" s="627">
        <v>7089327433</v>
      </c>
    </row>
    <row r="3" spans="1:43" x14ac:dyDescent="0.25">
      <c r="A3" s="625">
        <v>2</v>
      </c>
      <c r="B3" s="494" t="s">
        <v>929</v>
      </c>
      <c r="C3" s="625">
        <v>120</v>
      </c>
      <c r="D3" s="494" t="s">
        <v>930</v>
      </c>
      <c r="E3" s="627">
        <v>9540609</v>
      </c>
      <c r="F3" s="627">
        <v>29835</v>
      </c>
      <c r="S3" s="629">
        <f t="shared" si="0"/>
        <v>0.35416666666666669</v>
      </c>
      <c r="T3" s="629">
        <f t="shared" si="1"/>
        <v>0.375</v>
      </c>
      <c r="U3" s="494" t="s">
        <v>907</v>
      </c>
      <c r="V3" s="620" t="str">
        <f>Aurora_table[[#This Row],[TimeSlot_Start_text]]</f>
        <v>0830</v>
      </c>
      <c r="W3" s="621" t="s">
        <v>344</v>
      </c>
      <c r="X3" s="621" t="s">
        <v>344</v>
      </c>
      <c r="Y3" s="621" t="s">
        <v>381</v>
      </c>
      <c r="Z3" s="621" t="s">
        <v>346</v>
      </c>
      <c r="AA3" s="621" t="s">
        <v>381</v>
      </c>
      <c r="AB3" s="494" t="s">
        <v>1084</v>
      </c>
      <c r="AC3" s="494" t="s">
        <v>933</v>
      </c>
      <c r="AD3" s="625" t="s">
        <v>934</v>
      </c>
      <c r="AE3" s="627">
        <v>29849</v>
      </c>
      <c r="AF3" s="623" t="s">
        <v>936</v>
      </c>
      <c r="AG3" s="627">
        <v>7089643999</v>
      </c>
      <c r="AH3" s="494" t="s">
        <v>332</v>
      </c>
      <c r="AI3" s="625" t="s">
        <v>937</v>
      </c>
      <c r="AJ3" s="627">
        <v>29711</v>
      </c>
      <c r="AM3" s="494" t="s">
        <v>786</v>
      </c>
      <c r="AN3" s="625" t="s">
        <v>901</v>
      </c>
      <c r="AO3" s="627">
        <v>22230</v>
      </c>
      <c r="AP3" s="623" t="s">
        <v>882</v>
      </c>
      <c r="AQ3" s="627">
        <v>7089327433</v>
      </c>
    </row>
    <row r="4" spans="1:43" x14ac:dyDescent="0.25">
      <c r="A4" s="625">
        <v>3</v>
      </c>
      <c r="B4" s="494" t="s">
        <v>929</v>
      </c>
      <c r="C4" s="625">
        <v>120</v>
      </c>
      <c r="D4" s="494" t="s">
        <v>930</v>
      </c>
      <c r="E4" s="627">
        <v>9540609</v>
      </c>
      <c r="F4" s="627">
        <v>29835</v>
      </c>
      <c r="S4" s="629">
        <f t="shared" si="0"/>
        <v>0.375</v>
      </c>
      <c r="T4" s="629">
        <f t="shared" si="1"/>
        <v>0.39583333333333331</v>
      </c>
      <c r="U4" s="494" t="s">
        <v>908</v>
      </c>
      <c r="V4" s="620" t="str">
        <f>Aurora_table[[#This Row],[TimeSlot_Start_text]]</f>
        <v>0900</v>
      </c>
      <c r="W4" s="621" t="s">
        <v>344</v>
      </c>
      <c r="X4" s="621" t="s">
        <v>344</v>
      </c>
      <c r="Y4" s="621" t="s">
        <v>381</v>
      </c>
      <c r="Z4" s="621" t="s">
        <v>346</v>
      </c>
      <c r="AA4" s="621" t="s">
        <v>381</v>
      </c>
      <c r="AB4" s="494" t="s">
        <v>1085</v>
      </c>
      <c r="AC4" s="494" t="s">
        <v>933</v>
      </c>
      <c r="AD4" s="625" t="s">
        <v>934</v>
      </c>
      <c r="AE4" s="627">
        <v>29849</v>
      </c>
      <c r="AF4" s="623" t="s">
        <v>936</v>
      </c>
      <c r="AG4" s="627">
        <v>7089643999</v>
      </c>
      <c r="AH4" s="494" t="s">
        <v>332</v>
      </c>
      <c r="AI4" s="625" t="s">
        <v>937</v>
      </c>
      <c r="AJ4" s="627">
        <v>29711</v>
      </c>
      <c r="AM4" s="494" t="s">
        <v>786</v>
      </c>
      <c r="AN4" s="625" t="s">
        <v>901</v>
      </c>
      <c r="AO4" s="627">
        <v>22230</v>
      </c>
      <c r="AP4" s="623" t="s">
        <v>882</v>
      </c>
      <c r="AQ4" s="627">
        <v>7089327433</v>
      </c>
    </row>
    <row r="5" spans="1:43" x14ac:dyDescent="0.25">
      <c r="A5" s="625">
        <v>4</v>
      </c>
      <c r="B5" s="494" t="s">
        <v>929</v>
      </c>
      <c r="C5" s="625">
        <v>120</v>
      </c>
      <c r="D5" s="494" t="s">
        <v>930</v>
      </c>
      <c r="E5" s="627">
        <v>9540609</v>
      </c>
      <c r="F5" s="627">
        <v>29835</v>
      </c>
      <c r="S5" s="629">
        <f t="shared" si="0"/>
        <v>0.39583333333333331</v>
      </c>
      <c r="T5" s="629">
        <f t="shared" si="1"/>
        <v>0.41666666666666663</v>
      </c>
      <c r="U5" s="494" t="s">
        <v>909</v>
      </c>
      <c r="V5" s="620" t="str">
        <f>Aurora_table[[#This Row],[TimeSlot_Start_text]]</f>
        <v>0930</v>
      </c>
      <c r="W5" s="621" t="s">
        <v>344</v>
      </c>
      <c r="X5" s="621" t="s">
        <v>344</v>
      </c>
      <c r="Y5" s="621" t="s">
        <v>381</v>
      </c>
      <c r="Z5" s="621" t="s">
        <v>346</v>
      </c>
      <c r="AA5" s="621" t="s">
        <v>381</v>
      </c>
      <c r="AB5" s="494" t="s">
        <v>1086</v>
      </c>
      <c r="AC5" s="494" t="s">
        <v>933</v>
      </c>
      <c r="AD5" s="625" t="s">
        <v>934</v>
      </c>
      <c r="AE5" s="627">
        <v>29849</v>
      </c>
      <c r="AF5" s="623" t="s">
        <v>936</v>
      </c>
      <c r="AG5" s="627">
        <v>7089643999</v>
      </c>
      <c r="AH5" s="494" t="s">
        <v>332</v>
      </c>
      <c r="AI5" s="625" t="s">
        <v>937</v>
      </c>
      <c r="AJ5" s="627">
        <v>29711</v>
      </c>
      <c r="AM5" s="494" t="s">
        <v>786</v>
      </c>
      <c r="AN5" s="625" t="s">
        <v>901</v>
      </c>
      <c r="AO5" s="627">
        <v>22230</v>
      </c>
      <c r="AP5" s="623" t="s">
        <v>882</v>
      </c>
      <c r="AQ5" s="627">
        <v>7089327433</v>
      </c>
    </row>
    <row r="6" spans="1:43" x14ac:dyDescent="0.25">
      <c r="A6" s="625">
        <v>5</v>
      </c>
      <c r="B6" s="494" t="s">
        <v>929</v>
      </c>
      <c r="C6" s="625">
        <v>120</v>
      </c>
      <c r="D6" s="494" t="s">
        <v>930</v>
      </c>
      <c r="E6" s="627">
        <v>9540609</v>
      </c>
      <c r="F6" s="627">
        <v>29835</v>
      </c>
      <c r="S6" s="629">
        <f t="shared" si="0"/>
        <v>0.41666666666666669</v>
      </c>
      <c r="T6" s="629">
        <f t="shared" si="1"/>
        <v>0.4375</v>
      </c>
      <c r="U6" s="494" t="s">
        <v>910</v>
      </c>
      <c r="V6" s="620" t="str">
        <f>Aurora_table[[#This Row],[TimeSlot_Start_text]]</f>
        <v>1000</v>
      </c>
      <c r="W6" s="621" t="s">
        <v>344</v>
      </c>
      <c r="X6" s="621" t="s">
        <v>344</v>
      </c>
      <c r="Y6" s="621" t="s">
        <v>380</v>
      </c>
      <c r="Z6" s="621"/>
      <c r="AA6" s="621" t="s">
        <v>380</v>
      </c>
      <c r="AB6" s="494" t="s">
        <v>1073</v>
      </c>
      <c r="AC6" s="494" t="s">
        <v>933</v>
      </c>
      <c r="AD6" s="625" t="s">
        <v>934</v>
      </c>
      <c r="AE6" s="627">
        <v>29849</v>
      </c>
      <c r="AF6" s="623" t="s">
        <v>936</v>
      </c>
      <c r="AG6" s="627">
        <v>7089643999</v>
      </c>
      <c r="AH6" s="494" t="s">
        <v>332</v>
      </c>
      <c r="AI6" s="625" t="s">
        <v>937</v>
      </c>
      <c r="AJ6" s="627">
        <v>29711</v>
      </c>
      <c r="AM6" s="494" t="s">
        <v>786</v>
      </c>
      <c r="AN6" s="625" t="s">
        <v>901</v>
      </c>
      <c r="AO6" s="627">
        <v>22230</v>
      </c>
      <c r="AP6" s="623" t="s">
        <v>882</v>
      </c>
      <c r="AQ6" s="627">
        <v>7089327433</v>
      </c>
    </row>
    <row r="7" spans="1:43" x14ac:dyDescent="0.25">
      <c r="A7" s="625">
        <v>6</v>
      </c>
      <c r="B7" s="494" t="s">
        <v>929</v>
      </c>
      <c r="C7" s="625">
        <v>120</v>
      </c>
      <c r="D7" s="494" t="s">
        <v>930</v>
      </c>
      <c r="E7" s="627">
        <v>9540609</v>
      </c>
      <c r="F7" s="627">
        <v>29835</v>
      </c>
      <c r="S7" s="629">
        <f t="shared" si="0"/>
        <v>0.4375</v>
      </c>
      <c r="T7" s="629">
        <f t="shared" si="1"/>
        <v>0.45833333333333331</v>
      </c>
      <c r="U7" s="494" t="s">
        <v>911</v>
      </c>
      <c r="V7" s="620" t="str">
        <f>Aurora_table[[#This Row],[TimeSlot_Start_text]]</f>
        <v>1030</v>
      </c>
      <c r="W7" s="621" t="s">
        <v>344</v>
      </c>
      <c r="X7" s="621" t="s">
        <v>344</v>
      </c>
      <c r="Y7" s="621"/>
      <c r="Z7" s="621"/>
      <c r="AA7" s="621"/>
      <c r="AB7" s="494" t="s">
        <v>1074</v>
      </c>
      <c r="AC7" s="494" t="s">
        <v>933</v>
      </c>
      <c r="AD7" s="625" t="s">
        <v>934</v>
      </c>
      <c r="AE7" s="627">
        <v>29849</v>
      </c>
      <c r="AF7" s="623" t="s">
        <v>936</v>
      </c>
      <c r="AG7" s="627">
        <v>7089643999</v>
      </c>
      <c r="AH7" s="494" t="s">
        <v>332</v>
      </c>
      <c r="AI7" s="625" t="s">
        <v>937</v>
      </c>
      <c r="AJ7" s="627">
        <v>29711</v>
      </c>
      <c r="AM7" s="494" t="s">
        <v>786</v>
      </c>
      <c r="AN7" s="625" t="s">
        <v>901</v>
      </c>
      <c r="AO7" s="627">
        <v>22230</v>
      </c>
      <c r="AP7" s="623" t="s">
        <v>882</v>
      </c>
      <c r="AQ7" s="627">
        <v>7089327433</v>
      </c>
    </row>
    <row r="8" spans="1:43" x14ac:dyDescent="0.25">
      <c r="A8" s="625">
        <v>7</v>
      </c>
      <c r="B8" s="494" t="s">
        <v>929</v>
      </c>
      <c r="C8" s="625">
        <v>120</v>
      </c>
      <c r="D8" s="494" t="s">
        <v>930</v>
      </c>
      <c r="E8" s="627">
        <v>9540609</v>
      </c>
      <c r="F8" s="627">
        <v>29835</v>
      </c>
      <c r="S8" s="629">
        <f t="shared" si="0"/>
        <v>0.45833333333333331</v>
      </c>
      <c r="T8" s="629">
        <f t="shared" si="1"/>
        <v>0.47916666666666663</v>
      </c>
      <c r="U8" s="494" t="s">
        <v>912</v>
      </c>
      <c r="V8" s="620" t="str">
        <f>Aurora_table[[#This Row],[TimeSlot_Start_text]]</f>
        <v>1100</v>
      </c>
      <c r="W8" s="621" t="s">
        <v>344</v>
      </c>
      <c r="X8" s="621" t="s">
        <v>344</v>
      </c>
      <c r="Y8" s="621"/>
      <c r="Z8" s="621" t="s">
        <v>380</v>
      </c>
      <c r="AA8" s="621" t="s">
        <v>380</v>
      </c>
      <c r="AB8" s="494" t="s">
        <v>1076</v>
      </c>
      <c r="AC8" s="494" t="s">
        <v>933</v>
      </c>
      <c r="AD8" s="625" t="s">
        <v>934</v>
      </c>
      <c r="AE8" s="627">
        <v>29849</v>
      </c>
      <c r="AF8" s="623" t="s">
        <v>936</v>
      </c>
      <c r="AG8" s="627">
        <v>7089643999</v>
      </c>
      <c r="AH8" s="494" t="s">
        <v>332</v>
      </c>
      <c r="AI8" s="625" t="s">
        <v>937</v>
      </c>
      <c r="AJ8" s="627">
        <v>29711</v>
      </c>
      <c r="AM8" s="494" t="s">
        <v>786</v>
      </c>
      <c r="AN8" s="625" t="s">
        <v>901</v>
      </c>
      <c r="AO8" s="627">
        <v>22230</v>
      </c>
      <c r="AP8" s="623" t="s">
        <v>882</v>
      </c>
      <c r="AQ8" s="627">
        <v>7089327433</v>
      </c>
    </row>
    <row r="9" spans="1:43" x14ac:dyDescent="0.25">
      <c r="A9" s="625">
        <v>8</v>
      </c>
      <c r="B9" s="494" t="s">
        <v>929</v>
      </c>
      <c r="C9" s="625">
        <v>120</v>
      </c>
      <c r="D9" s="494" t="s">
        <v>930</v>
      </c>
      <c r="E9" s="627">
        <v>9540609</v>
      </c>
      <c r="F9" s="627">
        <v>29835</v>
      </c>
      <c r="S9" s="629">
        <f t="shared" si="0"/>
        <v>0.47916666666666669</v>
      </c>
      <c r="T9" s="629">
        <f t="shared" si="1"/>
        <v>0.5</v>
      </c>
      <c r="U9" s="494" t="s">
        <v>913</v>
      </c>
      <c r="V9" s="620" t="str">
        <f>Aurora_table[[#This Row],[TimeSlot_Start_text]]</f>
        <v>1130</v>
      </c>
      <c r="W9" s="621" t="s">
        <v>344</v>
      </c>
      <c r="X9" s="621" t="s">
        <v>344</v>
      </c>
      <c r="Y9" s="621"/>
      <c r="Z9" s="621"/>
      <c r="AA9" s="621"/>
      <c r="AB9" s="494" t="s">
        <v>1075</v>
      </c>
      <c r="AC9" s="494" t="s">
        <v>933</v>
      </c>
      <c r="AD9" s="625" t="s">
        <v>934</v>
      </c>
      <c r="AE9" s="627">
        <v>29849</v>
      </c>
      <c r="AF9" s="623" t="s">
        <v>936</v>
      </c>
      <c r="AG9" s="627">
        <v>7089643999</v>
      </c>
      <c r="AH9" s="494" t="s">
        <v>332</v>
      </c>
      <c r="AI9" s="625" t="s">
        <v>937</v>
      </c>
      <c r="AJ9" s="627">
        <v>29711</v>
      </c>
      <c r="AM9" s="494" t="s">
        <v>786</v>
      </c>
      <c r="AN9" s="625" t="s">
        <v>901</v>
      </c>
      <c r="AO9" s="627">
        <v>22230</v>
      </c>
      <c r="AP9" s="623" t="s">
        <v>882</v>
      </c>
      <c r="AQ9" s="627">
        <v>7089327433</v>
      </c>
    </row>
    <row r="10" spans="1:43" x14ac:dyDescent="0.25">
      <c r="A10" s="625">
        <v>9</v>
      </c>
      <c r="B10" s="494" t="s">
        <v>929</v>
      </c>
      <c r="C10" s="625">
        <v>120</v>
      </c>
      <c r="D10" s="494" t="s">
        <v>930</v>
      </c>
      <c r="E10" s="627">
        <v>9540609</v>
      </c>
      <c r="F10" s="627">
        <v>29835</v>
      </c>
      <c r="S10" s="629">
        <f t="shared" si="0"/>
        <v>0.5</v>
      </c>
      <c r="T10" s="629">
        <f t="shared" si="1"/>
        <v>0.52083333333333337</v>
      </c>
      <c r="U10" s="494" t="s">
        <v>914</v>
      </c>
      <c r="V10" s="620" t="str">
        <f>Aurora_table[[#This Row],[TimeSlot_Start_text]]</f>
        <v>1200</v>
      </c>
      <c r="W10" s="621" t="s">
        <v>354</v>
      </c>
      <c r="X10" s="621" t="s">
        <v>354</v>
      </c>
      <c r="Y10" s="621" t="s">
        <v>354</v>
      </c>
      <c r="Z10" s="621" t="s">
        <v>354</v>
      </c>
      <c r="AA10" s="621" t="s">
        <v>354</v>
      </c>
      <c r="AB10" s="494" t="s">
        <v>1077</v>
      </c>
      <c r="AC10" s="494" t="s">
        <v>933</v>
      </c>
      <c r="AD10" s="625" t="s">
        <v>934</v>
      </c>
      <c r="AE10" s="627">
        <v>29849</v>
      </c>
      <c r="AF10" s="623" t="s">
        <v>936</v>
      </c>
      <c r="AG10" s="627">
        <v>7089643999</v>
      </c>
      <c r="AH10" s="494" t="s">
        <v>332</v>
      </c>
      <c r="AI10" s="625" t="s">
        <v>937</v>
      </c>
      <c r="AJ10" s="627">
        <v>29711</v>
      </c>
      <c r="AM10" s="494" t="s">
        <v>786</v>
      </c>
      <c r="AN10" s="625" t="s">
        <v>901</v>
      </c>
      <c r="AO10" s="627">
        <v>22230</v>
      </c>
      <c r="AP10" s="623" t="s">
        <v>882</v>
      </c>
      <c r="AQ10" s="627">
        <v>7089327433</v>
      </c>
    </row>
    <row r="11" spans="1:43" x14ac:dyDescent="0.25">
      <c r="A11" s="625">
        <v>10</v>
      </c>
      <c r="B11" s="494" t="s">
        <v>929</v>
      </c>
      <c r="C11" s="625">
        <v>120</v>
      </c>
      <c r="D11" s="494" t="s">
        <v>930</v>
      </c>
      <c r="E11" s="627">
        <v>9540609</v>
      </c>
      <c r="F11" s="627">
        <v>29835</v>
      </c>
      <c r="S11" s="629">
        <f t="shared" si="0"/>
        <v>0.52083333333333337</v>
      </c>
      <c r="T11" s="629">
        <f t="shared" si="1"/>
        <v>0.54166666666666674</v>
      </c>
      <c r="U11" s="494" t="s">
        <v>915</v>
      </c>
      <c r="V11" s="620" t="str">
        <f>Aurora_table[[#This Row],[TimeSlot_Start_text]]</f>
        <v>1230</v>
      </c>
      <c r="W11" s="621" t="s">
        <v>354</v>
      </c>
      <c r="X11" s="621" t="s">
        <v>354</v>
      </c>
      <c r="Y11" s="621" t="s">
        <v>354</v>
      </c>
      <c r="Z11" s="621" t="s">
        <v>354</v>
      </c>
      <c r="AA11" s="621" t="s">
        <v>354</v>
      </c>
      <c r="AB11" s="494" t="s">
        <v>1078</v>
      </c>
      <c r="AC11" s="494" t="s">
        <v>933</v>
      </c>
      <c r="AD11" s="625" t="s">
        <v>934</v>
      </c>
      <c r="AE11" s="627">
        <v>29849</v>
      </c>
      <c r="AF11" s="623" t="s">
        <v>936</v>
      </c>
      <c r="AG11" s="627">
        <v>7089643999</v>
      </c>
      <c r="AH11" s="494" t="s">
        <v>332</v>
      </c>
      <c r="AI11" s="625" t="s">
        <v>937</v>
      </c>
      <c r="AJ11" s="627">
        <v>29711</v>
      </c>
      <c r="AM11" s="494" t="s">
        <v>786</v>
      </c>
      <c r="AN11" s="625" t="s">
        <v>901</v>
      </c>
      <c r="AO11" s="627">
        <v>22230</v>
      </c>
      <c r="AP11" s="623" t="s">
        <v>882</v>
      </c>
      <c r="AQ11" s="627">
        <v>7089327433</v>
      </c>
    </row>
    <row r="12" spans="1:43" x14ac:dyDescent="0.25">
      <c r="A12" s="625">
        <v>11</v>
      </c>
      <c r="B12" s="494" t="s">
        <v>929</v>
      </c>
      <c r="C12" s="625">
        <v>120</v>
      </c>
      <c r="D12" s="494" t="s">
        <v>930</v>
      </c>
      <c r="E12" s="627">
        <v>9540609</v>
      </c>
      <c r="F12" s="627">
        <v>29835</v>
      </c>
      <c r="S12" s="629">
        <f t="shared" si="0"/>
        <v>0.54166666666666663</v>
      </c>
      <c r="T12" s="629">
        <f t="shared" si="1"/>
        <v>0.5625</v>
      </c>
      <c r="U12" s="494" t="s">
        <v>916</v>
      </c>
      <c r="V12" s="620" t="str">
        <f>Aurora_table[[#This Row],[TimeSlot_Start_text]]</f>
        <v>1300</v>
      </c>
      <c r="W12" s="621" t="s">
        <v>381</v>
      </c>
      <c r="X12" s="621"/>
      <c r="Y12" s="621" t="s">
        <v>346</v>
      </c>
      <c r="Z12" s="621"/>
      <c r="AA12" s="621" t="s">
        <v>346</v>
      </c>
      <c r="AB12" s="494" t="s">
        <v>1071</v>
      </c>
      <c r="AC12" s="494" t="s">
        <v>933</v>
      </c>
      <c r="AD12" s="625" t="s">
        <v>934</v>
      </c>
      <c r="AE12" s="627">
        <v>29849</v>
      </c>
      <c r="AF12" s="623" t="s">
        <v>936</v>
      </c>
      <c r="AG12" s="627">
        <v>7089643999</v>
      </c>
      <c r="AH12" s="494" t="s">
        <v>332</v>
      </c>
      <c r="AI12" s="625" t="s">
        <v>937</v>
      </c>
      <c r="AJ12" s="627">
        <v>29711</v>
      </c>
      <c r="AM12" s="494" t="s">
        <v>786</v>
      </c>
      <c r="AN12" s="625" t="s">
        <v>901</v>
      </c>
      <c r="AO12" s="627">
        <v>22230</v>
      </c>
      <c r="AP12" s="623" t="s">
        <v>882</v>
      </c>
      <c r="AQ12" s="627">
        <v>7089327433</v>
      </c>
    </row>
    <row r="13" spans="1:43" x14ac:dyDescent="0.25">
      <c r="A13" s="625">
        <v>12</v>
      </c>
      <c r="B13" s="494" t="s">
        <v>929</v>
      </c>
      <c r="C13" s="625">
        <v>120</v>
      </c>
      <c r="D13" s="494" t="s">
        <v>930</v>
      </c>
      <c r="E13" s="627">
        <v>9540609</v>
      </c>
      <c r="F13" s="627">
        <v>29835</v>
      </c>
      <c r="S13" s="629">
        <f t="shared" si="0"/>
        <v>0.5625</v>
      </c>
      <c r="T13" s="629">
        <f t="shared" si="1"/>
        <v>0.58333333333333337</v>
      </c>
      <c r="U13" s="494" t="s">
        <v>917</v>
      </c>
      <c r="V13" s="620" t="str">
        <f>Aurora_table[[#This Row],[TimeSlot_Start_text]]</f>
        <v>1330</v>
      </c>
      <c r="W13" s="621" t="s">
        <v>381</v>
      </c>
      <c r="X13" s="621"/>
      <c r="Y13" s="621" t="s">
        <v>346</v>
      </c>
      <c r="Z13" s="621"/>
      <c r="AA13" s="621" t="s">
        <v>346</v>
      </c>
      <c r="AB13" s="494" t="s">
        <v>1072</v>
      </c>
      <c r="AC13" s="494" t="s">
        <v>933</v>
      </c>
      <c r="AD13" s="625" t="s">
        <v>934</v>
      </c>
      <c r="AE13" s="627">
        <v>29849</v>
      </c>
      <c r="AF13" s="623" t="s">
        <v>936</v>
      </c>
      <c r="AG13" s="627">
        <v>7089643999</v>
      </c>
      <c r="AH13" s="494" t="s">
        <v>332</v>
      </c>
      <c r="AI13" s="625" t="s">
        <v>937</v>
      </c>
      <c r="AJ13" s="627">
        <v>29711</v>
      </c>
      <c r="AM13" s="494" t="s">
        <v>786</v>
      </c>
      <c r="AN13" s="625" t="s">
        <v>901</v>
      </c>
      <c r="AO13" s="627">
        <v>22230</v>
      </c>
      <c r="AP13" s="623" t="s">
        <v>882</v>
      </c>
      <c r="AQ13" s="627">
        <v>7089327433</v>
      </c>
    </row>
    <row r="14" spans="1:43" x14ac:dyDescent="0.25">
      <c r="A14" s="625">
        <v>13</v>
      </c>
      <c r="B14" s="494" t="s">
        <v>929</v>
      </c>
      <c r="C14" s="625">
        <v>120</v>
      </c>
      <c r="D14" s="494" t="s">
        <v>930</v>
      </c>
      <c r="E14" s="627">
        <v>9540609</v>
      </c>
      <c r="F14" s="627">
        <v>29835</v>
      </c>
      <c r="S14" s="629">
        <f t="shared" si="0"/>
        <v>0.58333333333333337</v>
      </c>
      <c r="T14" s="629">
        <f t="shared" si="1"/>
        <v>0.60416666666666674</v>
      </c>
      <c r="U14" s="494" t="s">
        <v>918</v>
      </c>
      <c r="V14" s="620" t="str">
        <f>Aurora_table[[#This Row],[TimeSlot_Start_text]]</f>
        <v>1400</v>
      </c>
      <c r="W14" s="621" t="s">
        <v>381</v>
      </c>
      <c r="X14" s="621"/>
      <c r="Y14" s="621" t="s">
        <v>346</v>
      </c>
      <c r="Z14" s="621"/>
      <c r="AA14" s="621" t="s">
        <v>346</v>
      </c>
      <c r="AB14" s="494" t="s">
        <v>1079</v>
      </c>
      <c r="AC14" s="494" t="s">
        <v>933</v>
      </c>
      <c r="AD14" s="625" t="s">
        <v>934</v>
      </c>
      <c r="AE14" s="627">
        <v>29849</v>
      </c>
      <c r="AF14" s="623" t="s">
        <v>936</v>
      </c>
      <c r="AG14" s="627">
        <v>7089643999</v>
      </c>
      <c r="AH14" s="494" t="s">
        <v>332</v>
      </c>
      <c r="AI14" s="625" t="s">
        <v>937</v>
      </c>
      <c r="AJ14" s="627">
        <v>29711</v>
      </c>
      <c r="AM14" s="494" t="s">
        <v>786</v>
      </c>
      <c r="AN14" s="625" t="s">
        <v>901</v>
      </c>
      <c r="AO14" s="627">
        <v>22230</v>
      </c>
      <c r="AP14" s="623" t="s">
        <v>882</v>
      </c>
      <c r="AQ14" s="627">
        <v>7089327433</v>
      </c>
    </row>
    <row r="15" spans="1:43" x14ac:dyDescent="0.25">
      <c r="A15" s="625">
        <v>14</v>
      </c>
      <c r="B15" s="494" t="s">
        <v>929</v>
      </c>
      <c r="C15" s="625">
        <v>120</v>
      </c>
      <c r="D15" s="494" t="s">
        <v>930</v>
      </c>
      <c r="E15" s="627">
        <v>9540609</v>
      </c>
      <c r="F15" s="627">
        <v>29835</v>
      </c>
      <c r="S15" s="629">
        <f t="shared" si="0"/>
        <v>0.60416666666666663</v>
      </c>
      <c r="T15" s="629">
        <f t="shared" si="1"/>
        <v>0.625</v>
      </c>
      <c r="U15" s="494" t="s">
        <v>919</v>
      </c>
      <c r="V15" s="620" t="str">
        <f>Aurora_table[[#This Row],[TimeSlot_Start_text]]</f>
        <v>1430</v>
      </c>
      <c r="W15" s="621"/>
      <c r="X15" s="621"/>
      <c r="Y15" s="621" t="s">
        <v>346</v>
      </c>
      <c r="Z15" s="621"/>
      <c r="AA15" s="621" t="s">
        <v>346</v>
      </c>
      <c r="AB15" s="494" t="s">
        <v>1080</v>
      </c>
      <c r="AC15" s="494" t="s">
        <v>933</v>
      </c>
      <c r="AD15" s="625" t="s">
        <v>934</v>
      </c>
      <c r="AE15" s="627">
        <v>29849</v>
      </c>
      <c r="AF15" s="623" t="s">
        <v>936</v>
      </c>
      <c r="AG15" s="627">
        <v>7089643999</v>
      </c>
      <c r="AH15" s="494" t="s">
        <v>332</v>
      </c>
      <c r="AI15" s="625" t="s">
        <v>937</v>
      </c>
      <c r="AJ15" s="627">
        <v>29711</v>
      </c>
      <c r="AM15" s="494" t="s">
        <v>786</v>
      </c>
      <c r="AN15" s="625" t="s">
        <v>901</v>
      </c>
      <c r="AO15" s="627">
        <v>22230</v>
      </c>
      <c r="AP15" s="623" t="s">
        <v>882</v>
      </c>
      <c r="AQ15" s="627">
        <v>7089327433</v>
      </c>
    </row>
    <row r="16" spans="1:43" x14ac:dyDescent="0.25">
      <c r="A16" s="625">
        <v>15</v>
      </c>
      <c r="B16" s="494" t="s">
        <v>929</v>
      </c>
      <c r="C16" s="625">
        <v>120</v>
      </c>
      <c r="D16" s="494" t="s">
        <v>930</v>
      </c>
      <c r="E16" s="627">
        <v>9540609</v>
      </c>
      <c r="F16" s="627">
        <v>29835</v>
      </c>
      <c r="S16" s="629">
        <f t="shared" si="0"/>
        <v>0.625</v>
      </c>
      <c r="T16" s="629">
        <f t="shared" si="1"/>
        <v>0.64583333333333337</v>
      </c>
      <c r="U16" s="494" t="s">
        <v>920</v>
      </c>
      <c r="V16" s="620" t="str">
        <f>Aurora_table[[#This Row],[TimeSlot_Start_text]]</f>
        <v>1500</v>
      </c>
      <c r="W16" s="621"/>
      <c r="X16" s="621" t="s">
        <v>344</v>
      </c>
      <c r="Y16" s="621" t="s">
        <v>346</v>
      </c>
      <c r="Z16" s="621"/>
      <c r="AA16" s="621" t="s">
        <v>346</v>
      </c>
      <c r="AB16" s="494" t="s">
        <v>1081</v>
      </c>
      <c r="AC16" s="494" t="s">
        <v>933</v>
      </c>
      <c r="AD16" s="625" t="s">
        <v>934</v>
      </c>
      <c r="AE16" s="627">
        <v>29849</v>
      </c>
      <c r="AF16" s="623" t="s">
        <v>936</v>
      </c>
      <c r="AG16" s="627">
        <v>7089643999</v>
      </c>
      <c r="AH16" s="494" t="s">
        <v>332</v>
      </c>
      <c r="AI16" s="625" t="s">
        <v>937</v>
      </c>
      <c r="AJ16" s="627">
        <v>29711</v>
      </c>
      <c r="AM16" s="494" t="s">
        <v>786</v>
      </c>
      <c r="AN16" s="625" t="s">
        <v>901</v>
      </c>
      <c r="AO16" s="627">
        <v>22230</v>
      </c>
      <c r="AP16" s="623" t="s">
        <v>882</v>
      </c>
      <c r="AQ16" s="627">
        <v>7089327433</v>
      </c>
    </row>
    <row r="17" spans="1:43" x14ac:dyDescent="0.25">
      <c r="A17" s="625">
        <v>16</v>
      </c>
      <c r="B17" s="494" t="s">
        <v>929</v>
      </c>
      <c r="C17" s="625">
        <v>120</v>
      </c>
      <c r="D17" s="494" t="s">
        <v>930</v>
      </c>
      <c r="E17" s="627">
        <v>9540609</v>
      </c>
      <c r="F17" s="627">
        <v>29835</v>
      </c>
      <c r="S17" s="629">
        <f t="shared" si="0"/>
        <v>0.64583333333333337</v>
      </c>
      <c r="T17" s="629">
        <f t="shared" si="1"/>
        <v>0.66666666666666674</v>
      </c>
      <c r="U17" s="494" t="s">
        <v>921</v>
      </c>
      <c r="V17" s="620" t="str">
        <f>Aurora_table[[#This Row],[TimeSlot_Start_text]]</f>
        <v>1530</v>
      </c>
      <c r="W17" s="621"/>
      <c r="X17" s="621"/>
      <c r="Y17" s="621"/>
      <c r="Z17" s="621"/>
      <c r="AA17" s="621"/>
      <c r="AB17" s="494" t="s">
        <v>1082</v>
      </c>
      <c r="AC17" s="494" t="s">
        <v>933</v>
      </c>
      <c r="AD17" s="625" t="s">
        <v>934</v>
      </c>
      <c r="AE17" s="627">
        <v>29849</v>
      </c>
      <c r="AF17" s="623" t="s">
        <v>936</v>
      </c>
      <c r="AG17" s="627">
        <v>7089643999</v>
      </c>
      <c r="AH17" s="494" t="s">
        <v>332</v>
      </c>
      <c r="AI17" s="625" t="s">
        <v>937</v>
      </c>
      <c r="AJ17" s="627">
        <v>29711</v>
      </c>
      <c r="AM17" s="494" t="s">
        <v>786</v>
      </c>
      <c r="AN17" s="625" t="s">
        <v>901</v>
      </c>
      <c r="AO17" s="627">
        <v>22230</v>
      </c>
      <c r="AP17" s="623" t="s">
        <v>882</v>
      </c>
      <c r="AQ17" s="627">
        <v>7089327433</v>
      </c>
    </row>
    <row r="18" spans="1:43" x14ac:dyDescent="0.25">
      <c r="A18" s="625">
        <v>17</v>
      </c>
      <c r="B18" s="494" t="s">
        <v>929</v>
      </c>
      <c r="C18" s="625">
        <v>121</v>
      </c>
      <c r="D18" s="494" t="s">
        <v>941</v>
      </c>
      <c r="E18" s="627">
        <v>9504610</v>
      </c>
      <c r="F18" s="627">
        <v>29809</v>
      </c>
      <c r="S18" s="629">
        <f t="shared" si="0"/>
        <v>0.33333333333333331</v>
      </c>
      <c r="T18" s="629">
        <f t="shared" si="1"/>
        <v>0.35416666666666663</v>
      </c>
      <c r="U18" s="494" t="s">
        <v>906</v>
      </c>
      <c r="V18" s="620" t="str">
        <f>Aurora_table[[#This Row],[TimeSlot_Start_text]]</f>
        <v>0800</v>
      </c>
      <c r="W18" s="621" t="s">
        <v>381</v>
      </c>
      <c r="X18" s="621"/>
      <c r="Y18" s="621" t="s">
        <v>347</v>
      </c>
      <c r="Z18" s="621" t="s">
        <v>347</v>
      </c>
      <c r="AA18" s="621" t="s">
        <v>348</v>
      </c>
      <c r="AB18" s="494" t="s">
        <v>1083</v>
      </c>
      <c r="AC18" s="494" t="s">
        <v>933</v>
      </c>
      <c r="AD18" s="625" t="s">
        <v>934</v>
      </c>
      <c r="AE18" s="627">
        <v>29849</v>
      </c>
      <c r="AF18" s="623" t="s">
        <v>936</v>
      </c>
      <c r="AG18" s="627">
        <v>7089643999</v>
      </c>
      <c r="AH18" s="494" t="s">
        <v>332</v>
      </c>
      <c r="AI18" s="625" t="s">
        <v>937</v>
      </c>
      <c r="AJ18" s="627">
        <v>29711</v>
      </c>
      <c r="AM18" s="494" t="s">
        <v>786</v>
      </c>
      <c r="AN18" s="625" t="s">
        <v>901</v>
      </c>
      <c r="AO18" s="627">
        <v>22230</v>
      </c>
      <c r="AP18" s="623" t="s">
        <v>882</v>
      </c>
      <c r="AQ18" s="627">
        <v>7089327433</v>
      </c>
    </row>
    <row r="19" spans="1:43" x14ac:dyDescent="0.25">
      <c r="A19" s="625">
        <v>18</v>
      </c>
      <c r="B19" s="494" t="s">
        <v>929</v>
      </c>
      <c r="C19" s="625">
        <v>121</v>
      </c>
      <c r="D19" s="494" t="s">
        <v>941</v>
      </c>
      <c r="E19" s="627">
        <v>9504610</v>
      </c>
      <c r="F19" s="627">
        <v>29809</v>
      </c>
      <c r="S19" s="629">
        <f t="shared" si="0"/>
        <v>0.35416666666666669</v>
      </c>
      <c r="T19" s="629">
        <f t="shared" si="1"/>
        <v>0.375</v>
      </c>
      <c r="U19" s="494" t="s">
        <v>907</v>
      </c>
      <c r="V19" s="620" t="str">
        <f>Aurora_table[[#This Row],[TimeSlot_Start_text]]</f>
        <v>0830</v>
      </c>
      <c r="W19" s="621" t="s">
        <v>381</v>
      </c>
      <c r="X19" s="621" t="s">
        <v>348</v>
      </c>
      <c r="Y19" s="621" t="s">
        <v>347</v>
      </c>
      <c r="Z19" s="621" t="s">
        <v>347</v>
      </c>
      <c r="AA19" s="621" t="s">
        <v>348</v>
      </c>
      <c r="AB19" s="494" t="s">
        <v>1084</v>
      </c>
      <c r="AC19" s="494" t="s">
        <v>933</v>
      </c>
      <c r="AD19" s="625" t="s">
        <v>934</v>
      </c>
      <c r="AE19" s="627">
        <v>29849</v>
      </c>
      <c r="AF19" s="623" t="s">
        <v>936</v>
      </c>
      <c r="AG19" s="627">
        <v>7089643999</v>
      </c>
      <c r="AH19" s="494" t="s">
        <v>332</v>
      </c>
      <c r="AI19" s="625" t="s">
        <v>937</v>
      </c>
      <c r="AJ19" s="627">
        <v>29711</v>
      </c>
      <c r="AM19" s="494" t="s">
        <v>786</v>
      </c>
      <c r="AN19" s="625" t="s">
        <v>901</v>
      </c>
      <c r="AO19" s="627">
        <v>22230</v>
      </c>
      <c r="AP19" s="623" t="s">
        <v>882</v>
      </c>
      <c r="AQ19" s="627">
        <v>7089327433</v>
      </c>
    </row>
    <row r="20" spans="1:43" x14ac:dyDescent="0.25">
      <c r="A20" s="625">
        <v>19</v>
      </c>
      <c r="B20" s="494" t="s">
        <v>929</v>
      </c>
      <c r="C20" s="625">
        <v>121</v>
      </c>
      <c r="D20" s="494" t="s">
        <v>941</v>
      </c>
      <c r="E20" s="627">
        <v>9504610</v>
      </c>
      <c r="F20" s="627">
        <v>29809</v>
      </c>
      <c r="S20" s="629">
        <f t="shared" si="0"/>
        <v>0.375</v>
      </c>
      <c r="T20" s="629">
        <f t="shared" si="1"/>
        <v>0.39583333333333331</v>
      </c>
      <c r="U20" s="494" t="s">
        <v>908</v>
      </c>
      <c r="V20" s="620" t="str">
        <f>Aurora_table[[#This Row],[TimeSlot_Start_text]]</f>
        <v>0900</v>
      </c>
      <c r="W20" s="621" t="s">
        <v>381</v>
      </c>
      <c r="X20" s="621" t="s">
        <v>348</v>
      </c>
      <c r="Y20" s="621" t="s">
        <v>347</v>
      </c>
      <c r="Z20" s="621" t="s">
        <v>347</v>
      </c>
      <c r="AA20" s="621" t="s">
        <v>348</v>
      </c>
      <c r="AB20" s="494" t="s">
        <v>1085</v>
      </c>
      <c r="AC20" s="494" t="s">
        <v>933</v>
      </c>
      <c r="AD20" s="625" t="s">
        <v>934</v>
      </c>
      <c r="AE20" s="627">
        <v>29849</v>
      </c>
      <c r="AF20" s="623" t="s">
        <v>936</v>
      </c>
      <c r="AG20" s="627">
        <v>7089643999</v>
      </c>
      <c r="AH20" s="494" t="s">
        <v>332</v>
      </c>
      <c r="AI20" s="625" t="s">
        <v>937</v>
      </c>
      <c r="AJ20" s="627">
        <v>29711</v>
      </c>
      <c r="AM20" s="494" t="s">
        <v>786</v>
      </c>
      <c r="AN20" s="625" t="s">
        <v>901</v>
      </c>
      <c r="AO20" s="627">
        <v>22230</v>
      </c>
      <c r="AP20" s="623" t="s">
        <v>882</v>
      </c>
      <c r="AQ20" s="627">
        <v>7089327433</v>
      </c>
    </row>
    <row r="21" spans="1:43" x14ac:dyDescent="0.25">
      <c r="A21" s="625">
        <v>20</v>
      </c>
      <c r="B21" s="494" t="s">
        <v>929</v>
      </c>
      <c r="C21" s="625">
        <v>121</v>
      </c>
      <c r="D21" s="494" t="s">
        <v>941</v>
      </c>
      <c r="E21" s="627">
        <v>9504610</v>
      </c>
      <c r="F21" s="627">
        <v>29809</v>
      </c>
      <c r="S21" s="629">
        <f t="shared" si="0"/>
        <v>0.39583333333333331</v>
      </c>
      <c r="T21" s="629">
        <f t="shared" si="1"/>
        <v>0.41666666666666663</v>
      </c>
      <c r="U21" s="494" t="s">
        <v>909</v>
      </c>
      <c r="V21" s="620" t="str">
        <f>Aurora_table[[#This Row],[TimeSlot_Start_text]]</f>
        <v>0930</v>
      </c>
      <c r="W21" s="621" t="s">
        <v>381</v>
      </c>
      <c r="X21" s="621" t="s">
        <v>348</v>
      </c>
      <c r="Y21" s="621" t="s">
        <v>347</v>
      </c>
      <c r="Z21" s="621" t="s">
        <v>347</v>
      </c>
      <c r="AA21" s="621" t="s">
        <v>348</v>
      </c>
      <c r="AB21" s="494" t="s">
        <v>1086</v>
      </c>
      <c r="AC21" s="494" t="s">
        <v>933</v>
      </c>
      <c r="AD21" s="625" t="s">
        <v>934</v>
      </c>
      <c r="AE21" s="627">
        <v>29849</v>
      </c>
      <c r="AF21" s="623" t="s">
        <v>936</v>
      </c>
      <c r="AG21" s="627">
        <v>7089643999</v>
      </c>
      <c r="AH21" s="494" t="s">
        <v>332</v>
      </c>
      <c r="AI21" s="625" t="s">
        <v>937</v>
      </c>
      <c r="AJ21" s="627">
        <v>29711</v>
      </c>
      <c r="AM21" s="494" t="s">
        <v>786</v>
      </c>
      <c r="AN21" s="625" t="s">
        <v>901</v>
      </c>
      <c r="AO21" s="627">
        <v>22230</v>
      </c>
      <c r="AP21" s="623" t="s">
        <v>882</v>
      </c>
      <c r="AQ21" s="627">
        <v>7089327433</v>
      </c>
    </row>
    <row r="22" spans="1:43" x14ac:dyDescent="0.25">
      <c r="A22" s="625">
        <v>21</v>
      </c>
      <c r="B22" s="494" t="s">
        <v>929</v>
      </c>
      <c r="C22" s="625">
        <v>121</v>
      </c>
      <c r="D22" s="494" t="s">
        <v>941</v>
      </c>
      <c r="E22" s="627">
        <v>9504610</v>
      </c>
      <c r="F22" s="627">
        <v>29809</v>
      </c>
      <c r="S22" s="629">
        <f t="shared" si="0"/>
        <v>0.41666666666666669</v>
      </c>
      <c r="T22" s="629">
        <f t="shared" si="1"/>
        <v>0.4375</v>
      </c>
      <c r="U22" s="494" t="s">
        <v>910</v>
      </c>
      <c r="V22" s="620" t="str">
        <f>Aurora_table[[#This Row],[TimeSlot_Start_text]]</f>
        <v>1000</v>
      </c>
      <c r="W22" s="621" t="s">
        <v>380</v>
      </c>
      <c r="X22" s="621" t="s">
        <v>348</v>
      </c>
      <c r="Y22" s="621"/>
      <c r="Z22" s="621" t="s">
        <v>347</v>
      </c>
      <c r="AA22" s="621" t="s">
        <v>348</v>
      </c>
      <c r="AB22" s="494" t="s">
        <v>1073</v>
      </c>
      <c r="AC22" s="494" t="s">
        <v>933</v>
      </c>
      <c r="AD22" s="625" t="s">
        <v>934</v>
      </c>
      <c r="AE22" s="627">
        <v>29849</v>
      </c>
      <c r="AF22" s="623" t="s">
        <v>936</v>
      </c>
      <c r="AG22" s="627">
        <v>7089643999</v>
      </c>
      <c r="AH22" s="494" t="s">
        <v>332</v>
      </c>
      <c r="AI22" s="625" t="s">
        <v>937</v>
      </c>
      <c r="AJ22" s="627">
        <v>29711</v>
      </c>
      <c r="AM22" s="494" t="s">
        <v>786</v>
      </c>
      <c r="AN22" s="625" t="s">
        <v>901</v>
      </c>
      <c r="AO22" s="627">
        <v>22230</v>
      </c>
      <c r="AP22" s="623" t="s">
        <v>882</v>
      </c>
      <c r="AQ22" s="627">
        <v>7089327433</v>
      </c>
    </row>
    <row r="23" spans="1:43" x14ac:dyDescent="0.25">
      <c r="A23" s="625">
        <v>22</v>
      </c>
      <c r="B23" s="494" t="s">
        <v>929</v>
      </c>
      <c r="C23" s="625">
        <v>121</v>
      </c>
      <c r="D23" s="494" t="s">
        <v>941</v>
      </c>
      <c r="E23" s="627">
        <v>9504610</v>
      </c>
      <c r="F23" s="627">
        <v>29809</v>
      </c>
      <c r="S23" s="629">
        <f t="shared" si="0"/>
        <v>0.4375</v>
      </c>
      <c r="T23" s="629">
        <f t="shared" si="1"/>
        <v>0.45833333333333331</v>
      </c>
      <c r="U23" s="494" t="s">
        <v>911</v>
      </c>
      <c r="V23" s="620" t="str">
        <f>Aurora_table[[#This Row],[TimeSlot_Start_text]]</f>
        <v>1030</v>
      </c>
      <c r="W23" s="621"/>
      <c r="X23" s="621" t="s">
        <v>348</v>
      </c>
      <c r="Y23" s="621"/>
      <c r="Z23" s="621" t="s">
        <v>347</v>
      </c>
      <c r="AA23" s="621" t="s">
        <v>348</v>
      </c>
      <c r="AB23" s="494" t="s">
        <v>1074</v>
      </c>
      <c r="AC23" s="494" t="s">
        <v>933</v>
      </c>
      <c r="AD23" s="625" t="s">
        <v>934</v>
      </c>
      <c r="AE23" s="627">
        <v>29849</v>
      </c>
      <c r="AF23" s="623" t="s">
        <v>936</v>
      </c>
      <c r="AG23" s="627">
        <v>7089643999</v>
      </c>
      <c r="AH23" s="494" t="s">
        <v>332</v>
      </c>
      <c r="AI23" s="625" t="s">
        <v>937</v>
      </c>
      <c r="AJ23" s="627">
        <v>29711</v>
      </c>
      <c r="AM23" s="494" t="s">
        <v>786</v>
      </c>
      <c r="AN23" s="625" t="s">
        <v>901</v>
      </c>
      <c r="AO23" s="627">
        <v>22230</v>
      </c>
      <c r="AP23" s="623" t="s">
        <v>882</v>
      </c>
      <c r="AQ23" s="627">
        <v>7089327433</v>
      </c>
    </row>
    <row r="24" spans="1:43" x14ac:dyDescent="0.25">
      <c r="A24" s="625">
        <v>23</v>
      </c>
      <c r="B24" s="494" t="s">
        <v>929</v>
      </c>
      <c r="C24" s="625">
        <v>121</v>
      </c>
      <c r="D24" s="494" t="s">
        <v>941</v>
      </c>
      <c r="E24" s="627">
        <v>9504610</v>
      </c>
      <c r="F24" s="627">
        <v>29809</v>
      </c>
      <c r="S24" s="629">
        <f t="shared" si="0"/>
        <v>0.45833333333333331</v>
      </c>
      <c r="T24" s="629">
        <f t="shared" si="1"/>
        <v>0.47916666666666663</v>
      </c>
      <c r="U24" s="494" t="s">
        <v>912</v>
      </c>
      <c r="V24" s="620" t="str">
        <f>Aurora_table[[#This Row],[TimeSlot_Start_text]]</f>
        <v>1100</v>
      </c>
      <c r="W24" s="621"/>
      <c r="X24" s="621" t="s">
        <v>348</v>
      </c>
      <c r="Y24" s="621"/>
      <c r="Z24" s="621" t="s">
        <v>347</v>
      </c>
      <c r="AA24" s="621" t="s">
        <v>348</v>
      </c>
      <c r="AB24" s="494" t="s">
        <v>1076</v>
      </c>
      <c r="AC24" s="494" t="s">
        <v>933</v>
      </c>
      <c r="AD24" s="625" t="s">
        <v>934</v>
      </c>
      <c r="AE24" s="627">
        <v>29849</v>
      </c>
      <c r="AF24" s="623" t="s">
        <v>936</v>
      </c>
      <c r="AG24" s="627">
        <v>7089643999</v>
      </c>
      <c r="AH24" s="494" t="s">
        <v>332</v>
      </c>
      <c r="AI24" s="625" t="s">
        <v>937</v>
      </c>
      <c r="AJ24" s="627">
        <v>29711</v>
      </c>
      <c r="AM24" s="494" t="s">
        <v>786</v>
      </c>
      <c r="AN24" s="625" t="s">
        <v>901</v>
      </c>
      <c r="AO24" s="627">
        <v>22230</v>
      </c>
      <c r="AP24" s="623" t="s">
        <v>882</v>
      </c>
      <c r="AQ24" s="627">
        <v>7089327433</v>
      </c>
    </row>
    <row r="25" spans="1:43" x14ac:dyDescent="0.25">
      <c r="A25" s="625">
        <v>24</v>
      </c>
      <c r="B25" s="494" t="s">
        <v>929</v>
      </c>
      <c r="C25" s="625">
        <v>121</v>
      </c>
      <c r="D25" s="494" t="s">
        <v>941</v>
      </c>
      <c r="E25" s="627">
        <v>9504610</v>
      </c>
      <c r="F25" s="627">
        <v>29809</v>
      </c>
      <c r="S25" s="629">
        <f t="shared" si="0"/>
        <v>0.47916666666666669</v>
      </c>
      <c r="T25" s="629">
        <f t="shared" si="1"/>
        <v>0.5</v>
      </c>
      <c r="U25" s="494" t="s">
        <v>913</v>
      </c>
      <c r="V25" s="620" t="str">
        <f>Aurora_table[[#This Row],[TimeSlot_Start_text]]</f>
        <v>1130</v>
      </c>
      <c r="W25" s="621"/>
      <c r="X25" s="621" t="s">
        <v>348</v>
      </c>
      <c r="Y25" s="621"/>
      <c r="Z25" s="621" t="s">
        <v>347</v>
      </c>
      <c r="AA25" s="621" t="s">
        <v>348</v>
      </c>
      <c r="AB25" s="494" t="s">
        <v>1075</v>
      </c>
      <c r="AC25" s="494" t="s">
        <v>933</v>
      </c>
      <c r="AD25" s="625" t="s">
        <v>934</v>
      </c>
      <c r="AE25" s="627">
        <v>29849</v>
      </c>
      <c r="AF25" s="623" t="s">
        <v>936</v>
      </c>
      <c r="AG25" s="627">
        <v>7089643999</v>
      </c>
      <c r="AH25" s="494" t="s">
        <v>332</v>
      </c>
      <c r="AI25" s="625" t="s">
        <v>937</v>
      </c>
      <c r="AJ25" s="627">
        <v>29711</v>
      </c>
      <c r="AM25" s="494" t="s">
        <v>786</v>
      </c>
      <c r="AN25" s="625" t="s">
        <v>901</v>
      </c>
      <c r="AO25" s="627">
        <v>22230</v>
      </c>
      <c r="AP25" s="623" t="s">
        <v>882</v>
      </c>
      <c r="AQ25" s="627">
        <v>7089327433</v>
      </c>
    </row>
    <row r="26" spans="1:43" ht="15" customHeight="1" x14ac:dyDescent="0.25">
      <c r="A26" s="625">
        <v>25</v>
      </c>
      <c r="B26" s="494" t="s">
        <v>929</v>
      </c>
      <c r="C26" s="625">
        <v>121</v>
      </c>
      <c r="D26" s="494" t="s">
        <v>941</v>
      </c>
      <c r="E26" s="627">
        <v>9504610</v>
      </c>
      <c r="F26" s="627">
        <v>29809</v>
      </c>
      <c r="S26" s="629">
        <f t="shared" si="0"/>
        <v>0.5</v>
      </c>
      <c r="T26" s="629">
        <f t="shared" si="1"/>
        <v>0.52083333333333337</v>
      </c>
      <c r="U26" s="494" t="s">
        <v>914</v>
      </c>
      <c r="V26" s="620" t="str">
        <f>Aurora_table[[#This Row],[TimeSlot_Start_text]]</f>
        <v>1200</v>
      </c>
      <c r="W26" s="621" t="s">
        <v>354</v>
      </c>
      <c r="X26" s="621" t="s">
        <v>354</v>
      </c>
      <c r="Y26" s="621" t="s">
        <v>354</v>
      </c>
      <c r="Z26" s="621" t="s">
        <v>354</v>
      </c>
      <c r="AA26" s="621" t="s">
        <v>354</v>
      </c>
      <c r="AB26" s="494" t="s">
        <v>1077</v>
      </c>
      <c r="AC26" s="494" t="s">
        <v>933</v>
      </c>
      <c r="AD26" s="625" t="s">
        <v>934</v>
      </c>
      <c r="AE26" s="627">
        <v>29849</v>
      </c>
      <c r="AF26" s="623" t="s">
        <v>936</v>
      </c>
      <c r="AG26" s="627">
        <v>7089643999</v>
      </c>
      <c r="AH26" s="494" t="s">
        <v>332</v>
      </c>
      <c r="AI26" s="625" t="s">
        <v>937</v>
      </c>
      <c r="AJ26" s="627">
        <v>29711</v>
      </c>
      <c r="AM26" s="494" t="s">
        <v>786</v>
      </c>
      <c r="AN26" s="625" t="s">
        <v>901</v>
      </c>
      <c r="AO26" s="627">
        <v>22230</v>
      </c>
      <c r="AP26" s="623" t="s">
        <v>882</v>
      </c>
      <c r="AQ26" s="627">
        <v>7089327433</v>
      </c>
    </row>
    <row r="27" spans="1:43" ht="15.75" customHeight="1" x14ac:dyDescent="0.25">
      <c r="A27" s="625">
        <v>26</v>
      </c>
      <c r="B27" s="494" t="s">
        <v>929</v>
      </c>
      <c r="C27" s="625">
        <v>121</v>
      </c>
      <c r="D27" s="494" t="s">
        <v>941</v>
      </c>
      <c r="E27" s="627">
        <v>9504610</v>
      </c>
      <c r="F27" s="627">
        <v>29809</v>
      </c>
      <c r="S27" s="629">
        <f t="shared" si="0"/>
        <v>0.52083333333333337</v>
      </c>
      <c r="T27" s="629">
        <f t="shared" si="1"/>
        <v>0.54166666666666674</v>
      </c>
      <c r="U27" s="494" t="s">
        <v>915</v>
      </c>
      <c r="V27" s="620" t="str">
        <f>Aurora_table[[#This Row],[TimeSlot_Start_text]]</f>
        <v>1230</v>
      </c>
      <c r="W27" s="621" t="s">
        <v>354</v>
      </c>
      <c r="X27" s="621" t="s">
        <v>354</v>
      </c>
      <c r="Y27" s="621" t="s">
        <v>354</v>
      </c>
      <c r="Z27" s="621" t="s">
        <v>354</v>
      </c>
      <c r="AA27" s="621" t="s">
        <v>354</v>
      </c>
      <c r="AB27" s="494" t="s">
        <v>1078</v>
      </c>
      <c r="AC27" s="494" t="s">
        <v>933</v>
      </c>
      <c r="AD27" s="625" t="s">
        <v>934</v>
      </c>
      <c r="AE27" s="627">
        <v>29849</v>
      </c>
      <c r="AF27" s="623" t="s">
        <v>936</v>
      </c>
      <c r="AG27" s="627">
        <v>7089643999</v>
      </c>
      <c r="AH27" s="494" t="s">
        <v>332</v>
      </c>
      <c r="AI27" s="625" t="s">
        <v>937</v>
      </c>
      <c r="AJ27" s="627">
        <v>29711</v>
      </c>
      <c r="AM27" s="494" t="s">
        <v>786</v>
      </c>
      <c r="AN27" s="625" t="s">
        <v>901</v>
      </c>
      <c r="AO27" s="627">
        <v>22230</v>
      </c>
      <c r="AP27" s="623" t="s">
        <v>882</v>
      </c>
      <c r="AQ27" s="627">
        <v>7089327433</v>
      </c>
    </row>
    <row r="28" spans="1:43" x14ac:dyDescent="0.25">
      <c r="A28" s="625">
        <v>27</v>
      </c>
      <c r="B28" s="494" t="s">
        <v>929</v>
      </c>
      <c r="C28" s="625">
        <v>121</v>
      </c>
      <c r="D28" s="494" t="s">
        <v>941</v>
      </c>
      <c r="E28" s="627">
        <v>9504610</v>
      </c>
      <c r="F28" s="627">
        <v>29809</v>
      </c>
      <c r="S28" s="629">
        <f t="shared" si="0"/>
        <v>0.54166666666666663</v>
      </c>
      <c r="T28" s="629">
        <f t="shared" si="1"/>
        <v>0.5625</v>
      </c>
      <c r="U28" s="494" t="s">
        <v>916</v>
      </c>
      <c r="V28" s="620" t="str">
        <f>Aurora_table[[#This Row],[TimeSlot_Start_text]]</f>
        <v>1300</v>
      </c>
      <c r="W28" s="621" t="s">
        <v>348</v>
      </c>
      <c r="X28" s="621" t="s">
        <v>348</v>
      </c>
      <c r="Y28" s="621" t="s">
        <v>350</v>
      </c>
      <c r="Z28" s="621"/>
      <c r="AA28" s="621" t="s">
        <v>356</v>
      </c>
      <c r="AB28" s="494" t="s">
        <v>1071</v>
      </c>
      <c r="AC28" s="494" t="s">
        <v>933</v>
      </c>
      <c r="AD28" s="625" t="s">
        <v>934</v>
      </c>
      <c r="AE28" s="627">
        <v>29849</v>
      </c>
      <c r="AF28" s="623" t="s">
        <v>936</v>
      </c>
      <c r="AG28" s="627">
        <v>7089643999</v>
      </c>
      <c r="AH28" s="494" t="s">
        <v>332</v>
      </c>
      <c r="AI28" s="625" t="s">
        <v>937</v>
      </c>
      <c r="AJ28" s="627">
        <v>29711</v>
      </c>
      <c r="AM28" s="494" t="s">
        <v>786</v>
      </c>
      <c r="AN28" s="625" t="s">
        <v>901</v>
      </c>
      <c r="AO28" s="627">
        <v>22230</v>
      </c>
      <c r="AP28" s="623" t="s">
        <v>882</v>
      </c>
      <c r="AQ28" s="627">
        <v>7089327433</v>
      </c>
    </row>
    <row r="29" spans="1:43" x14ac:dyDescent="0.25">
      <c r="A29" s="625">
        <v>28</v>
      </c>
      <c r="B29" s="494" t="s">
        <v>929</v>
      </c>
      <c r="C29" s="625">
        <v>121</v>
      </c>
      <c r="D29" s="494" t="s">
        <v>941</v>
      </c>
      <c r="E29" s="627">
        <v>9504610</v>
      </c>
      <c r="F29" s="627">
        <v>29809</v>
      </c>
      <c r="S29" s="629">
        <f t="shared" si="0"/>
        <v>0.5625</v>
      </c>
      <c r="T29" s="629">
        <f t="shared" si="1"/>
        <v>0.58333333333333337</v>
      </c>
      <c r="U29" s="494" t="s">
        <v>917</v>
      </c>
      <c r="V29" s="620" t="str">
        <f>Aurora_table[[#This Row],[TimeSlot_Start_text]]</f>
        <v>1330</v>
      </c>
      <c r="W29" s="621" t="s">
        <v>348</v>
      </c>
      <c r="X29" s="621" t="s">
        <v>348</v>
      </c>
      <c r="Y29" s="621" t="s">
        <v>350</v>
      </c>
      <c r="Z29" s="621"/>
      <c r="AA29" s="621" t="s">
        <v>356</v>
      </c>
      <c r="AB29" s="494" t="s">
        <v>1072</v>
      </c>
      <c r="AC29" s="494" t="s">
        <v>933</v>
      </c>
      <c r="AD29" s="625" t="s">
        <v>934</v>
      </c>
      <c r="AE29" s="627">
        <v>29849</v>
      </c>
      <c r="AF29" s="623" t="s">
        <v>936</v>
      </c>
      <c r="AG29" s="627">
        <v>7089643999</v>
      </c>
      <c r="AH29" s="494" t="s">
        <v>332</v>
      </c>
      <c r="AI29" s="625" t="s">
        <v>937</v>
      </c>
      <c r="AJ29" s="627">
        <v>29711</v>
      </c>
      <c r="AM29" s="494" t="s">
        <v>786</v>
      </c>
      <c r="AN29" s="625" t="s">
        <v>901</v>
      </c>
      <c r="AO29" s="627">
        <v>22230</v>
      </c>
      <c r="AP29" s="623" t="s">
        <v>882</v>
      </c>
      <c r="AQ29" s="627">
        <v>7089327433</v>
      </c>
    </row>
    <row r="30" spans="1:43" x14ac:dyDescent="0.25">
      <c r="A30" s="625">
        <v>29</v>
      </c>
      <c r="B30" s="494" t="s">
        <v>929</v>
      </c>
      <c r="C30" s="625">
        <v>121</v>
      </c>
      <c r="D30" s="494" t="s">
        <v>941</v>
      </c>
      <c r="E30" s="627">
        <v>9504610</v>
      </c>
      <c r="F30" s="627">
        <v>29809</v>
      </c>
      <c r="S30" s="629">
        <f t="shared" si="0"/>
        <v>0.58333333333333337</v>
      </c>
      <c r="T30" s="629">
        <f t="shared" si="1"/>
        <v>0.60416666666666674</v>
      </c>
      <c r="U30" s="494" t="s">
        <v>918</v>
      </c>
      <c r="V30" s="620" t="str">
        <f>Aurora_table[[#This Row],[TimeSlot_Start_text]]</f>
        <v>1400</v>
      </c>
      <c r="W30" s="621" t="s">
        <v>348</v>
      </c>
      <c r="X30" s="621" t="s">
        <v>348</v>
      </c>
      <c r="Y30" s="621" t="s">
        <v>350</v>
      </c>
      <c r="Z30" s="621"/>
      <c r="AA30" s="621" t="s">
        <v>356</v>
      </c>
      <c r="AB30" s="494" t="s">
        <v>1079</v>
      </c>
      <c r="AC30" s="494" t="s">
        <v>933</v>
      </c>
      <c r="AD30" s="625" t="s">
        <v>934</v>
      </c>
      <c r="AE30" s="627">
        <v>29849</v>
      </c>
      <c r="AF30" s="623" t="s">
        <v>936</v>
      </c>
      <c r="AG30" s="627">
        <v>7089643999</v>
      </c>
      <c r="AH30" s="494" t="s">
        <v>332</v>
      </c>
      <c r="AI30" s="625" t="s">
        <v>937</v>
      </c>
      <c r="AJ30" s="627">
        <v>29711</v>
      </c>
      <c r="AM30" s="494" t="s">
        <v>786</v>
      </c>
      <c r="AN30" s="625" t="s">
        <v>901</v>
      </c>
      <c r="AO30" s="627">
        <v>22230</v>
      </c>
      <c r="AP30" s="623" t="s">
        <v>882</v>
      </c>
      <c r="AQ30" s="627">
        <v>7089327433</v>
      </c>
    </row>
    <row r="31" spans="1:43" x14ac:dyDescent="0.25">
      <c r="A31" s="625">
        <v>30</v>
      </c>
      <c r="B31" s="494" t="s">
        <v>929</v>
      </c>
      <c r="C31" s="625">
        <v>121</v>
      </c>
      <c r="D31" s="494" t="s">
        <v>941</v>
      </c>
      <c r="E31" s="627">
        <v>9504610</v>
      </c>
      <c r="F31" s="627">
        <v>29809</v>
      </c>
      <c r="S31" s="629">
        <f t="shared" si="0"/>
        <v>0.60416666666666663</v>
      </c>
      <c r="T31" s="629">
        <f t="shared" si="1"/>
        <v>0.625</v>
      </c>
      <c r="U31" s="494" t="s">
        <v>919</v>
      </c>
      <c r="V31" s="620" t="str">
        <f>Aurora_table[[#This Row],[TimeSlot_Start_text]]</f>
        <v>1430</v>
      </c>
      <c r="W31" s="621" t="s">
        <v>348</v>
      </c>
      <c r="X31" s="621" t="s">
        <v>348</v>
      </c>
      <c r="Y31" s="621" t="s">
        <v>350</v>
      </c>
      <c r="Z31" s="621"/>
      <c r="AA31" s="621" t="s">
        <v>356</v>
      </c>
      <c r="AB31" s="494" t="s">
        <v>1080</v>
      </c>
      <c r="AC31" s="494" t="s">
        <v>933</v>
      </c>
      <c r="AD31" s="625" t="s">
        <v>934</v>
      </c>
      <c r="AE31" s="627">
        <v>29849</v>
      </c>
      <c r="AF31" s="623" t="s">
        <v>936</v>
      </c>
      <c r="AG31" s="627">
        <v>7089643999</v>
      </c>
      <c r="AH31" s="494" t="s">
        <v>332</v>
      </c>
      <c r="AI31" s="625" t="s">
        <v>937</v>
      </c>
      <c r="AJ31" s="627">
        <v>29711</v>
      </c>
      <c r="AM31" s="494" t="s">
        <v>786</v>
      </c>
      <c r="AN31" s="625" t="s">
        <v>901</v>
      </c>
      <c r="AO31" s="627">
        <v>22230</v>
      </c>
      <c r="AP31" s="623" t="s">
        <v>882</v>
      </c>
      <c r="AQ31" s="627">
        <v>7089327433</v>
      </c>
    </row>
    <row r="32" spans="1:43" x14ac:dyDescent="0.25">
      <c r="A32" s="625">
        <v>31</v>
      </c>
      <c r="B32" s="494" t="s">
        <v>929</v>
      </c>
      <c r="C32" s="625">
        <v>121</v>
      </c>
      <c r="D32" s="494" t="s">
        <v>941</v>
      </c>
      <c r="E32" s="627">
        <v>9504610</v>
      </c>
      <c r="F32" s="627">
        <v>29809</v>
      </c>
      <c r="S32" s="629">
        <f t="shared" si="0"/>
        <v>0.625</v>
      </c>
      <c r="T32" s="629">
        <f t="shared" si="1"/>
        <v>0.64583333333333337</v>
      </c>
      <c r="U32" s="494" t="s">
        <v>920</v>
      </c>
      <c r="V32" s="620" t="str">
        <f>Aurora_table[[#This Row],[TimeSlot_Start_text]]</f>
        <v>1500</v>
      </c>
      <c r="W32" s="621" t="s">
        <v>348</v>
      </c>
      <c r="X32" s="621"/>
      <c r="Y32" s="621" t="s">
        <v>351</v>
      </c>
      <c r="Z32" s="621"/>
      <c r="AA32" s="621" t="s">
        <v>356</v>
      </c>
      <c r="AB32" s="494" t="s">
        <v>1081</v>
      </c>
      <c r="AC32" s="494" t="s">
        <v>933</v>
      </c>
      <c r="AD32" s="625" t="s">
        <v>934</v>
      </c>
      <c r="AE32" s="627">
        <v>29849</v>
      </c>
      <c r="AF32" s="623" t="s">
        <v>936</v>
      </c>
      <c r="AG32" s="627">
        <v>7089643999</v>
      </c>
      <c r="AH32" s="494" t="s">
        <v>332</v>
      </c>
      <c r="AI32" s="625" t="s">
        <v>937</v>
      </c>
      <c r="AJ32" s="627">
        <v>29711</v>
      </c>
      <c r="AM32" s="494" t="s">
        <v>786</v>
      </c>
      <c r="AN32" s="625" t="s">
        <v>901</v>
      </c>
      <c r="AO32" s="627">
        <v>22230</v>
      </c>
      <c r="AP32" s="623" t="s">
        <v>882</v>
      </c>
      <c r="AQ32" s="627">
        <v>7089327433</v>
      </c>
    </row>
    <row r="33" spans="1:43" x14ac:dyDescent="0.25">
      <c r="A33" s="625">
        <v>32</v>
      </c>
      <c r="B33" s="494" t="s">
        <v>929</v>
      </c>
      <c r="C33" s="625">
        <v>121</v>
      </c>
      <c r="D33" s="494" t="s">
        <v>941</v>
      </c>
      <c r="E33" s="627">
        <v>9504610</v>
      </c>
      <c r="F33" s="627">
        <v>29809</v>
      </c>
      <c r="S33" s="629">
        <f t="shared" si="0"/>
        <v>0.64583333333333337</v>
      </c>
      <c r="T33" s="629">
        <f t="shared" si="1"/>
        <v>0.66666666666666674</v>
      </c>
      <c r="U33" s="494" t="s">
        <v>921</v>
      </c>
      <c r="V33" s="620" t="str">
        <f>Aurora_table[[#This Row],[TimeSlot_Start_text]]</f>
        <v>1530</v>
      </c>
      <c r="W33" s="621" t="s">
        <v>348</v>
      </c>
      <c r="X33" s="621"/>
      <c r="Y33" s="621" t="s">
        <v>351</v>
      </c>
      <c r="Z33" s="621"/>
      <c r="AA33" s="621" t="s">
        <v>356</v>
      </c>
      <c r="AB33" s="494" t="s">
        <v>1082</v>
      </c>
      <c r="AC33" s="494" t="s">
        <v>933</v>
      </c>
      <c r="AD33" s="625" t="s">
        <v>934</v>
      </c>
      <c r="AE33" s="627">
        <v>29849</v>
      </c>
      <c r="AF33" s="623" t="s">
        <v>936</v>
      </c>
      <c r="AG33" s="627">
        <v>7089643999</v>
      </c>
      <c r="AH33" s="494" t="s">
        <v>332</v>
      </c>
      <c r="AI33" s="625" t="s">
        <v>937</v>
      </c>
      <c r="AJ33" s="627">
        <v>29711</v>
      </c>
      <c r="AM33" s="494" t="s">
        <v>786</v>
      </c>
      <c r="AN33" s="625" t="s">
        <v>901</v>
      </c>
      <c r="AO33" s="627">
        <v>22230</v>
      </c>
      <c r="AP33" s="623" t="s">
        <v>882</v>
      </c>
      <c r="AQ33" s="627">
        <v>7089327433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84ABD-13C3-4514-A146-A56032323EDD}">
  <dimension ref="A1:AQ65"/>
  <sheetViews>
    <sheetView workbookViewId="0">
      <pane ySplit="1" topLeftCell="A2" activePane="bottomLeft" state="frozen"/>
      <selection pane="bottomLeft" activeCell="C22" sqref="C22"/>
    </sheetView>
  </sheetViews>
  <sheetFormatPr defaultRowHeight="15" x14ac:dyDescent="0.25"/>
  <cols>
    <col min="1" max="1" width="9.7109375" style="620" bestFit="1" customWidth="1"/>
    <col min="2" max="2" width="20.5703125" style="494" bestFit="1" customWidth="1"/>
    <col min="3" max="3" width="18" style="494" bestFit="1" customWidth="1"/>
    <col min="4" max="4" width="21.140625" style="494" bestFit="1" customWidth="1"/>
    <col min="5" max="5" width="24" style="627" bestFit="1" customWidth="1"/>
    <col min="6" max="6" width="29" style="627" bestFit="1" customWidth="1"/>
    <col min="7" max="7" width="24.85546875" style="494" bestFit="1" customWidth="1"/>
    <col min="8" max="8" width="18.140625" style="494" bestFit="1" customWidth="1"/>
    <col min="9" max="9" width="30.42578125" style="628" bestFit="1" customWidth="1"/>
    <col min="10" max="10" width="25.140625" style="494" bestFit="1" customWidth="1"/>
    <col min="11" max="11" width="34.7109375" style="632" bestFit="1" customWidth="1"/>
    <col min="12" max="12" width="34.140625" style="632" bestFit="1" customWidth="1"/>
    <col min="13" max="13" width="38.42578125" style="494" bestFit="1" customWidth="1"/>
    <col min="14" max="14" width="33.42578125" style="494" bestFit="1" customWidth="1"/>
    <col min="15" max="15" width="33.5703125" style="494" bestFit="1" customWidth="1"/>
    <col min="16" max="16" width="34.42578125" style="494" bestFit="1" customWidth="1"/>
    <col min="17" max="17" width="30.28515625" style="628" bestFit="1" customWidth="1"/>
    <col min="18" max="18" width="30" style="628" bestFit="1" customWidth="1"/>
    <col min="19" max="19" width="23.85546875" style="629" bestFit="1" customWidth="1"/>
    <col min="20" max="20" width="22.5703125" style="629" bestFit="1" customWidth="1"/>
    <col min="21" max="21" width="23.140625" style="494" bestFit="1" customWidth="1"/>
    <col min="22" max="22" width="27.140625" style="494" bestFit="1" customWidth="1"/>
    <col min="23" max="23" width="27.7109375" style="494" bestFit="1" customWidth="1"/>
    <col min="24" max="24" width="21.85546875" style="494" bestFit="1" customWidth="1"/>
    <col min="25" max="25" width="25" style="494" bestFit="1" customWidth="1"/>
    <col min="26" max="26" width="22.42578125" style="494" bestFit="1" customWidth="1"/>
    <col min="27" max="27" width="21.85546875" style="494" bestFit="1" customWidth="1"/>
    <col min="28" max="28" width="17.7109375" style="494" bestFit="1" customWidth="1"/>
    <col min="29" max="29" width="18.7109375" style="494" bestFit="1" customWidth="1"/>
    <col min="30" max="30" width="23.28515625" style="625" bestFit="1" customWidth="1"/>
    <col min="31" max="31" width="23.28515625" style="627" bestFit="1" customWidth="1"/>
    <col min="32" max="32" width="16.42578125" style="623" bestFit="1" customWidth="1"/>
    <col min="33" max="33" width="20.42578125" style="494" bestFit="1" customWidth="1"/>
    <col min="34" max="34" width="20.140625" style="494" bestFit="1" customWidth="1"/>
    <col min="35" max="35" width="25.5703125" style="625" bestFit="1" customWidth="1"/>
    <col min="36" max="36" width="24.7109375" style="627" bestFit="1" customWidth="1"/>
    <col min="37" max="37" width="17.7109375" style="623" bestFit="1" customWidth="1"/>
    <col min="38" max="38" width="21.7109375" style="627" bestFit="1" customWidth="1"/>
    <col min="39" max="39" width="18.5703125" style="494" bestFit="1" customWidth="1"/>
    <col min="40" max="40" width="21.7109375" style="625" bestFit="1" customWidth="1"/>
    <col min="41" max="41" width="23.140625" style="627" bestFit="1" customWidth="1"/>
    <col min="42" max="42" width="17.42578125" style="623" bestFit="1" customWidth="1"/>
    <col min="43" max="43" width="20.28515625" style="627" bestFit="1" customWidth="1"/>
    <col min="44" max="16384" width="9.140625" style="494"/>
  </cols>
  <sheetData>
    <row r="1" spans="1:43" s="495" customFormat="1" ht="15.75" x14ac:dyDescent="0.25">
      <c r="A1" s="619" t="s">
        <v>1093</v>
      </c>
      <c r="B1" s="495" t="s">
        <v>872</v>
      </c>
      <c r="C1" s="495" t="s">
        <v>971</v>
      </c>
      <c r="D1" s="495" t="s">
        <v>978</v>
      </c>
      <c r="E1" s="626" t="s">
        <v>1088</v>
      </c>
      <c r="F1" s="626" t="s">
        <v>1089</v>
      </c>
      <c r="G1" s="495" t="s">
        <v>886</v>
      </c>
      <c r="H1" s="495" t="s">
        <v>1094</v>
      </c>
      <c r="I1" s="633" t="s">
        <v>1103</v>
      </c>
      <c r="J1" s="495" t="s">
        <v>1104</v>
      </c>
      <c r="K1" s="631" t="s">
        <v>1100</v>
      </c>
      <c r="L1" s="631" t="s">
        <v>1097</v>
      </c>
      <c r="M1" s="495" t="s">
        <v>1098</v>
      </c>
      <c r="N1" s="495" t="s">
        <v>1101</v>
      </c>
      <c r="O1" s="495" t="s">
        <v>1099</v>
      </c>
      <c r="P1" s="495" t="s">
        <v>1102</v>
      </c>
      <c r="Q1" s="633" t="s">
        <v>1095</v>
      </c>
      <c r="R1" s="633" t="s">
        <v>1096</v>
      </c>
      <c r="S1" s="630" t="s">
        <v>1069</v>
      </c>
      <c r="T1" s="630" t="s">
        <v>1070</v>
      </c>
      <c r="U1" s="495" t="s">
        <v>905</v>
      </c>
      <c r="V1" s="619" t="s">
        <v>1087</v>
      </c>
      <c r="W1" s="495" t="s">
        <v>874</v>
      </c>
      <c r="X1" s="495" t="s">
        <v>875</v>
      </c>
      <c r="Y1" s="495" t="s">
        <v>876</v>
      </c>
      <c r="Z1" s="495" t="s">
        <v>877</v>
      </c>
      <c r="AA1" s="495" t="s">
        <v>878</v>
      </c>
      <c r="AB1" s="495" t="s">
        <v>873</v>
      </c>
      <c r="AC1" s="495" t="s">
        <v>888</v>
      </c>
      <c r="AD1" s="624" t="s">
        <v>889</v>
      </c>
      <c r="AE1" s="626" t="s">
        <v>1090</v>
      </c>
      <c r="AF1" s="622" t="s">
        <v>891</v>
      </c>
      <c r="AG1" s="495" t="s">
        <v>959</v>
      </c>
      <c r="AH1" s="495" t="s">
        <v>892</v>
      </c>
      <c r="AI1" s="624" t="s">
        <v>893</v>
      </c>
      <c r="AJ1" s="626" t="s">
        <v>1092</v>
      </c>
      <c r="AK1" s="622" t="s">
        <v>897</v>
      </c>
      <c r="AL1" s="626" t="s">
        <v>958</v>
      </c>
      <c r="AM1" s="495" t="s">
        <v>898</v>
      </c>
      <c r="AN1" s="624" t="s">
        <v>900</v>
      </c>
      <c r="AO1" s="626" t="s">
        <v>1091</v>
      </c>
      <c r="AP1" s="622" t="s">
        <v>940</v>
      </c>
      <c r="AQ1" s="619" t="s">
        <v>957</v>
      </c>
    </row>
    <row r="2" spans="1:43" x14ac:dyDescent="0.25">
      <c r="A2" s="625">
        <v>33</v>
      </c>
      <c r="B2" s="494" t="s">
        <v>528</v>
      </c>
      <c r="C2" s="625">
        <v>103</v>
      </c>
      <c r="D2" s="494" t="s">
        <v>1010</v>
      </c>
      <c r="E2" s="627">
        <v>9504616</v>
      </c>
      <c r="F2" s="627">
        <v>29706</v>
      </c>
      <c r="G2" s="494" t="s">
        <v>1013</v>
      </c>
      <c r="S2" s="629">
        <f t="shared" ref="S2:S33" si="0">TIME(LEFT(U2,2),RIGHT(U2,2),"00")</f>
        <v>0.33333333333333331</v>
      </c>
      <c r="T2" s="629">
        <f t="shared" ref="T2:T33" si="1">S2+(TIME("00","30","00"))</f>
        <v>0.35416666666666663</v>
      </c>
      <c r="U2" s="494" t="s">
        <v>906</v>
      </c>
      <c r="V2" s="620" t="str">
        <f>HoffmanEstates_table[[#This Row],[TimeSlot_Start_text]]</f>
        <v>0800</v>
      </c>
      <c r="W2" s="621"/>
      <c r="X2" s="621" t="s">
        <v>381</v>
      </c>
      <c r="Y2" s="621"/>
      <c r="Z2" s="621" t="s">
        <v>380</v>
      </c>
      <c r="AA2" s="621"/>
      <c r="AB2" s="494" t="s">
        <v>1083</v>
      </c>
      <c r="AC2" s="494" t="s">
        <v>995</v>
      </c>
      <c r="AD2" s="625" t="s">
        <v>996</v>
      </c>
      <c r="AE2" s="627">
        <v>29715</v>
      </c>
      <c r="AF2" s="623" t="s">
        <v>998</v>
      </c>
      <c r="AG2" s="627">
        <v>708979613</v>
      </c>
      <c r="AH2" s="494" t="s">
        <v>1000</v>
      </c>
      <c r="AI2" s="625" t="s">
        <v>1001</v>
      </c>
      <c r="AJ2" s="627">
        <v>29711</v>
      </c>
      <c r="AM2" s="494" t="s">
        <v>786</v>
      </c>
      <c r="AN2" s="625" t="s">
        <v>901</v>
      </c>
      <c r="AO2" s="627">
        <v>22230</v>
      </c>
      <c r="AP2" s="623" t="s">
        <v>882</v>
      </c>
      <c r="AQ2" s="627">
        <v>7089327433</v>
      </c>
    </row>
    <row r="3" spans="1:43" x14ac:dyDescent="0.25">
      <c r="A3" s="625">
        <v>34</v>
      </c>
      <c r="B3" s="494" t="s">
        <v>528</v>
      </c>
      <c r="C3" s="625">
        <v>103</v>
      </c>
      <c r="D3" s="494" t="s">
        <v>1010</v>
      </c>
      <c r="E3" s="627">
        <v>9504616</v>
      </c>
      <c r="F3" s="627">
        <v>29706</v>
      </c>
      <c r="G3" s="494" t="s">
        <v>1013</v>
      </c>
      <c r="S3" s="629">
        <f t="shared" si="0"/>
        <v>0.35416666666666669</v>
      </c>
      <c r="T3" s="629">
        <f t="shared" si="1"/>
        <v>0.375</v>
      </c>
      <c r="U3" s="494" t="s">
        <v>907</v>
      </c>
      <c r="V3" s="620" t="str">
        <f>HoffmanEstates_table[[#This Row],[TimeSlot_Start_text]]</f>
        <v>0830</v>
      </c>
      <c r="W3" s="621"/>
      <c r="X3" s="621"/>
      <c r="Y3" s="621"/>
      <c r="Z3" s="621"/>
      <c r="AA3" s="621"/>
      <c r="AB3" s="494" t="s">
        <v>1084</v>
      </c>
      <c r="AC3" s="494" t="s">
        <v>995</v>
      </c>
      <c r="AD3" s="625" t="s">
        <v>996</v>
      </c>
      <c r="AE3" s="627">
        <v>29715</v>
      </c>
      <c r="AF3" s="623" t="s">
        <v>998</v>
      </c>
      <c r="AG3" s="627">
        <v>708979613</v>
      </c>
      <c r="AH3" s="494" t="s">
        <v>1000</v>
      </c>
      <c r="AI3" s="625" t="s">
        <v>1001</v>
      </c>
      <c r="AJ3" s="627">
        <v>29711</v>
      </c>
      <c r="AM3" s="494" t="s">
        <v>786</v>
      </c>
      <c r="AN3" s="625" t="s">
        <v>901</v>
      </c>
      <c r="AO3" s="627">
        <v>22230</v>
      </c>
      <c r="AP3" s="623" t="s">
        <v>882</v>
      </c>
      <c r="AQ3" s="627">
        <v>7089327433</v>
      </c>
    </row>
    <row r="4" spans="1:43" x14ac:dyDescent="0.25">
      <c r="A4" s="625">
        <v>35</v>
      </c>
      <c r="B4" s="494" t="s">
        <v>528</v>
      </c>
      <c r="C4" s="625">
        <v>103</v>
      </c>
      <c r="D4" s="494" t="s">
        <v>1010</v>
      </c>
      <c r="E4" s="627">
        <v>9504616</v>
      </c>
      <c r="F4" s="627">
        <v>29706</v>
      </c>
      <c r="G4" s="494" t="s">
        <v>1013</v>
      </c>
      <c r="S4" s="629">
        <f t="shared" si="0"/>
        <v>0.375</v>
      </c>
      <c r="T4" s="629">
        <f t="shared" si="1"/>
        <v>0.39583333333333331</v>
      </c>
      <c r="U4" s="494" t="s">
        <v>908</v>
      </c>
      <c r="V4" s="620" t="str">
        <f>HoffmanEstates_table[[#This Row],[TimeSlot_Start_text]]</f>
        <v>0900</v>
      </c>
      <c r="W4" s="621"/>
      <c r="X4" s="621"/>
      <c r="Y4" s="621" t="s">
        <v>380</v>
      </c>
      <c r="Z4" s="621"/>
      <c r="AA4" s="621"/>
      <c r="AB4" s="494" t="s">
        <v>1085</v>
      </c>
      <c r="AC4" s="494" t="s">
        <v>995</v>
      </c>
      <c r="AD4" s="625" t="s">
        <v>996</v>
      </c>
      <c r="AE4" s="627">
        <v>29715</v>
      </c>
      <c r="AF4" s="623" t="s">
        <v>998</v>
      </c>
      <c r="AG4" s="627">
        <v>708979613</v>
      </c>
      <c r="AH4" s="494" t="s">
        <v>1000</v>
      </c>
      <c r="AI4" s="625" t="s">
        <v>1001</v>
      </c>
      <c r="AJ4" s="627">
        <v>29711</v>
      </c>
      <c r="AM4" s="494" t="s">
        <v>786</v>
      </c>
      <c r="AN4" s="625" t="s">
        <v>901</v>
      </c>
      <c r="AO4" s="627">
        <v>22230</v>
      </c>
      <c r="AP4" s="623" t="s">
        <v>882</v>
      </c>
      <c r="AQ4" s="627">
        <v>7089327433</v>
      </c>
    </row>
    <row r="5" spans="1:43" x14ac:dyDescent="0.25">
      <c r="A5" s="625">
        <v>36</v>
      </c>
      <c r="B5" s="494" t="s">
        <v>528</v>
      </c>
      <c r="C5" s="625">
        <v>103</v>
      </c>
      <c r="D5" s="494" t="s">
        <v>1010</v>
      </c>
      <c r="E5" s="627">
        <v>9504616</v>
      </c>
      <c r="F5" s="627">
        <v>29706</v>
      </c>
      <c r="G5" s="494" t="s">
        <v>1013</v>
      </c>
      <c r="S5" s="629">
        <f t="shared" si="0"/>
        <v>0.39583333333333331</v>
      </c>
      <c r="T5" s="629">
        <f t="shared" si="1"/>
        <v>0.41666666666666663</v>
      </c>
      <c r="U5" s="494" t="s">
        <v>909</v>
      </c>
      <c r="V5" s="620" t="str">
        <f>HoffmanEstates_table[[#This Row],[TimeSlot_Start_text]]</f>
        <v>0930</v>
      </c>
      <c r="W5" s="621" t="s">
        <v>381</v>
      </c>
      <c r="X5" s="621"/>
      <c r="Y5" s="621"/>
      <c r="Z5" s="621"/>
      <c r="AA5" s="621" t="s">
        <v>381</v>
      </c>
      <c r="AB5" s="494" t="s">
        <v>1086</v>
      </c>
      <c r="AC5" s="494" t="s">
        <v>995</v>
      </c>
      <c r="AD5" s="625" t="s">
        <v>996</v>
      </c>
      <c r="AE5" s="627">
        <v>29715</v>
      </c>
      <c r="AF5" s="623" t="s">
        <v>998</v>
      </c>
      <c r="AG5" s="627">
        <v>708979613</v>
      </c>
      <c r="AH5" s="494" t="s">
        <v>1000</v>
      </c>
      <c r="AI5" s="625" t="s">
        <v>1001</v>
      </c>
      <c r="AJ5" s="627">
        <v>29711</v>
      </c>
      <c r="AM5" s="494" t="s">
        <v>786</v>
      </c>
      <c r="AN5" s="625" t="s">
        <v>901</v>
      </c>
      <c r="AO5" s="627">
        <v>22230</v>
      </c>
      <c r="AP5" s="623" t="s">
        <v>882</v>
      </c>
      <c r="AQ5" s="627">
        <v>7089327433</v>
      </c>
    </row>
    <row r="6" spans="1:43" x14ac:dyDescent="0.25">
      <c r="A6" s="625">
        <v>37</v>
      </c>
      <c r="B6" s="494" t="s">
        <v>528</v>
      </c>
      <c r="C6" s="625">
        <v>103</v>
      </c>
      <c r="D6" s="494" t="s">
        <v>1010</v>
      </c>
      <c r="E6" s="627">
        <v>9504616</v>
      </c>
      <c r="F6" s="627">
        <v>29706</v>
      </c>
      <c r="G6" s="494" t="s">
        <v>1013</v>
      </c>
      <c r="S6" s="629">
        <f t="shared" si="0"/>
        <v>0.41666666666666669</v>
      </c>
      <c r="T6" s="629">
        <f t="shared" si="1"/>
        <v>0.4375</v>
      </c>
      <c r="U6" s="494" t="s">
        <v>910</v>
      </c>
      <c r="V6" s="620" t="str">
        <f>HoffmanEstates_table[[#This Row],[TimeSlot_Start_text]]</f>
        <v>1000</v>
      </c>
      <c r="W6" s="621"/>
      <c r="X6" s="621"/>
      <c r="Y6" s="621"/>
      <c r="Z6" s="621" t="s">
        <v>380</v>
      </c>
      <c r="AA6" s="621"/>
      <c r="AB6" s="494" t="s">
        <v>1073</v>
      </c>
      <c r="AC6" s="494" t="s">
        <v>995</v>
      </c>
      <c r="AD6" s="625" t="s">
        <v>996</v>
      </c>
      <c r="AE6" s="627">
        <v>29715</v>
      </c>
      <c r="AF6" s="623" t="s">
        <v>998</v>
      </c>
      <c r="AG6" s="627">
        <v>708979613</v>
      </c>
      <c r="AH6" s="494" t="s">
        <v>1000</v>
      </c>
      <c r="AI6" s="625" t="s">
        <v>1001</v>
      </c>
      <c r="AJ6" s="627">
        <v>29711</v>
      </c>
      <c r="AM6" s="494" t="s">
        <v>786</v>
      </c>
      <c r="AN6" s="625" t="s">
        <v>901</v>
      </c>
      <c r="AO6" s="627">
        <v>22230</v>
      </c>
      <c r="AP6" s="623" t="s">
        <v>882</v>
      </c>
      <c r="AQ6" s="627">
        <v>7089327433</v>
      </c>
    </row>
    <row r="7" spans="1:43" x14ac:dyDescent="0.25">
      <c r="A7" s="625">
        <v>38</v>
      </c>
      <c r="B7" s="494" t="s">
        <v>528</v>
      </c>
      <c r="C7" s="625">
        <v>103</v>
      </c>
      <c r="D7" s="494" t="s">
        <v>1010</v>
      </c>
      <c r="E7" s="627">
        <v>9504616</v>
      </c>
      <c r="F7" s="627">
        <v>29706</v>
      </c>
      <c r="G7" s="494" t="s">
        <v>1013</v>
      </c>
      <c r="S7" s="629">
        <f t="shared" si="0"/>
        <v>0.4375</v>
      </c>
      <c r="T7" s="629">
        <f t="shared" si="1"/>
        <v>0.45833333333333331</v>
      </c>
      <c r="U7" s="494" t="s">
        <v>911</v>
      </c>
      <c r="V7" s="620" t="str">
        <f>HoffmanEstates_table[[#This Row],[TimeSlot_Start_text]]</f>
        <v>1030</v>
      </c>
      <c r="W7" s="621"/>
      <c r="X7" s="621"/>
      <c r="Y7" s="621"/>
      <c r="Z7" s="621"/>
      <c r="AA7" s="621"/>
      <c r="AB7" s="494" t="s">
        <v>1074</v>
      </c>
      <c r="AC7" s="494" t="s">
        <v>995</v>
      </c>
      <c r="AD7" s="625" t="s">
        <v>996</v>
      </c>
      <c r="AE7" s="627">
        <v>29715</v>
      </c>
      <c r="AF7" s="623" t="s">
        <v>998</v>
      </c>
      <c r="AG7" s="627">
        <v>708979613</v>
      </c>
      <c r="AH7" s="494" t="s">
        <v>1000</v>
      </c>
      <c r="AI7" s="625" t="s">
        <v>1001</v>
      </c>
      <c r="AJ7" s="627">
        <v>29711</v>
      </c>
      <c r="AM7" s="494" t="s">
        <v>786</v>
      </c>
      <c r="AN7" s="625" t="s">
        <v>901</v>
      </c>
      <c r="AO7" s="627">
        <v>22230</v>
      </c>
      <c r="AP7" s="623" t="s">
        <v>882</v>
      </c>
      <c r="AQ7" s="627">
        <v>7089327433</v>
      </c>
    </row>
    <row r="8" spans="1:43" x14ac:dyDescent="0.25">
      <c r="A8" s="625">
        <v>39</v>
      </c>
      <c r="B8" s="494" t="s">
        <v>528</v>
      </c>
      <c r="C8" s="625">
        <v>103</v>
      </c>
      <c r="D8" s="494" t="s">
        <v>1010</v>
      </c>
      <c r="E8" s="627">
        <v>9504616</v>
      </c>
      <c r="F8" s="627">
        <v>29706</v>
      </c>
      <c r="G8" s="494" t="s">
        <v>1013</v>
      </c>
      <c r="S8" s="629">
        <f t="shared" si="0"/>
        <v>0.45833333333333331</v>
      </c>
      <c r="T8" s="629">
        <f t="shared" si="1"/>
        <v>0.47916666666666663</v>
      </c>
      <c r="U8" s="494" t="s">
        <v>912</v>
      </c>
      <c r="V8" s="620" t="str">
        <f>HoffmanEstates_table[[#This Row],[TimeSlot_Start_text]]</f>
        <v>1100</v>
      </c>
      <c r="W8" s="621"/>
      <c r="X8" s="621"/>
      <c r="Y8" s="621"/>
      <c r="Z8" s="621"/>
      <c r="AA8" s="621"/>
      <c r="AB8" s="494" t="s">
        <v>1076</v>
      </c>
      <c r="AC8" s="494" t="s">
        <v>995</v>
      </c>
      <c r="AD8" s="625" t="s">
        <v>996</v>
      </c>
      <c r="AE8" s="627">
        <v>29715</v>
      </c>
      <c r="AF8" s="623" t="s">
        <v>998</v>
      </c>
      <c r="AG8" s="627">
        <v>708979613</v>
      </c>
      <c r="AH8" s="494" t="s">
        <v>1000</v>
      </c>
      <c r="AI8" s="625" t="s">
        <v>1001</v>
      </c>
      <c r="AJ8" s="627">
        <v>29711</v>
      </c>
      <c r="AM8" s="494" t="s">
        <v>786</v>
      </c>
      <c r="AN8" s="625" t="s">
        <v>901</v>
      </c>
      <c r="AO8" s="627">
        <v>22230</v>
      </c>
      <c r="AP8" s="623" t="s">
        <v>882</v>
      </c>
      <c r="AQ8" s="627">
        <v>7089327433</v>
      </c>
    </row>
    <row r="9" spans="1:43" x14ac:dyDescent="0.25">
      <c r="A9" s="625">
        <v>40</v>
      </c>
      <c r="B9" s="494" t="s">
        <v>528</v>
      </c>
      <c r="C9" s="625">
        <v>103</v>
      </c>
      <c r="D9" s="494" t="s">
        <v>1010</v>
      </c>
      <c r="E9" s="627">
        <v>9504616</v>
      </c>
      <c r="F9" s="627">
        <v>29706</v>
      </c>
      <c r="G9" s="494" t="s">
        <v>1013</v>
      </c>
      <c r="S9" s="629">
        <f t="shared" si="0"/>
        <v>0.47916666666666669</v>
      </c>
      <c r="T9" s="629">
        <f t="shared" si="1"/>
        <v>0.5</v>
      </c>
      <c r="U9" s="494" t="s">
        <v>913</v>
      </c>
      <c r="V9" s="620" t="str">
        <f>HoffmanEstates_table[[#This Row],[TimeSlot_Start_text]]</f>
        <v>1130</v>
      </c>
      <c r="W9" s="621"/>
      <c r="X9" s="621"/>
      <c r="Y9" s="621"/>
      <c r="Z9" s="621"/>
      <c r="AA9" s="621"/>
      <c r="AB9" s="494" t="s">
        <v>1075</v>
      </c>
      <c r="AC9" s="494" t="s">
        <v>995</v>
      </c>
      <c r="AD9" s="625" t="s">
        <v>996</v>
      </c>
      <c r="AE9" s="627">
        <v>29715</v>
      </c>
      <c r="AF9" s="623" t="s">
        <v>998</v>
      </c>
      <c r="AG9" s="627">
        <v>708979613</v>
      </c>
      <c r="AH9" s="494" t="s">
        <v>1000</v>
      </c>
      <c r="AI9" s="625" t="s">
        <v>1001</v>
      </c>
      <c r="AJ9" s="627">
        <v>29711</v>
      </c>
      <c r="AM9" s="494" t="s">
        <v>786</v>
      </c>
      <c r="AN9" s="625" t="s">
        <v>901</v>
      </c>
      <c r="AO9" s="627">
        <v>22230</v>
      </c>
      <c r="AP9" s="623" t="s">
        <v>882</v>
      </c>
      <c r="AQ9" s="627">
        <v>7089327433</v>
      </c>
    </row>
    <row r="10" spans="1:43" ht="15" customHeight="1" x14ac:dyDescent="0.25">
      <c r="A10" s="625">
        <v>41</v>
      </c>
      <c r="B10" s="494" t="s">
        <v>528</v>
      </c>
      <c r="C10" s="625">
        <v>103</v>
      </c>
      <c r="D10" s="494" t="s">
        <v>1010</v>
      </c>
      <c r="E10" s="627">
        <v>9504616</v>
      </c>
      <c r="F10" s="627">
        <v>29706</v>
      </c>
      <c r="G10" s="494" t="s">
        <v>1013</v>
      </c>
      <c r="S10" s="629">
        <f t="shared" si="0"/>
        <v>0.5</v>
      </c>
      <c r="T10" s="629">
        <f t="shared" si="1"/>
        <v>0.52083333333333337</v>
      </c>
      <c r="U10" s="494" t="s">
        <v>914</v>
      </c>
      <c r="V10" s="620" t="str">
        <f>HoffmanEstates_table[[#This Row],[TimeSlot_Start_text]]</f>
        <v>1200</v>
      </c>
      <c r="W10" s="621" t="s">
        <v>354</v>
      </c>
      <c r="X10" s="621" t="s">
        <v>354</v>
      </c>
      <c r="Y10" s="621" t="s">
        <v>354</v>
      </c>
      <c r="Z10" s="621" t="s">
        <v>354</v>
      </c>
      <c r="AA10" s="621" t="s">
        <v>354</v>
      </c>
      <c r="AB10" s="494" t="s">
        <v>1077</v>
      </c>
      <c r="AC10" s="494" t="s">
        <v>995</v>
      </c>
      <c r="AD10" s="625" t="s">
        <v>996</v>
      </c>
      <c r="AE10" s="627">
        <v>29715</v>
      </c>
      <c r="AF10" s="623" t="s">
        <v>998</v>
      </c>
      <c r="AG10" s="627">
        <v>708979613</v>
      </c>
      <c r="AH10" s="494" t="s">
        <v>1000</v>
      </c>
      <c r="AI10" s="625" t="s">
        <v>1001</v>
      </c>
      <c r="AJ10" s="627">
        <v>29711</v>
      </c>
      <c r="AM10" s="494" t="s">
        <v>786</v>
      </c>
      <c r="AN10" s="625" t="s">
        <v>901</v>
      </c>
      <c r="AO10" s="627">
        <v>22230</v>
      </c>
      <c r="AP10" s="623" t="s">
        <v>882</v>
      </c>
      <c r="AQ10" s="627">
        <v>7089327433</v>
      </c>
    </row>
    <row r="11" spans="1:43" ht="15.75" customHeight="1" x14ac:dyDescent="0.25">
      <c r="A11" s="625">
        <v>42</v>
      </c>
      <c r="B11" s="494" t="s">
        <v>528</v>
      </c>
      <c r="C11" s="625">
        <v>103</v>
      </c>
      <c r="D11" s="494" t="s">
        <v>1010</v>
      </c>
      <c r="E11" s="627">
        <v>9504616</v>
      </c>
      <c r="F11" s="627">
        <v>29706</v>
      </c>
      <c r="G11" s="494" t="s">
        <v>1013</v>
      </c>
      <c r="S11" s="629">
        <f t="shared" si="0"/>
        <v>0.52083333333333337</v>
      </c>
      <c r="T11" s="629">
        <f t="shared" si="1"/>
        <v>0.54166666666666674</v>
      </c>
      <c r="U11" s="494" t="s">
        <v>915</v>
      </c>
      <c r="V11" s="620" t="str">
        <f>HoffmanEstates_table[[#This Row],[TimeSlot_Start_text]]</f>
        <v>1230</v>
      </c>
      <c r="W11" s="621" t="s">
        <v>354</v>
      </c>
      <c r="X11" s="621" t="s">
        <v>354</v>
      </c>
      <c r="Y11" s="621" t="s">
        <v>354</v>
      </c>
      <c r="Z11" s="621" t="s">
        <v>354</v>
      </c>
      <c r="AA11" s="621" t="s">
        <v>354</v>
      </c>
      <c r="AB11" s="494" t="s">
        <v>1078</v>
      </c>
      <c r="AC11" s="494" t="s">
        <v>995</v>
      </c>
      <c r="AD11" s="625" t="s">
        <v>996</v>
      </c>
      <c r="AE11" s="627">
        <v>29715</v>
      </c>
      <c r="AF11" s="623" t="s">
        <v>998</v>
      </c>
      <c r="AG11" s="627">
        <v>708979613</v>
      </c>
      <c r="AH11" s="494" t="s">
        <v>1000</v>
      </c>
      <c r="AI11" s="625" t="s">
        <v>1001</v>
      </c>
      <c r="AJ11" s="627">
        <v>29711</v>
      </c>
      <c r="AM11" s="494" t="s">
        <v>786</v>
      </c>
      <c r="AN11" s="625" t="s">
        <v>901</v>
      </c>
      <c r="AO11" s="627">
        <v>22230</v>
      </c>
      <c r="AP11" s="623" t="s">
        <v>882</v>
      </c>
      <c r="AQ11" s="627">
        <v>7089327433</v>
      </c>
    </row>
    <row r="12" spans="1:43" x14ac:dyDescent="0.25">
      <c r="A12" s="625">
        <v>43</v>
      </c>
      <c r="B12" s="494" t="s">
        <v>528</v>
      </c>
      <c r="C12" s="625">
        <v>103</v>
      </c>
      <c r="D12" s="494" t="s">
        <v>1010</v>
      </c>
      <c r="E12" s="627">
        <v>9504616</v>
      </c>
      <c r="F12" s="627">
        <v>29706</v>
      </c>
      <c r="G12" s="494" t="s">
        <v>1013</v>
      </c>
      <c r="S12" s="629">
        <f t="shared" si="0"/>
        <v>0.54166666666666663</v>
      </c>
      <c r="T12" s="629">
        <f t="shared" si="1"/>
        <v>0.5625</v>
      </c>
      <c r="U12" s="494" t="s">
        <v>916</v>
      </c>
      <c r="V12" s="620" t="str">
        <f>HoffmanEstates_table[[#This Row],[TimeSlot_Start_text]]</f>
        <v>1300</v>
      </c>
      <c r="W12" s="621" t="s">
        <v>381</v>
      </c>
      <c r="X12" s="621"/>
      <c r="Y12" s="621"/>
      <c r="Z12" s="621"/>
      <c r="AA12" s="621"/>
      <c r="AB12" s="494" t="s">
        <v>1071</v>
      </c>
      <c r="AC12" s="494" t="s">
        <v>995</v>
      </c>
      <c r="AD12" s="625" t="s">
        <v>996</v>
      </c>
      <c r="AE12" s="627">
        <v>29715</v>
      </c>
      <c r="AF12" s="623" t="s">
        <v>998</v>
      </c>
      <c r="AG12" s="627">
        <v>708979613</v>
      </c>
      <c r="AH12" s="494" t="s">
        <v>1000</v>
      </c>
      <c r="AI12" s="625" t="s">
        <v>1001</v>
      </c>
      <c r="AJ12" s="627">
        <v>29711</v>
      </c>
      <c r="AM12" s="494" t="s">
        <v>786</v>
      </c>
      <c r="AN12" s="625" t="s">
        <v>901</v>
      </c>
      <c r="AO12" s="627">
        <v>22230</v>
      </c>
      <c r="AP12" s="623" t="s">
        <v>882</v>
      </c>
      <c r="AQ12" s="627">
        <v>7089327433</v>
      </c>
    </row>
    <row r="13" spans="1:43" x14ac:dyDescent="0.25">
      <c r="A13" s="625">
        <v>44</v>
      </c>
      <c r="B13" s="494" t="s">
        <v>528</v>
      </c>
      <c r="C13" s="625">
        <v>103</v>
      </c>
      <c r="D13" s="494" t="s">
        <v>1010</v>
      </c>
      <c r="E13" s="627">
        <v>9504616</v>
      </c>
      <c r="F13" s="627">
        <v>29706</v>
      </c>
      <c r="G13" s="494" t="s">
        <v>1013</v>
      </c>
      <c r="S13" s="629">
        <f t="shared" si="0"/>
        <v>0.5625</v>
      </c>
      <c r="T13" s="629">
        <f t="shared" si="1"/>
        <v>0.58333333333333337</v>
      </c>
      <c r="U13" s="494" t="s">
        <v>917</v>
      </c>
      <c r="V13" s="620" t="str">
        <f>HoffmanEstates_table[[#This Row],[TimeSlot_Start_text]]</f>
        <v>1330</v>
      </c>
      <c r="W13" s="621"/>
      <c r="X13" s="621"/>
      <c r="Y13" s="621"/>
      <c r="Z13" s="621"/>
      <c r="AA13" s="621"/>
      <c r="AB13" s="494" t="s">
        <v>1072</v>
      </c>
      <c r="AC13" s="494" t="s">
        <v>995</v>
      </c>
      <c r="AD13" s="625" t="s">
        <v>996</v>
      </c>
      <c r="AE13" s="627">
        <v>29715</v>
      </c>
      <c r="AF13" s="623" t="s">
        <v>998</v>
      </c>
      <c r="AG13" s="627">
        <v>708979613</v>
      </c>
      <c r="AH13" s="494" t="s">
        <v>1000</v>
      </c>
      <c r="AI13" s="625" t="s">
        <v>1001</v>
      </c>
      <c r="AJ13" s="627">
        <v>29711</v>
      </c>
      <c r="AM13" s="494" t="s">
        <v>786</v>
      </c>
      <c r="AN13" s="625" t="s">
        <v>901</v>
      </c>
      <c r="AO13" s="627">
        <v>22230</v>
      </c>
      <c r="AP13" s="623" t="s">
        <v>882</v>
      </c>
      <c r="AQ13" s="627">
        <v>7089327433</v>
      </c>
    </row>
    <row r="14" spans="1:43" x14ac:dyDescent="0.25">
      <c r="A14" s="625">
        <v>45</v>
      </c>
      <c r="B14" s="494" t="s">
        <v>528</v>
      </c>
      <c r="C14" s="625">
        <v>103</v>
      </c>
      <c r="D14" s="494" t="s">
        <v>1010</v>
      </c>
      <c r="E14" s="627">
        <v>9504616</v>
      </c>
      <c r="F14" s="627">
        <v>29706</v>
      </c>
      <c r="G14" s="494" t="s">
        <v>1013</v>
      </c>
      <c r="S14" s="629">
        <f t="shared" si="0"/>
        <v>0.58333333333333337</v>
      </c>
      <c r="T14" s="629">
        <f t="shared" si="1"/>
        <v>0.60416666666666674</v>
      </c>
      <c r="U14" s="494" t="s">
        <v>918</v>
      </c>
      <c r="V14" s="620" t="str">
        <f>HoffmanEstates_table[[#This Row],[TimeSlot_Start_text]]</f>
        <v>1400</v>
      </c>
      <c r="W14" s="621"/>
      <c r="X14" s="621"/>
      <c r="Y14" s="621"/>
      <c r="Z14" s="621"/>
      <c r="AA14" s="621" t="s">
        <v>381</v>
      </c>
      <c r="AB14" s="494" t="s">
        <v>1079</v>
      </c>
      <c r="AC14" s="494" t="s">
        <v>995</v>
      </c>
      <c r="AD14" s="625" t="s">
        <v>996</v>
      </c>
      <c r="AE14" s="627">
        <v>29715</v>
      </c>
      <c r="AF14" s="623" t="s">
        <v>998</v>
      </c>
      <c r="AG14" s="627">
        <v>708979613</v>
      </c>
      <c r="AH14" s="494" t="s">
        <v>1000</v>
      </c>
      <c r="AI14" s="625" t="s">
        <v>1001</v>
      </c>
      <c r="AJ14" s="627">
        <v>29711</v>
      </c>
      <c r="AM14" s="494" t="s">
        <v>786</v>
      </c>
      <c r="AN14" s="625" t="s">
        <v>901</v>
      </c>
      <c r="AO14" s="627">
        <v>22230</v>
      </c>
      <c r="AP14" s="623" t="s">
        <v>882</v>
      </c>
      <c r="AQ14" s="627">
        <v>7089327433</v>
      </c>
    </row>
    <row r="15" spans="1:43" x14ac:dyDescent="0.25">
      <c r="A15" s="625">
        <v>46</v>
      </c>
      <c r="B15" s="494" t="s">
        <v>528</v>
      </c>
      <c r="C15" s="625">
        <v>103</v>
      </c>
      <c r="D15" s="494" t="s">
        <v>1010</v>
      </c>
      <c r="E15" s="627">
        <v>9504616</v>
      </c>
      <c r="F15" s="627">
        <v>29706</v>
      </c>
      <c r="G15" s="494" t="s">
        <v>1013</v>
      </c>
      <c r="S15" s="629">
        <f t="shared" si="0"/>
        <v>0.60416666666666663</v>
      </c>
      <c r="T15" s="629">
        <f t="shared" si="1"/>
        <v>0.625</v>
      </c>
      <c r="U15" s="494" t="s">
        <v>919</v>
      </c>
      <c r="V15" s="620" t="str">
        <f>HoffmanEstates_table[[#This Row],[TimeSlot_Start_text]]</f>
        <v>1430</v>
      </c>
      <c r="W15" s="621" t="s">
        <v>381</v>
      </c>
      <c r="X15" s="621"/>
      <c r="Y15" s="621"/>
      <c r="Z15" s="621" t="s">
        <v>381</v>
      </c>
      <c r="AA15" s="621"/>
      <c r="AB15" s="494" t="s">
        <v>1080</v>
      </c>
      <c r="AC15" s="494" t="s">
        <v>995</v>
      </c>
      <c r="AD15" s="625" t="s">
        <v>996</v>
      </c>
      <c r="AE15" s="627">
        <v>29715</v>
      </c>
      <c r="AF15" s="623" t="s">
        <v>998</v>
      </c>
      <c r="AG15" s="627">
        <v>708979613</v>
      </c>
      <c r="AH15" s="494" t="s">
        <v>1000</v>
      </c>
      <c r="AI15" s="625" t="s">
        <v>1001</v>
      </c>
      <c r="AJ15" s="627">
        <v>29711</v>
      </c>
      <c r="AM15" s="494" t="s">
        <v>786</v>
      </c>
      <c r="AN15" s="625" t="s">
        <v>901</v>
      </c>
      <c r="AO15" s="627">
        <v>22230</v>
      </c>
      <c r="AP15" s="623" t="s">
        <v>882</v>
      </c>
      <c r="AQ15" s="627">
        <v>7089327433</v>
      </c>
    </row>
    <row r="16" spans="1:43" x14ac:dyDescent="0.25">
      <c r="A16" s="625">
        <v>47</v>
      </c>
      <c r="B16" s="494" t="s">
        <v>528</v>
      </c>
      <c r="C16" s="625">
        <v>103</v>
      </c>
      <c r="D16" s="494" t="s">
        <v>1010</v>
      </c>
      <c r="E16" s="627">
        <v>9504616</v>
      </c>
      <c r="F16" s="627">
        <v>29706</v>
      </c>
      <c r="G16" s="494" t="s">
        <v>1013</v>
      </c>
      <c r="S16" s="629">
        <f t="shared" si="0"/>
        <v>0.625</v>
      </c>
      <c r="T16" s="629">
        <f t="shared" si="1"/>
        <v>0.64583333333333337</v>
      </c>
      <c r="U16" s="494" t="s">
        <v>920</v>
      </c>
      <c r="V16" s="620" t="str">
        <f>HoffmanEstates_table[[#This Row],[TimeSlot_Start_text]]</f>
        <v>1500</v>
      </c>
      <c r="W16" s="621"/>
      <c r="X16" s="621"/>
      <c r="Y16" s="621"/>
      <c r="Z16" s="621"/>
      <c r="AA16" s="621"/>
      <c r="AB16" s="494" t="s">
        <v>1081</v>
      </c>
      <c r="AC16" s="494" t="s">
        <v>995</v>
      </c>
      <c r="AD16" s="625" t="s">
        <v>996</v>
      </c>
      <c r="AE16" s="627">
        <v>29715</v>
      </c>
      <c r="AF16" s="623" t="s">
        <v>998</v>
      </c>
      <c r="AG16" s="627">
        <v>708979613</v>
      </c>
      <c r="AH16" s="494" t="s">
        <v>1000</v>
      </c>
      <c r="AI16" s="625" t="s">
        <v>1001</v>
      </c>
      <c r="AJ16" s="627">
        <v>29711</v>
      </c>
      <c r="AM16" s="494" t="s">
        <v>786</v>
      </c>
      <c r="AN16" s="625" t="s">
        <v>901</v>
      </c>
      <c r="AO16" s="627">
        <v>22230</v>
      </c>
      <c r="AP16" s="623" t="s">
        <v>882</v>
      </c>
      <c r="AQ16" s="627">
        <v>7089327433</v>
      </c>
    </row>
    <row r="17" spans="1:43" x14ac:dyDescent="0.25">
      <c r="A17" s="625">
        <v>48</v>
      </c>
      <c r="B17" s="494" t="s">
        <v>528</v>
      </c>
      <c r="C17" s="625">
        <v>103</v>
      </c>
      <c r="D17" s="494" t="s">
        <v>1010</v>
      </c>
      <c r="E17" s="627">
        <v>9504616</v>
      </c>
      <c r="F17" s="627">
        <v>29706</v>
      </c>
      <c r="G17" s="494" t="s">
        <v>1013</v>
      </c>
      <c r="S17" s="629">
        <f t="shared" si="0"/>
        <v>0.64583333333333337</v>
      </c>
      <c r="T17" s="629">
        <f t="shared" si="1"/>
        <v>0.66666666666666674</v>
      </c>
      <c r="U17" s="494" t="s">
        <v>921</v>
      </c>
      <c r="V17" s="620" t="str">
        <f>HoffmanEstates_table[[#This Row],[TimeSlot_Start_text]]</f>
        <v>1530</v>
      </c>
      <c r="W17" s="621"/>
      <c r="X17" s="621"/>
      <c r="Y17" s="621"/>
      <c r="Z17" s="621"/>
      <c r="AA17" s="621"/>
      <c r="AB17" s="494" t="s">
        <v>1082</v>
      </c>
      <c r="AC17" s="494" t="s">
        <v>995</v>
      </c>
      <c r="AD17" s="625" t="s">
        <v>996</v>
      </c>
      <c r="AE17" s="627">
        <v>29715</v>
      </c>
      <c r="AF17" s="623" t="s">
        <v>998</v>
      </c>
      <c r="AG17" s="627">
        <v>708979613</v>
      </c>
      <c r="AH17" s="494" t="s">
        <v>1000</v>
      </c>
      <c r="AI17" s="625" t="s">
        <v>1001</v>
      </c>
      <c r="AJ17" s="627">
        <v>29711</v>
      </c>
      <c r="AM17" s="494" t="s">
        <v>786</v>
      </c>
      <c r="AN17" s="625" t="s">
        <v>901</v>
      </c>
      <c r="AO17" s="627">
        <v>22230</v>
      </c>
      <c r="AP17" s="623" t="s">
        <v>882</v>
      </c>
      <c r="AQ17" s="627">
        <v>7089327433</v>
      </c>
    </row>
    <row r="18" spans="1:43" x14ac:dyDescent="0.25">
      <c r="A18" s="625">
        <v>49</v>
      </c>
      <c r="B18" s="494" t="s">
        <v>528</v>
      </c>
      <c r="C18" s="625">
        <v>104</v>
      </c>
      <c r="D18" s="494" t="s">
        <v>1002</v>
      </c>
      <c r="E18" s="627">
        <v>9504615</v>
      </c>
      <c r="F18" s="627">
        <v>29707</v>
      </c>
      <c r="G18" s="494" t="s">
        <v>1005</v>
      </c>
      <c r="S18" s="629">
        <f t="shared" si="0"/>
        <v>0.33333333333333331</v>
      </c>
      <c r="T18" s="629">
        <f t="shared" si="1"/>
        <v>0.35416666666666663</v>
      </c>
      <c r="U18" s="494" t="s">
        <v>906</v>
      </c>
      <c r="V18" s="620" t="str">
        <f>HoffmanEstates_table[[#This Row],[TimeSlot_Start_text]]</f>
        <v>0800</v>
      </c>
      <c r="W18" s="621"/>
      <c r="X18" s="621" t="s">
        <v>380</v>
      </c>
      <c r="Y18" s="621"/>
      <c r="Z18" s="621" t="s">
        <v>380</v>
      </c>
      <c r="AA18" s="621" t="s">
        <v>553</v>
      </c>
      <c r="AB18" s="494" t="s">
        <v>1083</v>
      </c>
      <c r="AC18" s="494" t="s">
        <v>995</v>
      </c>
      <c r="AD18" s="625" t="s">
        <v>996</v>
      </c>
      <c r="AE18" s="627">
        <v>29715</v>
      </c>
      <c r="AF18" s="623" t="s">
        <v>998</v>
      </c>
      <c r="AG18" s="627">
        <v>708979613</v>
      </c>
      <c r="AH18" s="494" t="s">
        <v>1000</v>
      </c>
      <c r="AI18" s="625" t="s">
        <v>1001</v>
      </c>
      <c r="AJ18" s="627">
        <v>29711</v>
      </c>
      <c r="AM18" s="494" t="s">
        <v>786</v>
      </c>
      <c r="AN18" s="625" t="s">
        <v>901</v>
      </c>
      <c r="AO18" s="627">
        <v>22230</v>
      </c>
      <c r="AP18" s="623" t="s">
        <v>882</v>
      </c>
      <c r="AQ18" s="627">
        <v>7089327433</v>
      </c>
    </row>
    <row r="19" spans="1:43" x14ac:dyDescent="0.25">
      <c r="A19" s="625">
        <v>50</v>
      </c>
      <c r="B19" s="494" t="s">
        <v>528</v>
      </c>
      <c r="C19" s="625">
        <v>104</v>
      </c>
      <c r="D19" s="494" t="s">
        <v>1002</v>
      </c>
      <c r="E19" s="627">
        <v>9504615</v>
      </c>
      <c r="F19" s="627">
        <v>29707</v>
      </c>
      <c r="G19" s="494" t="s">
        <v>1005</v>
      </c>
      <c r="S19" s="629">
        <f t="shared" si="0"/>
        <v>0.35416666666666669</v>
      </c>
      <c r="T19" s="629">
        <f t="shared" si="1"/>
        <v>0.375</v>
      </c>
      <c r="U19" s="494" t="s">
        <v>907</v>
      </c>
      <c r="V19" s="620" t="str">
        <f>HoffmanEstates_table[[#This Row],[TimeSlot_Start_text]]</f>
        <v>0830</v>
      </c>
      <c r="W19" s="621"/>
      <c r="X19" s="621"/>
      <c r="Y19" s="621"/>
      <c r="Z19" s="621"/>
      <c r="AA19" s="621" t="s">
        <v>553</v>
      </c>
      <c r="AB19" s="494" t="s">
        <v>1084</v>
      </c>
      <c r="AC19" s="494" t="s">
        <v>995</v>
      </c>
      <c r="AD19" s="625" t="s">
        <v>996</v>
      </c>
      <c r="AE19" s="627">
        <v>29715</v>
      </c>
      <c r="AF19" s="623" t="s">
        <v>998</v>
      </c>
      <c r="AG19" s="627">
        <v>708979613</v>
      </c>
      <c r="AH19" s="494" t="s">
        <v>1000</v>
      </c>
      <c r="AI19" s="625" t="s">
        <v>1001</v>
      </c>
      <c r="AJ19" s="627">
        <v>29711</v>
      </c>
      <c r="AM19" s="494" t="s">
        <v>786</v>
      </c>
      <c r="AN19" s="625" t="s">
        <v>901</v>
      </c>
      <c r="AO19" s="627">
        <v>22230</v>
      </c>
      <c r="AP19" s="623" t="s">
        <v>882</v>
      </c>
      <c r="AQ19" s="627">
        <v>7089327433</v>
      </c>
    </row>
    <row r="20" spans="1:43" x14ac:dyDescent="0.25">
      <c r="A20" s="625">
        <v>51</v>
      </c>
      <c r="B20" s="494" t="s">
        <v>528</v>
      </c>
      <c r="C20" s="625">
        <v>104</v>
      </c>
      <c r="D20" s="494" t="s">
        <v>1002</v>
      </c>
      <c r="E20" s="627">
        <v>9504615</v>
      </c>
      <c r="F20" s="627">
        <v>29707</v>
      </c>
      <c r="G20" s="494" t="s">
        <v>1005</v>
      </c>
      <c r="S20" s="629">
        <f t="shared" si="0"/>
        <v>0.375</v>
      </c>
      <c r="T20" s="629">
        <f t="shared" si="1"/>
        <v>0.39583333333333331</v>
      </c>
      <c r="U20" s="494" t="s">
        <v>908</v>
      </c>
      <c r="V20" s="620" t="str">
        <f>HoffmanEstates_table[[#This Row],[TimeSlot_Start_text]]</f>
        <v>0900</v>
      </c>
      <c r="W20" s="621" t="s">
        <v>557</v>
      </c>
      <c r="X20" s="621"/>
      <c r="Y20" s="621" t="s">
        <v>380</v>
      </c>
      <c r="Z20" s="621"/>
      <c r="AA20" s="621" t="s">
        <v>553</v>
      </c>
      <c r="AB20" s="494" t="s">
        <v>1085</v>
      </c>
      <c r="AC20" s="494" t="s">
        <v>995</v>
      </c>
      <c r="AD20" s="625" t="s">
        <v>996</v>
      </c>
      <c r="AE20" s="627">
        <v>29715</v>
      </c>
      <c r="AF20" s="623" t="s">
        <v>998</v>
      </c>
      <c r="AG20" s="627">
        <v>708979613</v>
      </c>
      <c r="AH20" s="494" t="s">
        <v>1000</v>
      </c>
      <c r="AI20" s="625" t="s">
        <v>1001</v>
      </c>
      <c r="AJ20" s="627">
        <v>29711</v>
      </c>
      <c r="AM20" s="494" t="s">
        <v>786</v>
      </c>
      <c r="AN20" s="625" t="s">
        <v>901</v>
      </c>
      <c r="AO20" s="627">
        <v>22230</v>
      </c>
      <c r="AP20" s="623" t="s">
        <v>882</v>
      </c>
      <c r="AQ20" s="627">
        <v>7089327433</v>
      </c>
    </row>
    <row r="21" spans="1:43" x14ac:dyDescent="0.25">
      <c r="A21" s="625">
        <v>52</v>
      </c>
      <c r="B21" s="494" t="s">
        <v>528</v>
      </c>
      <c r="C21" s="625">
        <v>104</v>
      </c>
      <c r="D21" s="494" t="s">
        <v>1002</v>
      </c>
      <c r="E21" s="627">
        <v>9504615</v>
      </c>
      <c r="F21" s="627">
        <v>29707</v>
      </c>
      <c r="G21" s="494" t="s">
        <v>1005</v>
      </c>
      <c r="S21" s="629">
        <f t="shared" si="0"/>
        <v>0.39583333333333331</v>
      </c>
      <c r="T21" s="629">
        <f t="shared" si="1"/>
        <v>0.41666666666666663</v>
      </c>
      <c r="U21" s="494" t="s">
        <v>909</v>
      </c>
      <c r="V21" s="620" t="str">
        <f>HoffmanEstates_table[[#This Row],[TimeSlot_Start_text]]</f>
        <v>0930</v>
      </c>
      <c r="W21" s="621" t="s">
        <v>557</v>
      </c>
      <c r="X21" s="621"/>
      <c r="Y21" s="621"/>
      <c r="Z21" s="621"/>
      <c r="AA21" s="621" t="s">
        <v>553</v>
      </c>
      <c r="AB21" s="494" t="s">
        <v>1086</v>
      </c>
      <c r="AC21" s="494" t="s">
        <v>995</v>
      </c>
      <c r="AD21" s="625" t="s">
        <v>996</v>
      </c>
      <c r="AE21" s="627">
        <v>29715</v>
      </c>
      <c r="AF21" s="623" t="s">
        <v>998</v>
      </c>
      <c r="AG21" s="627">
        <v>708979613</v>
      </c>
      <c r="AH21" s="494" t="s">
        <v>1000</v>
      </c>
      <c r="AI21" s="625" t="s">
        <v>1001</v>
      </c>
      <c r="AJ21" s="627">
        <v>29711</v>
      </c>
      <c r="AM21" s="494" t="s">
        <v>786</v>
      </c>
      <c r="AN21" s="625" t="s">
        <v>901</v>
      </c>
      <c r="AO21" s="627">
        <v>22230</v>
      </c>
      <c r="AP21" s="623" t="s">
        <v>882</v>
      </c>
      <c r="AQ21" s="627">
        <v>7089327433</v>
      </c>
    </row>
    <row r="22" spans="1:43" x14ac:dyDescent="0.25">
      <c r="A22" s="625">
        <v>53</v>
      </c>
      <c r="B22" s="494" t="s">
        <v>528</v>
      </c>
      <c r="C22" s="625">
        <v>104</v>
      </c>
      <c r="D22" s="494" t="s">
        <v>1002</v>
      </c>
      <c r="E22" s="627">
        <v>9504615</v>
      </c>
      <c r="F22" s="627">
        <v>29707</v>
      </c>
      <c r="G22" s="494" t="s">
        <v>1005</v>
      </c>
      <c r="S22" s="629">
        <f t="shared" si="0"/>
        <v>0.41666666666666669</v>
      </c>
      <c r="T22" s="629">
        <f t="shared" si="1"/>
        <v>0.4375</v>
      </c>
      <c r="U22" s="494" t="s">
        <v>910</v>
      </c>
      <c r="V22" s="620" t="str">
        <f>HoffmanEstates_table[[#This Row],[TimeSlot_Start_text]]</f>
        <v>1000</v>
      </c>
      <c r="W22" s="621" t="s">
        <v>560</v>
      </c>
      <c r="X22" s="621" t="s">
        <v>380</v>
      </c>
      <c r="Y22" s="621"/>
      <c r="Z22" s="621" t="s">
        <v>553</v>
      </c>
      <c r="AA22" s="621"/>
      <c r="AB22" s="494" t="s">
        <v>1073</v>
      </c>
      <c r="AC22" s="494" t="s">
        <v>995</v>
      </c>
      <c r="AD22" s="625" t="s">
        <v>996</v>
      </c>
      <c r="AE22" s="627">
        <v>29715</v>
      </c>
      <c r="AF22" s="623" t="s">
        <v>998</v>
      </c>
      <c r="AG22" s="627">
        <v>708979613</v>
      </c>
      <c r="AH22" s="494" t="s">
        <v>1000</v>
      </c>
      <c r="AI22" s="625" t="s">
        <v>1001</v>
      </c>
      <c r="AJ22" s="627">
        <v>29711</v>
      </c>
      <c r="AM22" s="494" t="s">
        <v>786</v>
      </c>
      <c r="AN22" s="625" t="s">
        <v>901</v>
      </c>
      <c r="AO22" s="627">
        <v>22230</v>
      </c>
      <c r="AP22" s="623" t="s">
        <v>882</v>
      </c>
      <c r="AQ22" s="627">
        <v>7089327433</v>
      </c>
    </row>
    <row r="23" spans="1:43" x14ac:dyDescent="0.25">
      <c r="A23" s="625">
        <v>54</v>
      </c>
      <c r="B23" s="494" t="s">
        <v>528</v>
      </c>
      <c r="C23" s="625">
        <v>104</v>
      </c>
      <c r="D23" s="494" t="s">
        <v>1002</v>
      </c>
      <c r="E23" s="627">
        <v>9504615</v>
      </c>
      <c r="F23" s="627">
        <v>29707</v>
      </c>
      <c r="G23" s="494" t="s">
        <v>1005</v>
      </c>
      <c r="S23" s="629">
        <f t="shared" si="0"/>
        <v>0.4375</v>
      </c>
      <c r="T23" s="629">
        <f t="shared" si="1"/>
        <v>0.45833333333333331</v>
      </c>
      <c r="U23" s="494" t="s">
        <v>911</v>
      </c>
      <c r="V23" s="620" t="str">
        <f>HoffmanEstates_table[[#This Row],[TimeSlot_Start_text]]</f>
        <v>1030</v>
      </c>
      <c r="W23" s="621" t="s">
        <v>562</v>
      </c>
      <c r="X23" s="621"/>
      <c r="Y23" s="621"/>
      <c r="Z23" s="621" t="s">
        <v>553</v>
      </c>
      <c r="AA23" s="621"/>
      <c r="AB23" s="494" t="s">
        <v>1074</v>
      </c>
      <c r="AC23" s="494" t="s">
        <v>995</v>
      </c>
      <c r="AD23" s="625" t="s">
        <v>996</v>
      </c>
      <c r="AE23" s="627">
        <v>29715</v>
      </c>
      <c r="AF23" s="623" t="s">
        <v>998</v>
      </c>
      <c r="AG23" s="627">
        <v>708979613</v>
      </c>
      <c r="AH23" s="494" t="s">
        <v>1000</v>
      </c>
      <c r="AI23" s="625" t="s">
        <v>1001</v>
      </c>
      <c r="AJ23" s="627">
        <v>29711</v>
      </c>
      <c r="AM23" s="494" t="s">
        <v>786</v>
      </c>
      <c r="AN23" s="625" t="s">
        <v>901</v>
      </c>
      <c r="AO23" s="627">
        <v>22230</v>
      </c>
      <c r="AP23" s="623" t="s">
        <v>882</v>
      </c>
      <c r="AQ23" s="627">
        <v>7089327433</v>
      </c>
    </row>
    <row r="24" spans="1:43" x14ac:dyDescent="0.25">
      <c r="A24" s="625">
        <v>55</v>
      </c>
      <c r="B24" s="494" t="s">
        <v>528</v>
      </c>
      <c r="C24" s="625">
        <v>104</v>
      </c>
      <c r="D24" s="494" t="s">
        <v>1002</v>
      </c>
      <c r="E24" s="627">
        <v>9504615</v>
      </c>
      <c r="F24" s="627">
        <v>29707</v>
      </c>
      <c r="G24" s="494" t="s">
        <v>1005</v>
      </c>
      <c r="S24" s="629">
        <f t="shared" si="0"/>
        <v>0.45833333333333331</v>
      </c>
      <c r="T24" s="629">
        <f t="shared" si="1"/>
        <v>0.47916666666666663</v>
      </c>
      <c r="U24" s="494" t="s">
        <v>912</v>
      </c>
      <c r="V24" s="620" t="str">
        <f>HoffmanEstates_table[[#This Row],[TimeSlot_Start_text]]</f>
        <v>1100</v>
      </c>
      <c r="W24" s="621" t="s">
        <v>557</v>
      </c>
      <c r="X24" s="621"/>
      <c r="Y24" s="621"/>
      <c r="Z24" s="621"/>
      <c r="AA24" s="621" t="s">
        <v>553</v>
      </c>
      <c r="AB24" s="494" t="s">
        <v>1076</v>
      </c>
      <c r="AC24" s="494" t="s">
        <v>995</v>
      </c>
      <c r="AD24" s="625" t="s">
        <v>996</v>
      </c>
      <c r="AE24" s="627">
        <v>29715</v>
      </c>
      <c r="AF24" s="623" t="s">
        <v>998</v>
      </c>
      <c r="AG24" s="627">
        <v>708979613</v>
      </c>
      <c r="AH24" s="494" t="s">
        <v>1000</v>
      </c>
      <c r="AI24" s="625" t="s">
        <v>1001</v>
      </c>
      <c r="AJ24" s="627">
        <v>29711</v>
      </c>
      <c r="AM24" s="494" t="s">
        <v>786</v>
      </c>
      <c r="AN24" s="625" t="s">
        <v>901</v>
      </c>
      <c r="AO24" s="627">
        <v>22230</v>
      </c>
      <c r="AP24" s="623" t="s">
        <v>882</v>
      </c>
      <c r="AQ24" s="627">
        <v>7089327433</v>
      </c>
    </row>
    <row r="25" spans="1:43" x14ac:dyDescent="0.25">
      <c r="A25" s="625">
        <v>56</v>
      </c>
      <c r="B25" s="494" t="s">
        <v>528</v>
      </c>
      <c r="C25" s="625">
        <v>104</v>
      </c>
      <c r="D25" s="494" t="s">
        <v>1002</v>
      </c>
      <c r="E25" s="627">
        <v>9504615</v>
      </c>
      <c r="F25" s="627">
        <v>29707</v>
      </c>
      <c r="G25" s="494" t="s">
        <v>1005</v>
      </c>
      <c r="S25" s="629">
        <f t="shared" si="0"/>
        <v>0.47916666666666669</v>
      </c>
      <c r="T25" s="629">
        <f t="shared" si="1"/>
        <v>0.5</v>
      </c>
      <c r="U25" s="494" t="s">
        <v>913</v>
      </c>
      <c r="V25" s="620" t="str">
        <f>HoffmanEstates_table[[#This Row],[TimeSlot_Start_text]]</f>
        <v>1130</v>
      </c>
      <c r="W25" s="621" t="s">
        <v>557</v>
      </c>
      <c r="X25" s="621"/>
      <c r="Y25" s="621"/>
      <c r="Z25" s="621"/>
      <c r="AA25" s="621" t="s">
        <v>553</v>
      </c>
      <c r="AB25" s="494" t="s">
        <v>1075</v>
      </c>
      <c r="AC25" s="494" t="s">
        <v>995</v>
      </c>
      <c r="AD25" s="625" t="s">
        <v>996</v>
      </c>
      <c r="AE25" s="627">
        <v>29715</v>
      </c>
      <c r="AF25" s="623" t="s">
        <v>998</v>
      </c>
      <c r="AG25" s="627">
        <v>708979613</v>
      </c>
      <c r="AH25" s="494" t="s">
        <v>1000</v>
      </c>
      <c r="AI25" s="625" t="s">
        <v>1001</v>
      </c>
      <c r="AJ25" s="627">
        <v>29711</v>
      </c>
      <c r="AM25" s="494" t="s">
        <v>786</v>
      </c>
      <c r="AN25" s="625" t="s">
        <v>901</v>
      </c>
      <c r="AO25" s="627">
        <v>22230</v>
      </c>
      <c r="AP25" s="623" t="s">
        <v>882</v>
      </c>
      <c r="AQ25" s="627">
        <v>7089327433</v>
      </c>
    </row>
    <row r="26" spans="1:43" ht="15" customHeight="1" x14ac:dyDescent="0.25">
      <c r="A26" s="625">
        <v>57</v>
      </c>
      <c r="B26" s="494" t="s">
        <v>528</v>
      </c>
      <c r="C26" s="625">
        <v>104</v>
      </c>
      <c r="D26" s="494" t="s">
        <v>1002</v>
      </c>
      <c r="E26" s="627">
        <v>9504615</v>
      </c>
      <c r="F26" s="627">
        <v>29707</v>
      </c>
      <c r="G26" s="494" t="s">
        <v>1005</v>
      </c>
      <c r="S26" s="629">
        <f t="shared" si="0"/>
        <v>0.5</v>
      </c>
      <c r="T26" s="629">
        <f t="shared" si="1"/>
        <v>0.52083333333333337</v>
      </c>
      <c r="U26" s="494" t="s">
        <v>914</v>
      </c>
      <c r="V26" s="620" t="str">
        <f>HoffmanEstates_table[[#This Row],[TimeSlot_Start_text]]</f>
        <v>1200</v>
      </c>
      <c r="W26" s="621" t="s">
        <v>354</v>
      </c>
      <c r="X26" s="621" t="s">
        <v>354</v>
      </c>
      <c r="Y26" s="621" t="s">
        <v>354</v>
      </c>
      <c r="Z26" s="621" t="s">
        <v>354</v>
      </c>
      <c r="AA26" s="621" t="s">
        <v>354</v>
      </c>
      <c r="AB26" s="494" t="s">
        <v>1077</v>
      </c>
      <c r="AC26" s="494" t="s">
        <v>995</v>
      </c>
      <c r="AD26" s="625" t="s">
        <v>996</v>
      </c>
      <c r="AE26" s="627">
        <v>29715</v>
      </c>
      <c r="AF26" s="623" t="s">
        <v>998</v>
      </c>
      <c r="AG26" s="627">
        <v>708979613</v>
      </c>
      <c r="AH26" s="494" t="s">
        <v>1000</v>
      </c>
      <c r="AI26" s="625" t="s">
        <v>1001</v>
      </c>
      <c r="AJ26" s="627">
        <v>29711</v>
      </c>
      <c r="AM26" s="494" t="s">
        <v>786</v>
      </c>
      <c r="AN26" s="625" t="s">
        <v>901</v>
      </c>
      <c r="AO26" s="627">
        <v>22230</v>
      </c>
      <c r="AP26" s="623" t="s">
        <v>882</v>
      </c>
      <c r="AQ26" s="627">
        <v>7089327433</v>
      </c>
    </row>
    <row r="27" spans="1:43" ht="15.75" customHeight="1" x14ac:dyDescent="0.25">
      <c r="A27" s="625">
        <v>58</v>
      </c>
      <c r="B27" s="494" t="s">
        <v>528</v>
      </c>
      <c r="C27" s="625">
        <v>104</v>
      </c>
      <c r="D27" s="494" t="s">
        <v>1002</v>
      </c>
      <c r="E27" s="627">
        <v>9504615</v>
      </c>
      <c r="F27" s="627">
        <v>29707</v>
      </c>
      <c r="G27" s="494" t="s">
        <v>1005</v>
      </c>
      <c r="S27" s="629">
        <f t="shared" si="0"/>
        <v>0.52083333333333337</v>
      </c>
      <c r="T27" s="629">
        <f t="shared" si="1"/>
        <v>0.54166666666666674</v>
      </c>
      <c r="U27" s="494" t="s">
        <v>915</v>
      </c>
      <c r="V27" s="620" t="str">
        <f>HoffmanEstates_table[[#This Row],[TimeSlot_Start_text]]</f>
        <v>1230</v>
      </c>
      <c r="W27" s="621" t="s">
        <v>354</v>
      </c>
      <c r="X27" s="621" t="s">
        <v>354</v>
      </c>
      <c r="Y27" s="621" t="s">
        <v>354</v>
      </c>
      <c r="Z27" s="621" t="s">
        <v>354</v>
      </c>
      <c r="AA27" s="621" t="s">
        <v>354</v>
      </c>
      <c r="AB27" s="494" t="s">
        <v>1078</v>
      </c>
      <c r="AC27" s="494" t="s">
        <v>995</v>
      </c>
      <c r="AD27" s="625" t="s">
        <v>996</v>
      </c>
      <c r="AE27" s="627">
        <v>29715</v>
      </c>
      <c r="AF27" s="623" t="s">
        <v>998</v>
      </c>
      <c r="AG27" s="627">
        <v>708979613</v>
      </c>
      <c r="AH27" s="494" t="s">
        <v>1000</v>
      </c>
      <c r="AI27" s="625" t="s">
        <v>1001</v>
      </c>
      <c r="AJ27" s="627">
        <v>29711</v>
      </c>
      <c r="AM27" s="494" t="s">
        <v>786</v>
      </c>
      <c r="AN27" s="625" t="s">
        <v>901</v>
      </c>
      <c r="AO27" s="627">
        <v>22230</v>
      </c>
      <c r="AP27" s="623" t="s">
        <v>882</v>
      </c>
      <c r="AQ27" s="627">
        <v>7089327433</v>
      </c>
    </row>
    <row r="28" spans="1:43" x14ac:dyDescent="0.25">
      <c r="A28" s="625">
        <v>59</v>
      </c>
      <c r="B28" s="494" t="s">
        <v>528</v>
      </c>
      <c r="C28" s="625">
        <v>104</v>
      </c>
      <c r="D28" s="494" t="s">
        <v>1002</v>
      </c>
      <c r="E28" s="627">
        <v>9504615</v>
      </c>
      <c r="F28" s="627">
        <v>29707</v>
      </c>
      <c r="G28" s="494" t="s">
        <v>1005</v>
      </c>
      <c r="S28" s="629">
        <f t="shared" si="0"/>
        <v>0.54166666666666663</v>
      </c>
      <c r="T28" s="629">
        <f t="shared" si="1"/>
        <v>0.5625</v>
      </c>
      <c r="U28" s="494" t="s">
        <v>916</v>
      </c>
      <c r="V28" s="620" t="str">
        <f>HoffmanEstates_table[[#This Row],[TimeSlot_Start_text]]</f>
        <v>1300</v>
      </c>
      <c r="W28" s="621" t="s">
        <v>557</v>
      </c>
      <c r="X28" s="621" t="s">
        <v>380</v>
      </c>
      <c r="Y28" s="621" t="s">
        <v>557</v>
      </c>
      <c r="Z28" s="621"/>
      <c r="AA28" s="621" t="s">
        <v>553</v>
      </c>
      <c r="AB28" s="494" t="s">
        <v>1071</v>
      </c>
      <c r="AC28" s="494" t="s">
        <v>995</v>
      </c>
      <c r="AD28" s="625" t="s">
        <v>996</v>
      </c>
      <c r="AE28" s="627">
        <v>29715</v>
      </c>
      <c r="AF28" s="623" t="s">
        <v>998</v>
      </c>
      <c r="AG28" s="627">
        <v>708979613</v>
      </c>
      <c r="AH28" s="494" t="s">
        <v>1000</v>
      </c>
      <c r="AI28" s="625" t="s">
        <v>1001</v>
      </c>
      <c r="AJ28" s="627">
        <v>29711</v>
      </c>
      <c r="AM28" s="494" t="s">
        <v>786</v>
      </c>
      <c r="AN28" s="625" t="s">
        <v>901</v>
      </c>
      <c r="AO28" s="627">
        <v>22230</v>
      </c>
      <c r="AP28" s="623" t="s">
        <v>882</v>
      </c>
      <c r="AQ28" s="627">
        <v>7089327433</v>
      </c>
    </row>
    <row r="29" spans="1:43" x14ac:dyDescent="0.25">
      <c r="A29" s="625">
        <v>60</v>
      </c>
      <c r="B29" s="494" t="s">
        <v>528</v>
      </c>
      <c r="C29" s="625">
        <v>104</v>
      </c>
      <c r="D29" s="494" t="s">
        <v>1002</v>
      </c>
      <c r="E29" s="627">
        <v>9504615</v>
      </c>
      <c r="F29" s="627">
        <v>29707</v>
      </c>
      <c r="G29" s="494" t="s">
        <v>1005</v>
      </c>
      <c r="S29" s="629">
        <f t="shared" si="0"/>
        <v>0.5625</v>
      </c>
      <c r="T29" s="629">
        <f t="shared" si="1"/>
        <v>0.58333333333333337</v>
      </c>
      <c r="U29" s="494" t="s">
        <v>917</v>
      </c>
      <c r="V29" s="620" t="str">
        <f>HoffmanEstates_table[[#This Row],[TimeSlot_Start_text]]</f>
        <v>1330</v>
      </c>
      <c r="W29" s="621" t="s">
        <v>557</v>
      </c>
      <c r="X29" s="621"/>
      <c r="Y29" s="621" t="s">
        <v>557</v>
      </c>
      <c r="Z29" s="621"/>
      <c r="AA29" s="621" t="s">
        <v>553</v>
      </c>
      <c r="AB29" s="494" t="s">
        <v>1072</v>
      </c>
      <c r="AC29" s="494" t="s">
        <v>995</v>
      </c>
      <c r="AD29" s="625" t="s">
        <v>996</v>
      </c>
      <c r="AE29" s="627">
        <v>29715</v>
      </c>
      <c r="AF29" s="623" t="s">
        <v>998</v>
      </c>
      <c r="AG29" s="627">
        <v>708979613</v>
      </c>
      <c r="AH29" s="494" t="s">
        <v>1000</v>
      </c>
      <c r="AI29" s="625" t="s">
        <v>1001</v>
      </c>
      <c r="AJ29" s="627">
        <v>29711</v>
      </c>
      <c r="AM29" s="494" t="s">
        <v>786</v>
      </c>
      <c r="AN29" s="625" t="s">
        <v>901</v>
      </c>
      <c r="AO29" s="627">
        <v>22230</v>
      </c>
      <c r="AP29" s="623" t="s">
        <v>882</v>
      </c>
      <c r="AQ29" s="627">
        <v>7089327433</v>
      </c>
    </row>
    <row r="30" spans="1:43" x14ac:dyDescent="0.25">
      <c r="A30" s="625">
        <v>61</v>
      </c>
      <c r="B30" s="494" t="s">
        <v>528</v>
      </c>
      <c r="C30" s="625">
        <v>104</v>
      </c>
      <c r="D30" s="494" t="s">
        <v>1002</v>
      </c>
      <c r="E30" s="627">
        <v>9504615</v>
      </c>
      <c r="F30" s="627">
        <v>29707</v>
      </c>
      <c r="G30" s="494" t="s">
        <v>1005</v>
      </c>
      <c r="S30" s="629">
        <f t="shared" si="0"/>
        <v>0.58333333333333337</v>
      </c>
      <c r="T30" s="629">
        <f t="shared" si="1"/>
        <v>0.60416666666666674</v>
      </c>
      <c r="U30" s="494" t="s">
        <v>918</v>
      </c>
      <c r="V30" s="620" t="str">
        <f>HoffmanEstates_table[[#This Row],[TimeSlot_Start_text]]</f>
        <v>1400</v>
      </c>
      <c r="W30" s="621" t="s">
        <v>557</v>
      </c>
      <c r="X30" s="621"/>
      <c r="Y30" s="621" t="s">
        <v>557</v>
      </c>
      <c r="Z30" s="621"/>
      <c r="AA30" s="621" t="s">
        <v>553</v>
      </c>
      <c r="AB30" s="494" t="s">
        <v>1079</v>
      </c>
      <c r="AC30" s="494" t="s">
        <v>995</v>
      </c>
      <c r="AD30" s="625" t="s">
        <v>996</v>
      </c>
      <c r="AE30" s="627">
        <v>29715</v>
      </c>
      <c r="AF30" s="623" t="s">
        <v>998</v>
      </c>
      <c r="AG30" s="627">
        <v>708979613</v>
      </c>
      <c r="AH30" s="494" t="s">
        <v>1000</v>
      </c>
      <c r="AI30" s="625" t="s">
        <v>1001</v>
      </c>
      <c r="AJ30" s="627">
        <v>29711</v>
      </c>
      <c r="AM30" s="494" t="s">
        <v>786</v>
      </c>
      <c r="AN30" s="625" t="s">
        <v>901</v>
      </c>
      <c r="AO30" s="627">
        <v>22230</v>
      </c>
      <c r="AP30" s="623" t="s">
        <v>882</v>
      </c>
      <c r="AQ30" s="627">
        <v>7089327433</v>
      </c>
    </row>
    <row r="31" spans="1:43" x14ac:dyDescent="0.25">
      <c r="A31" s="625">
        <v>62</v>
      </c>
      <c r="B31" s="494" t="s">
        <v>528</v>
      </c>
      <c r="C31" s="625">
        <v>104</v>
      </c>
      <c r="D31" s="494" t="s">
        <v>1002</v>
      </c>
      <c r="E31" s="627">
        <v>9504615</v>
      </c>
      <c r="F31" s="627">
        <v>29707</v>
      </c>
      <c r="G31" s="494" t="s">
        <v>1005</v>
      </c>
      <c r="S31" s="629">
        <f t="shared" si="0"/>
        <v>0.60416666666666663</v>
      </c>
      <c r="T31" s="629">
        <f t="shared" si="1"/>
        <v>0.625</v>
      </c>
      <c r="U31" s="494" t="s">
        <v>919</v>
      </c>
      <c r="V31" s="620" t="str">
        <f>HoffmanEstates_table[[#This Row],[TimeSlot_Start_text]]</f>
        <v>1430</v>
      </c>
      <c r="W31" s="621" t="s">
        <v>557</v>
      </c>
      <c r="X31" s="621"/>
      <c r="Y31" s="621" t="s">
        <v>557</v>
      </c>
      <c r="Z31" s="621"/>
      <c r="AA31" s="621" t="s">
        <v>553</v>
      </c>
      <c r="AB31" s="494" t="s">
        <v>1080</v>
      </c>
      <c r="AC31" s="494" t="s">
        <v>995</v>
      </c>
      <c r="AD31" s="625" t="s">
        <v>996</v>
      </c>
      <c r="AE31" s="627">
        <v>29715</v>
      </c>
      <c r="AF31" s="623" t="s">
        <v>998</v>
      </c>
      <c r="AG31" s="627">
        <v>708979613</v>
      </c>
      <c r="AH31" s="494" t="s">
        <v>1000</v>
      </c>
      <c r="AI31" s="625" t="s">
        <v>1001</v>
      </c>
      <c r="AJ31" s="627">
        <v>29711</v>
      </c>
      <c r="AM31" s="494" t="s">
        <v>786</v>
      </c>
      <c r="AN31" s="625" t="s">
        <v>901</v>
      </c>
      <c r="AO31" s="627">
        <v>22230</v>
      </c>
      <c r="AP31" s="623" t="s">
        <v>882</v>
      </c>
      <c r="AQ31" s="627">
        <v>7089327433</v>
      </c>
    </row>
    <row r="32" spans="1:43" x14ac:dyDescent="0.25">
      <c r="A32" s="625">
        <v>63</v>
      </c>
      <c r="B32" s="494" t="s">
        <v>528</v>
      </c>
      <c r="C32" s="625">
        <v>104</v>
      </c>
      <c r="D32" s="494" t="s">
        <v>1002</v>
      </c>
      <c r="E32" s="627">
        <v>9504615</v>
      </c>
      <c r="F32" s="627">
        <v>29707</v>
      </c>
      <c r="G32" s="494" t="s">
        <v>1005</v>
      </c>
      <c r="S32" s="629">
        <f t="shared" si="0"/>
        <v>0.625</v>
      </c>
      <c r="T32" s="629">
        <f t="shared" si="1"/>
        <v>0.64583333333333337</v>
      </c>
      <c r="U32" s="494" t="s">
        <v>920</v>
      </c>
      <c r="V32" s="620" t="str">
        <f>HoffmanEstates_table[[#This Row],[TimeSlot_Start_text]]</f>
        <v>1500</v>
      </c>
      <c r="W32" s="621" t="s">
        <v>557</v>
      </c>
      <c r="X32" s="621"/>
      <c r="Y32" s="621" t="s">
        <v>557</v>
      </c>
      <c r="Z32" s="621"/>
      <c r="AA32" s="621" t="s">
        <v>553</v>
      </c>
      <c r="AB32" s="494" t="s">
        <v>1081</v>
      </c>
      <c r="AC32" s="494" t="s">
        <v>995</v>
      </c>
      <c r="AD32" s="625" t="s">
        <v>996</v>
      </c>
      <c r="AE32" s="627">
        <v>29715</v>
      </c>
      <c r="AF32" s="623" t="s">
        <v>998</v>
      </c>
      <c r="AG32" s="627">
        <v>708979613</v>
      </c>
      <c r="AH32" s="494" t="s">
        <v>1000</v>
      </c>
      <c r="AI32" s="625" t="s">
        <v>1001</v>
      </c>
      <c r="AJ32" s="627">
        <v>29711</v>
      </c>
      <c r="AM32" s="494" t="s">
        <v>786</v>
      </c>
      <c r="AN32" s="625" t="s">
        <v>901</v>
      </c>
      <c r="AO32" s="627">
        <v>22230</v>
      </c>
      <c r="AP32" s="623" t="s">
        <v>882</v>
      </c>
      <c r="AQ32" s="627">
        <v>7089327433</v>
      </c>
    </row>
    <row r="33" spans="1:43" x14ac:dyDescent="0.25">
      <c r="A33" s="625">
        <v>64</v>
      </c>
      <c r="B33" s="494" t="s">
        <v>528</v>
      </c>
      <c r="C33" s="625">
        <v>104</v>
      </c>
      <c r="D33" s="494" t="s">
        <v>1002</v>
      </c>
      <c r="E33" s="627">
        <v>9504615</v>
      </c>
      <c r="F33" s="627">
        <v>29707</v>
      </c>
      <c r="G33" s="494" t="s">
        <v>1005</v>
      </c>
      <c r="S33" s="629">
        <f t="shared" si="0"/>
        <v>0.64583333333333337</v>
      </c>
      <c r="T33" s="629">
        <f t="shared" si="1"/>
        <v>0.66666666666666674</v>
      </c>
      <c r="U33" s="494" t="s">
        <v>921</v>
      </c>
      <c r="V33" s="620" t="str">
        <f>HoffmanEstates_table[[#This Row],[TimeSlot_Start_text]]</f>
        <v>1530</v>
      </c>
      <c r="W33" s="621"/>
      <c r="X33" s="621"/>
      <c r="Y33" s="621"/>
      <c r="Z33" s="621"/>
      <c r="AA33" s="621"/>
      <c r="AB33" s="494" t="s">
        <v>1082</v>
      </c>
      <c r="AC33" s="494" t="s">
        <v>995</v>
      </c>
      <c r="AD33" s="625" t="s">
        <v>996</v>
      </c>
      <c r="AE33" s="627">
        <v>29715</v>
      </c>
      <c r="AF33" s="623" t="s">
        <v>998</v>
      </c>
      <c r="AG33" s="627">
        <v>708979613</v>
      </c>
      <c r="AH33" s="494" t="s">
        <v>1000</v>
      </c>
      <c r="AI33" s="625" t="s">
        <v>1001</v>
      </c>
      <c r="AJ33" s="627">
        <v>29711</v>
      </c>
      <c r="AM33" s="494" t="s">
        <v>786</v>
      </c>
      <c r="AN33" s="625" t="s">
        <v>901</v>
      </c>
      <c r="AO33" s="627">
        <v>22230</v>
      </c>
      <c r="AP33" s="623" t="s">
        <v>882</v>
      </c>
      <c r="AQ33" s="627">
        <v>7089327433</v>
      </c>
    </row>
    <row r="34" spans="1:43" x14ac:dyDescent="0.25">
      <c r="A34" s="625">
        <v>65</v>
      </c>
      <c r="B34" s="494" t="s">
        <v>528</v>
      </c>
      <c r="C34" s="625">
        <v>105</v>
      </c>
      <c r="D34" s="494" t="s">
        <v>1006</v>
      </c>
      <c r="E34" s="627">
        <v>9504572</v>
      </c>
      <c r="F34" s="627">
        <v>29078</v>
      </c>
      <c r="G34" s="494" t="s">
        <v>1009</v>
      </c>
      <c r="S34" s="629">
        <f t="shared" ref="S34:S65" si="2">TIME(LEFT(U34,2),RIGHT(U34,2),"00")</f>
        <v>0.33333333333333331</v>
      </c>
      <c r="T34" s="629">
        <f t="shared" ref="T34:T65" si="3">S34+(TIME("00","30","00"))</f>
        <v>0.35416666666666663</v>
      </c>
      <c r="U34" s="494" t="s">
        <v>906</v>
      </c>
      <c r="V34" s="620" t="str">
        <f>HoffmanEstates_table[[#This Row],[TimeSlot_Start_text]]</f>
        <v>0800</v>
      </c>
      <c r="W34" s="621" t="s">
        <v>554</v>
      </c>
      <c r="X34" s="621"/>
      <c r="Y34" s="621"/>
      <c r="Z34" s="621" t="s">
        <v>554</v>
      </c>
      <c r="AA34" s="621"/>
      <c r="AB34" s="494" t="s">
        <v>1083</v>
      </c>
      <c r="AC34" s="494" t="s">
        <v>995</v>
      </c>
      <c r="AD34" s="625" t="s">
        <v>996</v>
      </c>
      <c r="AE34" s="627">
        <v>29715</v>
      </c>
      <c r="AF34" s="623" t="s">
        <v>998</v>
      </c>
      <c r="AG34" s="627">
        <v>708979613</v>
      </c>
      <c r="AH34" s="494" t="s">
        <v>1000</v>
      </c>
      <c r="AI34" s="625" t="s">
        <v>1001</v>
      </c>
      <c r="AJ34" s="627">
        <v>29711</v>
      </c>
      <c r="AM34" s="494" t="s">
        <v>786</v>
      </c>
      <c r="AN34" s="625" t="s">
        <v>901</v>
      </c>
      <c r="AO34" s="627">
        <v>22230</v>
      </c>
      <c r="AP34" s="623" t="s">
        <v>882</v>
      </c>
      <c r="AQ34" s="627">
        <v>7089327433</v>
      </c>
    </row>
    <row r="35" spans="1:43" x14ac:dyDescent="0.25">
      <c r="A35" s="625">
        <v>66</v>
      </c>
      <c r="B35" s="494" t="s">
        <v>528</v>
      </c>
      <c r="C35" s="625">
        <v>105</v>
      </c>
      <c r="D35" s="494" t="s">
        <v>1006</v>
      </c>
      <c r="E35" s="627">
        <v>9504572</v>
      </c>
      <c r="F35" s="627">
        <v>29078</v>
      </c>
      <c r="G35" s="494" t="s">
        <v>1009</v>
      </c>
      <c r="S35" s="629">
        <f t="shared" si="2"/>
        <v>0.35416666666666669</v>
      </c>
      <c r="T35" s="629">
        <f t="shared" si="3"/>
        <v>0.375</v>
      </c>
      <c r="U35" s="494" t="s">
        <v>907</v>
      </c>
      <c r="V35" s="620" t="str">
        <f>HoffmanEstates_table[[#This Row],[TimeSlot_Start_text]]</f>
        <v>0830</v>
      </c>
      <c r="W35" s="621" t="s">
        <v>554</v>
      </c>
      <c r="X35" s="621" t="s">
        <v>554</v>
      </c>
      <c r="Y35" s="621"/>
      <c r="Z35" s="621" t="s">
        <v>554</v>
      </c>
      <c r="AA35" s="621"/>
      <c r="AB35" s="494" t="s">
        <v>1084</v>
      </c>
      <c r="AC35" s="494" t="s">
        <v>995</v>
      </c>
      <c r="AD35" s="625" t="s">
        <v>996</v>
      </c>
      <c r="AE35" s="627">
        <v>29715</v>
      </c>
      <c r="AF35" s="623" t="s">
        <v>998</v>
      </c>
      <c r="AG35" s="627">
        <v>708979613</v>
      </c>
      <c r="AH35" s="494" t="s">
        <v>1000</v>
      </c>
      <c r="AI35" s="625" t="s">
        <v>1001</v>
      </c>
      <c r="AJ35" s="627">
        <v>29711</v>
      </c>
      <c r="AM35" s="494" t="s">
        <v>786</v>
      </c>
      <c r="AN35" s="625" t="s">
        <v>901</v>
      </c>
      <c r="AO35" s="627">
        <v>22230</v>
      </c>
      <c r="AP35" s="623" t="s">
        <v>882</v>
      </c>
      <c r="AQ35" s="627">
        <v>7089327433</v>
      </c>
    </row>
    <row r="36" spans="1:43" x14ac:dyDescent="0.25">
      <c r="A36" s="625">
        <v>67</v>
      </c>
      <c r="B36" s="494" t="s">
        <v>528</v>
      </c>
      <c r="C36" s="625">
        <v>105</v>
      </c>
      <c r="D36" s="494" t="s">
        <v>1006</v>
      </c>
      <c r="E36" s="627">
        <v>9504572</v>
      </c>
      <c r="F36" s="627">
        <v>29078</v>
      </c>
      <c r="G36" s="494" t="s">
        <v>1009</v>
      </c>
      <c r="S36" s="629">
        <f t="shared" si="2"/>
        <v>0.375</v>
      </c>
      <c r="T36" s="629">
        <f t="shared" si="3"/>
        <v>0.39583333333333331</v>
      </c>
      <c r="U36" s="494" t="s">
        <v>908</v>
      </c>
      <c r="V36" s="620" t="str">
        <f>HoffmanEstates_table[[#This Row],[TimeSlot_Start_text]]</f>
        <v>0900</v>
      </c>
      <c r="W36" s="621" t="s">
        <v>554</v>
      </c>
      <c r="X36" s="621" t="s">
        <v>554</v>
      </c>
      <c r="Y36" s="621"/>
      <c r="Z36" s="621" t="s">
        <v>554</v>
      </c>
      <c r="AA36" s="621"/>
      <c r="AB36" s="494" t="s">
        <v>1085</v>
      </c>
      <c r="AC36" s="494" t="s">
        <v>995</v>
      </c>
      <c r="AD36" s="625" t="s">
        <v>996</v>
      </c>
      <c r="AE36" s="627">
        <v>29715</v>
      </c>
      <c r="AF36" s="623" t="s">
        <v>998</v>
      </c>
      <c r="AG36" s="627">
        <v>708979613</v>
      </c>
      <c r="AH36" s="494" t="s">
        <v>1000</v>
      </c>
      <c r="AI36" s="625" t="s">
        <v>1001</v>
      </c>
      <c r="AJ36" s="627">
        <v>29711</v>
      </c>
      <c r="AM36" s="494" t="s">
        <v>786</v>
      </c>
      <c r="AN36" s="625" t="s">
        <v>901</v>
      </c>
      <c r="AO36" s="627">
        <v>22230</v>
      </c>
      <c r="AP36" s="623" t="s">
        <v>882</v>
      </c>
      <c r="AQ36" s="627">
        <v>7089327433</v>
      </c>
    </row>
    <row r="37" spans="1:43" x14ac:dyDescent="0.25">
      <c r="A37" s="625">
        <v>68</v>
      </c>
      <c r="B37" s="494" t="s">
        <v>528</v>
      </c>
      <c r="C37" s="625">
        <v>105</v>
      </c>
      <c r="D37" s="494" t="s">
        <v>1006</v>
      </c>
      <c r="E37" s="627">
        <v>9504572</v>
      </c>
      <c r="F37" s="627">
        <v>29078</v>
      </c>
      <c r="G37" s="494" t="s">
        <v>1009</v>
      </c>
      <c r="S37" s="629">
        <f t="shared" si="2"/>
        <v>0.39583333333333331</v>
      </c>
      <c r="T37" s="629">
        <f t="shared" si="3"/>
        <v>0.41666666666666663</v>
      </c>
      <c r="U37" s="494" t="s">
        <v>909</v>
      </c>
      <c r="V37" s="620" t="str">
        <f>HoffmanEstates_table[[#This Row],[TimeSlot_Start_text]]</f>
        <v>0930</v>
      </c>
      <c r="W37" s="621" t="s">
        <v>554</v>
      </c>
      <c r="X37" s="621" t="s">
        <v>554</v>
      </c>
      <c r="Y37" s="621"/>
      <c r="Z37" s="621" t="s">
        <v>554</v>
      </c>
      <c r="AA37" s="621"/>
      <c r="AB37" s="494" t="s">
        <v>1086</v>
      </c>
      <c r="AC37" s="494" t="s">
        <v>995</v>
      </c>
      <c r="AD37" s="625" t="s">
        <v>996</v>
      </c>
      <c r="AE37" s="627">
        <v>29715</v>
      </c>
      <c r="AF37" s="623" t="s">
        <v>998</v>
      </c>
      <c r="AG37" s="627">
        <v>708979613</v>
      </c>
      <c r="AH37" s="494" t="s">
        <v>1000</v>
      </c>
      <c r="AI37" s="625" t="s">
        <v>1001</v>
      </c>
      <c r="AJ37" s="627">
        <v>29711</v>
      </c>
      <c r="AM37" s="494" t="s">
        <v>786</v>
      </c>
      <c r="AN37" s="625" t="s">
        <v>901</v>
      </c>
      <c r="AO37" s="627">
        <v>22230</v>
      </c>
      <c r="AP37" s="623" t="s">
        <v>882</v>
      </c>
      <c r="AQ37" s="627">
        <v>7089327433</v>
      </c>
    </row>
    <row r="38" spans="1:43" x14ac:dyDescent="0.25">
      <c r="A38" s="625">
        <v>69</v>
      </c>
      <c r="B38" s="494" t="s">
        <v>528</v>
      </c>
      <c r="C38" s="625">
        <v>105</v>
      </c>
      <c r="D38" s="494" t="s">
        <v>1006</v>
      </c>
      <c r="E38" s="627">
        <v>9504572</v>
      </c>
      <c r="F38" s="627">
        <v>29078</v>
      </c>
      <c r="G38" s="494" t="s">
        <v>1009</v>
      </c>
      <c r="S38" s="629">
        <f t="shared" si="2"/>
        <v>0.41666666666666669</v>
      </c>
      <c r="T38" s="629">
        <f t="shared" si="3"/>
        <v>0.4375</v>
      </c>
      <c r="U38" s="494" t="s">
        <v>910</v>
      </c>
      <c r="V38" s="620" t="str">
        <f>HoffmanEstates_table[[#This Row],[TimeSlot_Start_text]]</f>
        <v>1000</v>
      </c>
      <c r="W38" s="621" t="s">
        <v>554</v>
      </c>
      <c r="X38" s="621" t="s">
        <v>554</v>
      </c>
      <c r="Y38" s="621"/>
      <c r="Z38" s="621" t="s">
        <v>554</v>
      </c>
      <c r="AA38" s="621"/>
      <c r="AB38" s="494" t="s">
        <v>1073</v>
      </c>
      <c r="AC38" s="494" t="s">
        <v>995</v>
      </c>
      <c r="AD38" s="625" t="s">
        <v>996</v>
      </c>
      <c r="AE38" s="627">
        <v>29715</v>
      </c>
      <c r="AF38" s="623" t="s">
        <v>998</v>
      </c>
      <c r="AG38" s="627">
        <v>708979613</v>
      </c>
      <c r="AH38" s="494" t="s">
        <v>1000</v>
      </c>
      <c r="AI38" s="625" t="s">
        <v>1001</v>
      </c>
      <c r="AJ38" s="627">
        <v>29711</v>
      </c>
      <c r="AM38" s="494" t="s">
        <v>786</v>
      </c>
      <c r="AN38" s="625" t="s">
        <v>901</v>
      </c>
      <c r="AO38" s="627">
        <v>22230</v>
      </c>
      <c r="AP38" s="623" t="s">
        <v>882</v>
      </c>
      <c r="AQ38" s="627">
        <v>7089327433</v>
      </c>
    </row>
    <row r="39" spans="1:43" x14ac:dyDescent="0.25">
      <c r="A39" s="625">
        <v>70</v>
      </c>
      <c r="B39" s="494" t="s">
        <v>528</v>
      </c>
      <c r="C39" s="625">
        <v>105</v>
      </c>
      <c r="D39" s="494" t="s">
        <v>1006</v>
      </c>
      <c r="E39" s="627">
        <v>9504572</v>
      </c>
      <c r="F39" s="627">
        <v>29078</v>
      </c>
      <c r="G39" s="494" t="s">
        <v>1009</v>
      </c>
      <c r="S39" s="629">
        <f t="shared" si="2"/>
        <v>0.4375</v>
      </c>
      <c r="T39" s="629">
        <f t="shared" si="3"/>
        <v>0.45833333333333331</v>
      </c>
      <c r="U39" s="494" t="s">
        <v>911</v>
      </c>
      <c r="V39" s="620" t="str">
        <f>HoffmanEstates_table[[#This Row],[TimeSlot_Start_text]]</f>
        <v>1030</v>
      </c>
      <c r="W39" s="621" t="s">
        <v>554</v>
      </c>
      <c r="X39" s="621" t="s">
        <v>554</v>
      </c>
      <c r="Y39" s="621"/>
      <c r="Z39" s="621" t="s">
        <v>554</v>
      </c>
      <c r="AA39" s="621"/>
      <c r="AB39" s="494" t="s">
        <v>1074</v>
      </c>
      <c r="AC39" s="494" t="s">
        <v>995</v>
      </c>
      <c r="AD39" s="625" t="s">
        <v>996</v>
      </c>
      <c r="AE39" s="627">
        <v>29715</v>
      </c>
      <c r="AF39" s="623" t="s">
        <v>998</v>
      </c>
      <c r="AG39" s="627">
        <v>708979613</v>
      </c>
      <c r="AH39" s="494" t="s">
        <v>1000</v>
      </c>
      <c r="AI39" s="625" t="s">
        <v>1001</v>
      </c>
      <c r="AJ39" s="627">
        <v>29711</v>
      </c>
      <c r="AM39" s="494" t="s">
        <v>786</v>
      </c>
      <c r="AN39" s="625" t="s">
        <v>901</v>
      </c>
      <c r="AO39" s="627">
        <v>22230</v>
      </c>
      <c r="AP39" s="623" t="s">
        <v>882</v>
      </c>
      <c r="AQ39" s="627">
        <v>7089327433</v>
      </c>
    </row>
    <row r="40" spans="1:43" x14ac:dyDescent="0.25">
      <c r="A40" s="625">
        <v>71</v>
      </c>
      <c r="B40" s="494" t="s">
        <v>528</v>
      </c>
      <c r="C40" s="625">
        <v>105</v>
      </c>
      <c r="D40" s="494" t="s">
        <v>1006</v>
      </c>
      <c r="E40" s="627">
        <v>9504572</v>
      </c>
      <c r="F40" s="627">
        <v>29078</v>
      </c>
      <c r="G40" s="494" t="s">
        <v>1009</v>
      </c>
      <c r="S40" s="629">
        <f t="shared" si="2"/>
        <v>0.45833333333333331</v>
      </c>
      <c r="T40" s="629">
        <f t="shared" si="3"/>
        <v>0.47916666666666663</v>
      </c>
      <c r="U40" s="494" t="s">
        <v>912</v>
      </c>
      <c r="V40" s="620" t="str">
        <f>HoffmanEstates_table[[#This Row],[TimeSlot_Start_text]]</f>
        <v>1100</v>
      </c>
      <c r="W40" s="621" t="s">
        <v>554</v>
      </c>
      <c r="X40" s="621" t="s">
        <v>554</v>
      </c>
      <c r="Y40" s="621"/>
      <c r="Z40" s="621" t="s">
        <v>554</v>
      </c>
      <c r="AA40" s="621"/>
      <c r="AB40" s="494" t="s">
        <v>1076</v>
      </c>
      <c r="AC40" s="494" t="s">
        <v>995</v>
      </c>
      <c r="AD40" s="625" t="s">
        <v>996</v>
      </c>
      <c r="AE40" s="627">
        <v>29715</v>
      </c>
      <c r="AF40" s="623" t="s">
        <v>998</v>
      </c>
      <c r="AG40" s="627">
        <v>708979613</v>
      </c>
      <c r="AH40" s="494" t="s">
        <v>1000</v>
      </c>
      <c r="AI40" s="625" t="s">
        <v>1001</v>
      </c>
      <c r="AJ40" s="627">
        <v>29711</v>
      </c>
      <c r="AM40" s="494" t="s">
        <v>786</v>
      </c>
      <c r="AN40" s="625" t="s">
        <v>901</v>
      </c>
      <c r="AO40" s="627">
        <v>22230</v>
      </c>
      <c r="AP40" s="623" t="s">
        <v>882</v>
      </c>
      <c r="AQ40" s="627">
        <v>7089327433</v>
      </c>
    </row>
    <row r="41" spans="1:43" x14ac:dyDescent="0.25">
      <c r="A41" s="625">
        <v>72</v>
      </c>
      <c r="B41" s="494" t="s">
        <v>528</v>
      </c>
      <c r="C41" s="625">
        <v>105</v>
      </c>
      <c r="D41" s="494" t="s">
        <v>1006</v>
      </c>
      <c r="E41" s="627">
        <v>9504572</v>
      </c>
      <c r="F41" s="627">
        <v>29078</v>
      </c>
      <c r="G41" s="494" t="s">
        <v>1009</v>
      </c>
      <c r="S41" s="629">
        <f t="shared" si="2"/>
        <v>0.47916666666666669</v>
      </c>
      <c r="T41" s="629">
        <f t="shared" si="3"/>
        <v>0.5</v>
      </c>
      <c r="U41" s="494" t="s">
        <v>913</v>
      </c>
      <c r="V41" s="620" t="str">
        <f>HoffmanEstates_table[[#This Row],[TimeSlot_Start_text]]</f>
        <v>1130</v>
      </c>
      <c r="W41" s="621" t="s">
        <v>554</v>
      </c>
      <c r="X41" s="621" t="s">
        <v>554</v>
      </c>
      <c r="Y41" s="621"/>
      <c r="Z41" s="621" t="s">
        <v>554</v>
      </c>
      <c r="AA41" s="621"/>
      <c r="AB41" s="494" t="s">
        <v>1075</v>
      </c>
      <c r="AC41" s="494" t="s">
        <v>995</v>
      </c>
      <c r="AD41" s="625" t="s">
        <v>996</v>
      </c>
      <c r="AE41" s="627">
        <v>29715</v>
      </c>
      <c r="AF41" s="623" t="s">
        <v>998</v>
      </c>
      <c r="AG41" s="627">
        <v>708979613</v>
      </c>
      <c r="AH41" s="494" t="s">
        <v>1000</v>
      </c>
      <c r="AI41" s="625" t="s">
        <v>1001</v>
      </c>
      <c r="AJ41" s="627">
        <v>29711</v>
      </c>
      <c r="AM41" s="494" t="s">
        <v>786</v>
      </c>
      <c r="AN41" s="625" t="s">
        <v>901</v>
      </c>
      <c r="AO41" s="627">
        <v>22230</v>
      </c>
      <c r="AP41" s="623" t="s">
        <v>882</v>
      </c>
      <c r="AQ41" s="627">
        <v>7089327433</v>
      </c>
    </row>
    <row r="42" spans="1:43" ht="15" customHeight="1" x14ac:dyDescent="0.25">
      <c r="A42" s="625">
        <v>73</v>
      </c>
      <c r="B42" s="494" t="s">
        <v>528</v>
      </c>
      <c r="C42" s="625">
        <v>105</v>
      </c>
      <c r="D42" s="494" t="s">
        <v>1006</v>
      </c>
      <c r="E42" s="627">
        <v>9504572</v>
      </c>
      <c r="F42" s="627">
        <v>29078</v>
      </c>
      <c r="G42" s="494" t="s">
        <v>1009</v>
      </c>
      <c r="S42" s="629">
        <f t="shared" si="2"/>
        <v>0.5</v>
      </c>
      <c r="T42" s="629">
        <f t="shared" si="3"/>
        <v>0.52083333333333337</v>
      </c>
      <c r="U42" s="494" t="s">
        <v>914</v>
      </c>
      <c r="V42" s="620" t="str">
        <f>HoffmanEstates_table[[#This Row],[TimeSlot_Start_text]]</f>
        <v>1200</v>
      </c>
      <c r="W42" s="621" t="s">
        <v>354</v>
      </c>
      <c r="X42" s="621" t="s">
        <v>354</v>
      </c>
      <c r="Y42" s="621" t="s">
        <v>354</v>
      </c>
      <c r="Z42" s="621" t="s">
        <v>354</v>
      </c>
      <c r="AA42" s="621" t="s">
        <v>354</v>
      </c>
      <c r="AB42" s="494" t="s">
        <v>1077</v>
      </c>
      <c r="AC42" s="494" t="s">
        <v>995</v>
      </c>
      <c r="AD42" s="625" t="s">
        <v>996</v>
      </c>
      <c r="AE42" s="627">
        <v>29715</v>
      </c>
      <c r="AF42" s="623" t="s">
        <v>998</v>
      </c>
      <c r="AG42" s="627">
        <v>708979613</v>
      </c>
      <c r="AH42" s="494" t="s">
        <v>1000</v>
      </c>
      <c r="AI42" s="625" t="s">
        <v>1001</v>
      </c>
      <c r="AJ42" s="627">
        <v>29711</v>
      </c>
      <c r="AM42" s="494" t="s">
        <v>786</v>
      </c>
      <c r="AN42" s="625" t="s">
        <v>901</v>
      </c>
      <c r="AO42" s="627">
        <v>22230</v>
      </c>
      <c r="AP42" s="623" t="s">
        <v>882</v>
      </c>
      <c r="AQ42" s="627">
        <v>7089327433</v>
      </c>
    </row>
    <row r="43" spans="1:43" ht="15.75" customHeight="1" x14ac:dyDescent="0.25">
      <c r="A43" s="625">
        <v>74</v>
      </c>
      <c r="B43" s="494" t="s">
        <v>528</v>
      </c>
      <c r="C43" s="625">
        <v>105</v>
      </c>
      <c r="D43" s="494" t="s">
        <v>1006</v>
      </c>
      <c r="E43" s="627">
        <v>9504572</v>
      </c>
      <c r="F43" s="627">
        <v>29078</v>
      </c>
      <c r="G43" s="494" t="s">
        <v>1009</v>
      </c>
      <c r="S43" s="629">
        <f t="shared" si="2"/>
        <v>0.52083333333333337</v>
      </c>
      <c r="T43" s="629">
        <f t="shared" si="3"/>
        <v>0.54166666666666674</v>
      </c>
      <c r="U43" s="494" t="s">
        <v>915</v>
      </c>
      <c r="V43" s="620" t="str">
        <f>HoffmanEstates_table[[#This Row],[TimeSlot_Start_text]]</f>
        <v>1230</v>
      </c>
      <c r="W43" s="621" t="s">
        <v>354</v>
      </c>
      <c r="X43" s="621" t="s">
        <v>354</v>
      </c>
      <c r="Y43" s="621" t="s">
        <v>354</v>
      </c>
      <c r="Z43" s="621" t="s">
        <v>354</v>
      </c>
      <c r="AA43" s="621" t="s">
        <v>354</v>
      </c>
      <c r="AB43" s="494" t="s">
        <v>1078</v>
      </c>
      <c r="AC43" s="494" t="s">
        <v>995</v>
      </c>
      <c r="AD43" s="625" t="s">
        <v>996</v>
      </c>
      <c r="AE43" s="627">
        <v>29715</v>
      </c>
      <c r="AF43" s="623" t="s">
        <v>998</v>
      </c>
      <c r="AG43" s="627">
        <v>708979613</v>
      </c>
      <c r="AH43" s="494" t="s">
        <v>1000</v>
      </c>
      <c r="AI43" s="625" t="s">
        <v>1001</v>
      </c>
      <c r="AJ43" s="627">
        <v>29711</v>
      </c>
      <c r="AM43" s="494" t="s">
        <v>786</v>
      </c>
      <c r="AN43" s="625" t="s">
        <v>901</v>
      </c>
      <c r="AO43" s="627">
        <v>22230</v>
      </c>
      <c r="AP43" s="623" t="s">
        <v>882</v>
      </c>
      <c r="AQ43" s="627">
        <v>7089327433</v>
      </c>
    </row>
    <row r="44" spans="1:43" x14ac:dyDescent="0.25">
      <c r="A44" s="625">
        <v>75</v>
      </c>
      <c r="B44" s="494" t="s">
        <v>528</v>
      </c>
      <c r="C44" s="625">
        <v>105</v>
      </c>
      <c r="D44" s="494" t="s">
        <v>1006</v>
      </c>
      <c r="E44" s="627">
        <v>9504572</v>
      </c>
      <c r="F44" s="627">
        <v>29078</v>
      </c>
      <c r="G44" s="494" t="s">
        <v>1009</v>
      </c>
      <c r="S44" s="629">
        <f t="shared" si="2"/>
        <v>0.54166666666666663</v>
      </c>
      <c r="T44" s="629">
        <f t="shared" si="3"/>
        <v>0.5625</v>
      </c>
      <c r="U44" s="494" t="s">
        <v>916</v>
      </c>
      <c r="V44" s="620" t="str">
        <f>HoffmanEstates_table[[#This Row],[TimeSlot_Start_text]]</f>
        <v>1300</v>
      </c>
      <c r="W44" s="621" t="s">
        <v>554</v>
      </c>
      <c r="X44" s="621"/>
      <c r="Y44" s="621"/>
      <c r="Z44" s="621"/>
      <c r="AA44" s="621" t="s">
        <v>380</v>
      </c>
      <c r="AB44" s="494" t="s">
        <v>1071</v>
      </c>
      <c r="AC44" s="494" t="s">
        <v>995</v>
      </c>
      <c r="AD44" s="625" t="s">
        <v>996</v>
      </c>
      <c r="AE44" s="627">
        <v>29715</v>
      </c>
      <c r="AF44" s="623" t="s">
        <v>998</v>
      </c>
      <c r="AG44" s="627">
        <v>708979613</v>
      </c>
      <c r="AH44" s="494" t="s">
        <v>1000</v>
      </c>
      <c r="AI44" s="625" t="s">
        <v>1001</v>
      </c>
      <c r="AJ44" s="627">
        <v>29711</v>
      </c>
      <c r="AM44" s="494" t="s">
        <v>786</v>
      </c>
      <c r="AN44" s="625" t="s">
        <v>901</v>
      </c>
      <c r="AO44" s="627">
        <v>22230</v>
      </c>
      <c r="AP44" s="623" t="s">
        <v>882</v>
      </c>
      <c r="AQ44" s="627">
        <v>7089327433</v>
      </c>
    </row>
    <row r="45" spans="1:43" x14ac:dyDescent="0.25">
      <c r="A45" s="625">
        <v>76</v>
      </c>
      <c r="B45" s="494" t="s">
        <v>528</v>
      </c>
      <c r="C45" s="625">
        <v>105</v>
      </c>
      <c r="D45" s="494" t="s">
        <v>1006</v>
      </c>
      <c r="E45" s="627">
        <v>9504572</v>
      </c>
      <c r="F45" s="627">
        <v>29078</v>
      </c>
      <c r="G45" s="494" t="s">
        <v>1009</v>
      </c>
      <c r="S45" s="629">
        <f t="shared" si="2"/>
        <v>0.5625</v>
      </c>
      <c r="T45" s="629">
        <f t="shared" si="3"/>
        <v>0.58333333333333337</v>
      </c>
      <c r="U45" s="494" t="s">
        <v>917</v>
      </c>
      <c r="V45" s="620" t="str">
        <f>HoffmanEstates_table[[#This Row],[TimeSlot_Start_text]]</f>
        <v>1330</v>
      </c>
      <c r="W45" s="621" t="s">
        <v>554</v>
      </c>
      <c r="X45" s="621"/>
      <c r="Y45" s="621"/>
      <c r="Z45" s="621"/>
      <c r="AA45" s="621"/>
      <c r="AB45" s="494" t="s">
        <v>1072</v>
      </c>
      <c r="AC45" s="494" t="s">
        <v>995</v>
      </c>
      <c r="AD45" s="625" t="s">
        <v>996</v>
      </c>
      <c r="AE45" s="627">
        <v>29715</v>
      </c>
      <c r="AF45" s="623" t="s">
        <v>998</v>
      </c>
      <c r="AG45" s="627">
        <v>708979613</v>
      </c>
      <c r="AH45" s="494" t="s">
        <v>1000</v>
      </c>
      <c r="AI45" s="625" t="s">
        <v>1001</v>
      </c>
      <c r="AJ45" s="627">
        <v>29711</v>
      </c>
      <c r="AM45" s="494" t="s">
        <v>786</v>
      </c>
      <c r="AN45" s="625" t="s">
        <v>901</v>
      </c>
      <c r="AO45" s="627">
        <v>22230</v>
      </c>
      <c r="AP45" s="623" t="s">
        <v>882</v>
      </c>
      <c r="AQ45" s="627">
        <v>7089327433</v>
      </c>
    </row>
    <row r="46" spans="1:43" x14ac:dyDescent="0.25">
      <c r="A46" s="625">
        <v>77</v>
      </c>
      <c r="B46" s="494" t="s">
        <v>528</v>
      </c>
      <c r="C46" s="625">
        <v>105</v>
      </c>
      <c r="D46" s="494" t="s">
        <v>1006</v>
      </c>
      <c r="E46" s="627">
        <v>9504572</v>
      </c>
      <c r="F46" s="627">
        <v>29078</v>
      </c>
      <c r="G46" s="494" t="s">
        <v>1009</v>
      </c>
      <c r="S46" s="629">
        <f t="shared" si="2"/>
        <v>0.58333333333333337</v>
      </c>
      <c r="T46" s="629">
        <f t="shared" si="3"/>
        <v>0.60416666666666674</v>
      </c>
      <c r="U46" s="494" t="s">
        <v>918</v>
      </c>
      <c r="V46" s="620" t="str">
        <f>HoffmanEstates_table[[#This Row],[TimeSlot_Start_text]]</f>
        <v>1400</v>
      </c>
      <c r="W46" s="621" t="s">
        <v>554</v>
      </c>
      <c r="X46" s="621"/>
      <c r="Y46" s="621"/>
      <c r="Z46" s="621"/>
      <c r="AA46" s="621"/>
      <c r="AB46" s="494" t="s">
        <v>1079</v>
      </c>
      <c r="AC46" s="494" t="s">
        <v>995</v>
      </c>
      <c r="AD46" s="625" t="s">
        <v>996</v>
      </c>
      <c r="AE46" s="627">
        <v>29715</v>
      </c>
      <c r="AF46" s="623" t="s">
        <v>998</v>
      </c>
      <c r="AG46" s="627">
        <v>708979613</v>
      </c>
      <c r="AH46" s="494" t="s">
        <v>1000</v>
      </c>
      <c r="AI46" s="625" t="s">
        <v>1001</v>
      </c>
      <c r="AJ46" s="627">
        <v>29711</v>
      </c>
      <c r="AM46" s="494" t="s">
        <v>786</v>
      </c>
      <c r="AN46" s="625" t="s">
        <v>901</v>
      </c>
      <c r="AO46" s="627">
        <v>22230</v>
      </c>
      <c r="AP46" s="623" t="s">
        <v>882</v>
      </c>
      <c r="AQ46" s="627">
        <v>7089327433</v>
      </c>
    </row>
    <row r="47" spans="1:43" x14ac:dyDescent="0.25">
      <c r="A47" s="625">
        <v>78</v>
      </c>
      <c r="B47" s="494" t="s">
        <v>528</v>
      </c>
      <c r="C47" s="625">
        <v>105</v>
      </c>
      <c r="D47" s="494" t="s">
        <v>1006</v>
      </c>
      <c r="E47" s="627">
        <v>9504572</v>
      </c>
      <c r="F47" s="627">
        <v>29078</v>
      </c>
      <c r="G47" s="494" t="s">
        <v>1009</v>
      </c>
      <c r="S47" s="629">
        <f t="shared" si="2"/>
        <v>0.60416666666666663</v>
      </c>
      <c r="T47" s="629">
        <f t="shared" si="3"/>
        <v>0.625</v>
      </c>
      <c r="U47" s="494" t="s">
        <v>919</v>
      </c>
      <c r="V47" s="620" t="str">
        <f>HoffmanEstates_table[[#This Row],[TimeSlot_Start_text]]</f>
        <v>1430</v>
      </c>
      <c r="W47" s="621" t="s">
        <v>554</v>
      </c>
      <c r="X47" s="621"/>
      <c r="Y47" s="621"/>
      <c r="Z47" s="621"/>
      <c r="AA47" s="621"/>
      <c r="AB47" s="494" t="s">
        <v>1080</v>
      </c>
      <c r="AC47" s="494" t="s">
        <v>995</v>
      </c>
      <c r="AD47" s="625" t="s">
        <v>996</v>
      </c>
      <c r="AE47" s="627">
        <v>29715</v>
      </c>
      <c r="AF47" s="623" t="s">
        <v>998</v>
      </c>
      <c r="AG47" s="627">
        <v>708979613</v>
      </c>
      <c r="AH47" s="494" t="s">
        <v>1000</v>
      </c>
      <c r="AI47" s="625" t="s">
        <v>1001</v>
      </c>
      <c r="AJ47" s="627">
        <v>29711</v>
      </c>
      <c r="AM47" s="494" t="s">
        <v>786</v>
      </c>
      <c r="AN47" s="625" t="s">
        <v>901</v>
      </c>
      <c r="AO47" s="627">
        <v>22230</v>
      </c>
      <c r="AP47" s="623" t="s">
        <v>882</v>
      </c>
      <c r="AQ47" s="627">
        <v>7089327433</v>
      </c>
    </row>
    <row r="48" spans="1:43" x14ac:dyDescent="0.25">
      <c r="A48" s="625">
        <v>79</v>
      </c>
      <c r="B48" s="494" t="s">
        <v>528</v>
      </c>
      <c r="C48" s="625">
        <v>105</v>
      </c>
      <c r="D48" s="494" t="s">
        <v>1006</v>
      </c>
      <c r="E48" s="627">
        <v>9504572</v>
      </c>
      <c r="F48" s="627">
        <v>29078</v>
      </c>
      <c r="G48" s="494" t="s">
        <v>1009</v>
      </c>
      <c r="S48" s="629">
        <f t="shared" si="2"/>
        <v>0.625</v>
      </c>
      <c r="T48" s="629">
        <f t="shared" si="3"/>
        <v>0.64583333333333337</v>
      </c>
      <c r="U48" s="494" t="s">
        <v>920</v>
      </c>
      <c r="V48" s="620" t="str">
        <f>HoffmanEstates_table[[#This Row],[TimeSlot_Start_text]]</f>
        <v>1500</v>
      </c>
      <c r="W48" s="621" t="s">
        <v>554</v>
      </c>
      <c r="X48" s="621"/>
      <c r="Y48" s="621"/>
      <c r="Z48" s="621"/>
      <c r="AA48" s="621"/>
      <c r="AB48" s="494" t="s">
        <v>1081</v>
      </c>
      <c r="AC48" s="494" t="s">
        <v>995</v>
      </c>
      <c r="AD48" s="625" t="s">
        <v>996</v>
      </c>
      <c r="AE48" s="627">
        <v>29715</v>
      </c>
      <c r="AF48" s="623" t="s">
        <v>998</v>
      </c>
      <c r="AG48" s="627">
        <v>708979613</v>
      </c>
      <c r="AH48" s="494" t="s">
        <v>1000</v>
      </c>
      <c r="AI48" s="625" t="s">
        <v>1001</v>
      </c>
      <c r="AJ48" s="627">
        <v>29711</v>
      </c>
      <c r="AM48" s="494" t="s">
        <v>786</v>
      </c>
      <c r="AN48" s="625" t="s">
        <v>901</v>
      </c>
      <c r="AO48" s="627">
        <v>22230</v>
      </c>
      <c r="AP48" s="623" t="s">
        <v>882</v>
      </c>
      <c r="AQ48" s="627">
        <v>7089327433</v>
      </c>
    </row>
    <row r="49" spans="1:43" x14ac:dyDescent="0.25">
      <c r="A49" s="625">
        <v>80</v>
      </c>
      <c r="B49" s="494" t="s">
        <v>528</v>
      </c>
      <c r="C49" s="625">
        <v>105</v>
      </c>
      <c r="D49" s="494" t="s">
        <v>1006</v>
      </c>
      <c r="E49" s="627">
        <v>9504572</v>
      </c>
      <c r="F49" s="627">
        <v>29078</v>
      </c>
      <c r="G49" s="494" t="s">
        <v>1009</v>
      </c>
      <c r="S49" s="629">
        <f t="shared" si="2"/>
        <v>0.64583333333333337</v>
      </c>
      <c r="T49" s="629">
        <f t="shared" si="3"/>
        <v>0.66666666666666674</v>
      </c>
      <c r="U49" s="494" t="s">
        <v>921</v>
      </c>
      <c r="V49" s="620" t="str">
        <f>HoffmanEstates_table[[#This Row],[TimeSlot_Start_text]]</f>
        <v>1530</v>
      </c>
      <c r="W49" s="621"/>
      <c r="X49" s="621"/>
      <c r="Y49" s="621"/>
      <c r="Z49" s="621"/>
      <c r="AA49" s="621"/>
      <c r="AB49" s="494" t="s">
        <v>1082</v>
      </c>
      <c r="AC49" s="494" t="s">
        <v>995</v>
      </c>
      <c r="AD49" s="625" t="s">
        <v>996</v>
      </c>
      <c r="AE49" s="627">
        <v>29715</v>
      </c>
      <c r="AF49" s="623" t="s">
        <v>998</v>
      </c>
      <c r="AG49" s="627">
        <v>708979613</v>
      </c>
      <c r="AH49" s="494" t="s">
        <v>1000</v>
      </c>
      <c r="AI49" s="625" t="s">
        <v>1001</v>
      </c>
      <c r="AJ49" s="627">
        <v>29711</v>
      </c>
      <c r="AM49" s="494" t="s">
        <v>786</v>
      </c>
      <c r="AN49" s="625" t="s">
        <v>901</v>
      </c>
      <c r="AO49" s="627">
        <v>22230</v>
      </c>
      <c r="AP49" s="623" t="s">
        <v>882</v>
      </c>
      <c r="AQ49" s="627">
        <v>7089327433</v>
      </c>
    </row>
    <row r="50" spans="1:43" x14ac:dyDescent="0.25">
      <c r="A50" s="625">
        <v>81</v>
      </c>
      <c r="B50" s="494" t="s">
        <v>528</v>
      </c>
      <c r="C50" s="625">
        <v>106</v>
      </c>
      <c r="D50" s="494" t="s">
        <v>990</v>
      </c>
      <c r="E50" s="627">
        <v>9504592</v>
      </c>
      <c r="F50" s="627">
        <v>29709</v>
      </c>
      <c r="G50" s="494" t="s">
        <v>994</v>
      </c>
      <c r="S50" s="629">
        <f t="shared" si="2"/>
        <v>0.33333333333333331</v>
      </c>
      <c r="T50" s="629">
        <f t="shared" si="3"/>
        <v>0.35416666666666663</v>
      </c>
      <c r="U50" s="494" t="s">
        <v>906</v>
      </c>
      <c r="V50" s="620" t="str">
        <f>HoffmanEstates_table[[#This Row],[TimeSlot_Start_text]]</f>
        <v>0800</v>
      </c>
      <c r="W50" s="621"/>
      <c r="X50" s="621"/>
      <c r="Y50" s="621" t="s">
        <v>551</v>
      </c>
      <c r="Z50" s="621" t="s">
        <v>552</v>
      </c>
      <c r="AA50" s="621" t="s">
        <v>552</v>
      </c>
      <c r="AB50" s="494" t="s">
        <v>1083</v>
      </c>
      <c r="AC50" s="494" t="s">
        <v>995</v>
      </c>
      <c r="AD50" s="625" t="s">
        <v>996</v>
      </c>
      <c r="AE50" s="627">
        <v>29715</v>
      </c>
      <c r="AF50" s="623" t="s">
        <v>998</v>
      </c>
      <c r="AG50" s="627">
        <v>708979613</v>
      </c>
      <c r="AH50" s="494" t="s">
        <v>1000</v>
      </c>
      <c r="AI50" s="625" t="s">
        <v>1001</v>
      </c>
      <c r="AJ50" s="627">
        <v>29711</v>
      </c>
      <c r="AM50" s="494" t="s">
        <v>786</v>
      </c>
      <c r="AN50" s="625" t="s">
        <v>901</v>
      </c>
      <c r="AO50" s="627">
        <v>22230</v>
      </c>
      <c r="AP50" s="623" t="s">
        <v>882</v>
      </c>
      <c r="AQ50" s="627">
        <v>7089327433</v>
      </c>
    </row>
    <row r="51" spans="1:43" x14ac:dyDescent="0.25">
      <c r="A51" s="625">
        <v>82</v>
      </c>
      <c r="B51" s="494" t="s">
        <v>528</v>
      </c>
      <c r="C51" s="625">
        <v>106</v>
      </c>
      <c r="D51" s="494" t="s">
        <v>990</v>
      </c>
      <c r="E51" s="627">
        <v>9504592</v>
      </c>
      <c r="F51" s="627">
        <v>29709</v>
      </c>
      <c r="G51" s="494" t="s">
        <v>994</v>
      </c>
      <c r="S51" s="629">
        <f t="shared" si="2"/>
        <v>0.35416666666666669</v>
      </c>
      <c r="T51" s="629">
        <f t="shared" si="3"/>
        <v>0.375</v>
      </c>
      <c r="U51" s="494" t="s">
        <v>907</v>
      </c>
      <c r="V51" s="620" t="str">
        <f>HoffmanEstates_table[[#This Row],[TimeSlot_Start_text]]</f>
        <v>0830</v>
      </c>
      <c r="W51" s="621"/>
      <c r="X51" s="621"/>
      <c r="Y51" s="621" t="s">
        <v>551</v>
      </c>
      <c r="Z51" s="621" t="s">
        <v>552</v>
      </c>
      <c r="AA51" s="621" t="s">
        <v>552</v>
      </c>
      <c r="AB51" s="494" t="s">
        <v>1084</v>
      </c>
      <c r="AC51" s="494" t="s">
        <v>995</v>
      </c>
      <c r="AD51" s="625" t="s">
        <v>996</v>
      </c>
      <c r="AE51" s="627">
        <v>29715</v>
      </c>
      <c r="AF51" s="623" t="s">
        <v>998</v>
      </c>
      <c r="AG51" s="627">
        <v>708979613</v>
      </c>
      <c r="AH51" s="494" t="s">
        <v>1000</v>
      </c>
      <c r="AI51" s="625" t="s">
        <v>1001</v>
      </c>
      <c r="AJ51" s="627">
        <v>29711</v>
      </c>
      <c r="AM51" s="494" t="s">
        <v>786</v>
      </c>
      <c r="AN51" s="625" t="s">
        <v>901</v>
      </c>
      <c r="AO51" s="627">
        <v>22230</v>
      </c>
      <c r="AP51" s="623" t="s">
        <v>882</v>
      </c>
      <c r="AQ51" s="627">
        <v>7089327433</v>
      </c>
    </row>
    <row r="52" spans="1:43" x14ac:dyDescent="0.25">
      <c r="A52" s="625">
        <v>83</v>
      </c>
      <c r="B52" s="494" t="s">
        <v>528</v>
      </c>
      <c r="C52" s="625">
        <v>106</v>
      </c>
      <c r="D52" s="494" t="s">
        <v>990</v>
      </c>
      <c r="E52" s="627">
        <v>9504592</v>
      </c>
      <c r="F52" s="627">
        <v>29709</v>
      </c>
      <c r="G52" s="494" t="s">
        <v>994</v>
      </c>
      <c r="S52" s="629">
        <f t="shared" si="2"/>
        <v>0.375</v>
      </c>
      <c r="T52" s="629">
        <f t="shared" si="3"/>
        <v>0.39583333333333331</v>
      </c>
      <c r="U52" s="494" t="s">
        <v>908</v>
      </c>
      <c r="V52" s="620" t="str">
        <f>HoffmanEstates_table[[#This Row],[TimeSlot_Start_text]]</f>
        <v>0900</v>
      </c>
      <c r="W52" s="621"/>
      <c r="X52" s="621"/>
      <c r="Y52" s="621" t="s">
        <v>551</v>
      </c>
      <c r="Z52" s="621" t="s">
        <v>552</v>
      </c>
      <c r="AA52" s="621" t="s">
        <v>552</v>
      </c>
      <c r="AB52" s="494" t="s">
        <v>1085</v>
      </c>
      <c r="AC52" s="494" t="s">
        <v>995</v>
      </c>
      <c r="AD52" s="625" t="s">
        <v>996</v>
      </c>
      <c r="AE52" s="627">
        <v>29715</v>
      </c>
      <c r="AF52" s="623" t="s">
        <v>998</v>
      </c>
      <c r="AG52" s="627">
        <v>708979613</v>
      </c>
      <c r="AH52" s="494" t="s">
        <v>1000</v>
      </c>
      <c r="AI52" s="625" t="s">
        <v>1001</v>
      </c>
      <c r="AJ52" s="627">
        <v>29711</v>
      </c>
      <c r="AM52" s="494" t="s">
        <v>786</v>
      </c>
      <c r="AN52" s="625" t="s">
        <v>901</v>
      </c>
      <c r="AO52" s="627">
        <v>22230</v>
      </c>
      <c r="AP52" s="623" t="s">
        <v>882</v>
      </c>
      <c r="AQ52" s="627">
        <v>7089327433</v>
      </c>
    </row>
    <row r="53" spans="1:43" x14ac:dyDescent="0.25">
      <c r="A53" s="625">
        <v>84</v>
      </c>
      <c r="B53" s="494" t="s">
        <v>528</v>
      </c>
      <c r="C53" s="625">
        <v>106</v>
      </c>
      <c r="D53" s="494" t="s">
        <v>990</v>
      </c>
      <c r="E53" s="627">
        <v>9504592</v>
      </c>
      <c r="F53" s="627">
        <v>29709</v>
      </c>
      <c r="G53" s="494" t="s">
        <v>994</v>
      </c>
      <c r="S53" s="629">
        <f t="shared" si="2"/>
        <v>0.39583333333333331</v>
      </c>
      <c r="T53" s="629">
        <f t="shared" si="3"/>
        <v>0.41666666666666663</v>
      </c>
      <c r="U53" s="494" t="s">
        <v>909</v>
      </c>
      <c r="V53" s="620" t="str">
        <f>HoffmanEstates_table[[#This Row],[TimeSlot_Start_text]]</f>
        <v>0930</v>
      </c>
      <c r="W53" s="621"/>
      <c r="X53" s="621"/>
      <c r="Y53" s="621" t="s">
        <v>551</v>
      </c>
      <c r="Z53" s="621" t="s">
        <v>552</v>
      </c>
      <c r="AA53" s="621" t="s">
        <v>552</v>
      </c>
      <c r="AB53" s="494" t="s">
        <v>1086</v>
      </c>
      <c r="AC53" s="494" t="s">
        <v>995</v>
      </c>
      <c r="AD53" s="625" t="s">
        <v>996</v>
      </c>
      <c r="AE53" s="627">
        <v>29715</v>
      </c>
      <c r="AF53" s="623" t="s">
        <v>998</v>
      </c>
      <c r="AG53" s="627">
        <v>708979613</v>
      </c>
      <c r="AH53" s="494" t="s">
        <v>1000</v>
      </c>
      <c r="AI53" s="625" t="s">
        <v>1001</v>
      </c>
      <c r="AJ53" s="627">
        <v>29711</v>
      </c>
      <c r="AM53" s="494" t="s">
        <v>786</v>
      </c>
      <c r="AN53" s="625" t="s">
        <v>901</v>
      </c>
      <c r="AO53" s="627">
        <v>22230</v>
      </c>
      <c r="AP53" s="623" t="s">
        <v>882</v>
      </c>
      <c r="AQ53" s="627">
        <v>7089327433</v>
      </c>
    </row>
    <row r="54" spans="1:43" x14ac:dyDescent="0.25">
      <c r="A54" s="625">
        <v>85</v>
      </c>
      <c r="B54" s="494" t="s">
        <v>528</v>
      </c>
      <c r="C54" s="625">
        <v>106</v>
      </c>
      <c r="D54" s="494" t="s">
        <v>990</v>
      </c>
      <c r="E54" s="627">
        <v>9504592</v>
      </c>
      <c r="F54" s="627">
        <v>29709</v>
      </c>
      <c r="G54" s="494" t="s">
        <v>994</v>
      </c>
      <c r="S54" s="629">
        <f t="shared" si="2"/>
        <v>0.41666666666666669</v>
      </c>
      <c r="T54" s="629">
        <f t="shared" si="3"/>
        <v>0.4375</v>
      </c>
      <c r="U54" s="494" t="s">
        <v>910</v>
      </c>
      <c r="V54" s="620" t="str">
        <f>HoffmanEstates_table[[#This Row],[TimeSlot_Start_text]]</f>
        <v>1000</v>
      </c>
      <c r="W54" s="621" t="s">
        <v>380</v>
      </c>
      <c r="X54" s="621"/>
      <c r="Y54" s="621"/>
      <c r="Z54" s="621" t="s">
        <v>552</v>
      </c>
      <c r="AA54" s="621" t="s">
        <v>552</v>
      </c>
      <c r="AB54" s="494" t="s">
        <v>1073</v>
      </c>
      <c r="AC54" s="494" t="s">
        <v>995</v>
      </c>
      <c r="AD54" s="625" t="s">
        <v>996</v>
      </c>
      <c r="AE54" s="627">
        <v>29715</v>
      </c>
      <c r="AF54" s="623" t="s">
        <v>998</v>
      </c>
      <c r="AG54" s="627">
        <v>708979613</v>
      </c>
      <c r="AH54" s="494" t="s">
        <v>1000</v>
      </c>
      <c r="AI54" s="625" t="s">
        <v>1001</v>
      </c>
      <c r="AJ54" s="627">
        <v>29711</v>
      </c>
      <c r="AM54" s="494" t="s">
        <v>786</v>
      </c>
      <c r="AN54" s="625" t="s">
        <v>901</v>
      </c>
      <c r="AO54" s="627">
        <v>22230</v>
      </c>
      <c r="AP54" s="623" t="s">
        <v>882</v>
      </c>
      <c r="AQ54" s="627">
        <v>7089327433</v>
      </c>
    </row>
    <row r="55" spans="1:43" x14ac:dyDescent="0.25">
      <c r="A55" s="625">
        <v>86</v>
      </c>
      <c r="B55" s="494" t="s">
        <v>528</v>
      </c>
      <c r="C55" s="625">
        <v>106</v>
      </c>
      <c r="D55" s="494" t="s">
        <v>990</v>
      </c>
      <c r="E55" s="627">
        <v>9504592</v>
      </c>
      <c r="F55" s="627">
        <v>29709</v>
      </c>
      <c r="G55" s="494" t="s">
        <v>994</v>
      </c>
      <c r="S55" s="629">
        <f t="shared" si="2"/>
        <v>0.4375</v>
      </c>
      <c r="T55" s="629">
        <f t="shared" si="3"/>
        <v>0.45833333333333331</v>
      </c>
      <c r="U55" s="494" t="s">
        <v>911</v>
      </c>
      <c r="V55" s="620" t="str">
        <f>HoffmanEstates_table[[#This Row],[TimeSlot_Start_text]]</f>
        <v>1030</v>
      </c>
      <c r="W55" s="621"/>
      <c r="X55" s="621"/>
      <c r="Y55" s="621"/>
      <c r="Z55" s="621" t="s">
        <v>552</v>
      </c>
      <c r="AA55" s="621" t="s">
        <v>552</v>
      </c>
      <c r="AB55" s="494" t="s">
        <v>1074</v>
      </c>
      <c r="AC55" s="494" t="s">
        <v>995</v>
      </c>
      <c r="AD55" s="625" t="s">
        <v>996</v>
      </c>
      <c r="AE55" s="627">
        <v>29715</v>
      </c>
      <c r="AF55" s="623" t="s">
        <v>998</v>
      </c>
      <c r="AG55" s="627">
        <v>708979613</v>
      </c>
      <c r="AH55" s="494" t="s">
        <v>1000</v>
      </c>
      <c r="AI55" s="625" t="s">
        <v>1001</v>
      </c>
      <c r="AJ55" s="627">
        <v>29711</v>
      </c>
      <c r="AM55" s="494" t="s">
        <v>786</v>
      </c>
      <c r="AN55" s="625" t="s">
        <v>901</v>
      </c>
      <c r="AO55" s="627">
        <v>22230</v>
      </c>
      <c r="AP55" s="623" t="s">
        <v>882</v>
      </c>
      <c r="AQ55" s="627">
        <v>7089327433</v>
      </c>
    </row>
    <row r="56" spans="1:43" x14ac:dyDescent="0.25">
      <c r="A56" s="625">
        <v>87</v>
      </c>
      <c r="B56" s="494" t="s">
        <v>528</v>
      </c>
      <c r="C56" s="625">
        <v>106</v>
      </c>
      <c r="D56" s="494" t="s">
        <v>990</v>
      </c>
      <c r="E56" s="627">
        <v>9504592</v>
      </c>
      <c r="F56" s="627">
        <v>29709</v>
      </c>
      <c r="G56" s="494" t="s">
        <v>994</v>
      </c>
      <c r="S56" s="629">
        <f t="shared" si="2"/>
        <v>0.45833333333333331</v>
      </c>
      <c r="T56" s="629">
        <f t="shared" si="3"/>
        <v>0.47916666666666663</v>
      </c>
      <c r="U56" s="494" t="s">
        <v>912</v>
      </c>
      <c r="V56" s="620" t="str">
        <f>HoffmanEstates_table[[#This Row],[TimeSlot_Start_text]]</f>
        <v>1100</v>
      </c>
      <c r="W56" s="621" t="s">
        <v>380</v>
      </c>
      <c r="X56" s="621"/>
      <c r="Y56" s="621"/>
      <c r="Z56" s="621" t="s">
        <v>552</v>
      </c>
      <c r="AA56" s="621" t="s">
        <v>552</v>
      </c>
      <c r="AB56" s="494" t="s">
        <v>1076</v>
      </c>
      <c r="AC56" s="494" t="s">
        <v>995</v>
      </c>
      <c r="AD56" s="625" t="s">
        <v>996</v>
      </c>
      <c r="AE56" s="627">
        <v>29715</v>
      </c>
      <c r="AF56" s="623" t="s">
        <v>998</v>
      </c>
      <c r="AG56" s="627">
        <v>708979613</v>
      </c>
      <c r="AH56" s="494" t="s">
        <v>1000</v>
      </c>
      <c r="AI56" s="625" t="s">
        <v>1001</v>
      </c>
      <c r="AJ56" s="627">
        <v>29711</v>
      </c>
      <c r="AM56" s="494" t="s">
        <v>786</v>
      </c>
      <c r="AN56" s="625" t="s">
        <v>901</v>
      </c>
      <c r="AO56" s="627">
        <v>22230</v>
      </c>
      <c r="AP56" s="623" t="s">
        <v>882</v>
      </c>
      <c r="AQ56" s="627">
        <v>7089327433</v>
      </c>
    </row>
    <row r="57" spans="1:43" x14ac:dyDescent="0.25">
      <c r="A57" s="625">
        <v>88</v>
      </c>
      <c r="B57" s="494" t="s">
        <v>528</v>
      </c>
      <c r="C57" s="625">
        <v>106</v>
      </c>
      <c r="D57" s="494" t="s">
        <v>990</v>
      </c>
      <c r="E57" s="627">
        <v>9504592</v>
      </c>
      <c r="F57" s="627">
        <v>29709</v>
      </c>
      <c r="G57" s="494" t="s">
        <v>994</v>
      </c>
      <c r="S57" s="629">
        <f t="shared" si="2"/>
        <v>0.47916666666666669</v>
      </c>
      <c r="T57" s="629">
        <f t="shared" si="3"/>
        <v>0.5</v>
      </c>
      <c r="U57" s="494" t="s">
        <v>913</v>
      </c>
      <c r="V57" s="620" t="str">
        <f>HoffmanEstates_table[[#This Row],[TimeSlot_Start_text]]</f>
        <v>1130</v>
      </c>
      <c r="W57" s="621"/>
      <c r="X57" s="621"/>
      <c r="Y57" s="621"/>
      <c r="Z57" s="621" t="s">
        <v>552</v>
      </c>
      <c r="AA57" s="621" t="s">
        <v>552</v>
      </c>
      <c r="AB57" s="494" t="s">
        <v>1075</v>
      </c>
      <c r="AC57" s="494" t="s">
        <v>995</v>
      </c>
      <c r="AD57" s="625" t="s">
        <v>996</v>
      </c>
      <c r="AE57" s="627">
        <v>29715</v>
      </c>
      <c r="AF57" s="623" t="s">
        <v>998</v>
      </c>
      <c r="AG57" s="627">
        <v>708979613</v>
      </c>
      <c r="AH57" s="494" t="s">
        <v>1000</v>
      </c>
      <c r="AI57" s="625" t="s">
        <v>1001</v>
      </c>
      <c r="AJ57" s="627">
        <v>29711</v>
      </c>
      <c r="AM57" s="494" t="s">
        <v>786</v>
      </c>
      <c r="AN57" s="625" t="s">
        <v>901</v>
      </c>
      <c r="AO57" s="627">
        <v>22230</v>
      </c>
      <c r="AP57" s="623" t="s">
        <v>882</v>
      </c>
      <c r="AQ57" s="627">
        <v>7089327433</v>
      </c>
    </row>
    <row r="58" spans="1:43" ht="15" customHeight="1" x14ac:dyDescent="0.25">
      <c r="A58" s="625">
        <v>89</v>
      </c>
      <c r="B58" s="494" t="s">
        <v>528</v>
      </c>
      <c r="C58" s="625">
        <v>106</v>
      </c>
      <c r="D58" s="494" t="s">
        <v>990</v>
      </c>
      <c r="E58" s="627">
        <v>9504592</v>
      </c>
      <c r="F58" s="627">
        <v>29709</v>
      </c>
      <c r="G58" s="494" t="s">
        <v>994</v>
      </c>
      <c r="S58" s="629">
        <f t="shared" si="2"/>
        <v>0.5</v>
      </c>
      <c r="T58" s="629">
        <f t="shared" si="3"/>
        <v>0.52083333333333337</v>
      </c>
      <c r="U58" s="494" t="s">
        <v>914</v>
      </c>
      <c r="V58" s="620" t="str">
        <f>HoffmanEstates_table[[#This Row],[TimeSlot_Start_text]]</f>
        <v>1200</v>
      </c>
      <c r="W58" s="621" t="s">
        <v>354</v>
      </c>
      <c r="X58" s="621" t="s">
        <v>354</v>
      </c>
      <c r="Y58" s="621" t="s">
        <v>354</v>
      </c>
      <c r="Z58" s="621" t="s">
        <v>354</v>
      </c>
      <c r="AA58" s="621" t="s">
        <v>354</v>
      </c>
      <c r="AB58" s="494" t="s">
        <v>1077</v>
      </c>
      <c r="AC58" s="494" t="s">
        <v>995</v>
      </c>
      <c r="AD58" s="625" t="s">
        <v>996</v>
      </c>
      <c r="AE58" s="627">
        <v>29715</v>
      </c>
      <c r="AF58" s="623" t="s">
        <v>998</v>
      </c>
      <c r="AG58" s="627">
        <v>708979613</v>
      </c>
      <c r="AH58" s="494" t="s">
        <v>1000</v>
      </c>
      <c r="AI58" s="625" t="s">
        <v>1001</v>
      </c>
      <c r="AJ58" s="627">
        <v>29711</v>
      </c>
      <c r="AM58" s="494" t="s">
        <v>786</v>
      </c>
      <c r="AN58" s="625" t="s">
        <v>901</v>
      </c>
      <c r="AO58" s="627">
        <v>22230</v>
      </c>
      <c r="AP58" s="623" t="s">
        <v>882</v>
      </c>
      <c r="AQ58" s="627">
        <v>7089327433</v>
      </c>
    </row>
    <row r="59" spans="1:43" ht="15.75" customHeight="1" x14ac:dyDescent="0.25">
      <c r="A59" s="625">
        <v>90</v>
      </c>
      <c r="B59" s="494" t="s">
        <v>528</v>
      </c>
      <c r="C59" s="625">
        <v>106</v>
      </c>
      <c r="D59" s="494" t="s">
        <v>990</v>
      </c>
      <c r="E59" s="627">
        <v>9504592</v>
      </c>
      <c r="F59" s="627">
        <v>29709</v>
      </c>
      <c r="G59" s="494" t="s">
        <v>994</v>
      </c>
      <c r="S59" s="629">
        <f t="shared" si="2"/>
        <v>0.52083333333333337</v>
      </c>
      <c r="T59" s="629">
        <f t="shared" si="3"/>
        <v>0.54166666666666674</v>
      </c>
      <c r="U59" s="494" t="s">
        <v>915</v>
      </c>
      <c r="V59" s="620" t="str">
        <f>HoffmanEstates_table[[#This Row],[TimeSlot_Start_text]]</f>
        <v>1230</v>
      </c>
      <c r="W59" s="621" t="s">
        <v>354</v>
      </c>
      <c r="X59" s="621" t="s">
        <v>354</v>
      </c>
      <c r="Y59" s="621" t="s">
        <v>354</v>
      </c>
      <c r="Z59" s="621" t="s">
        <v>354</v>
      </c>
      <c r="AA59" s="621" t="s">
        <v>354</v>
      </c>
      <c r="AB59" s="494" t="s">
        <v>1078</v>
      </c>
      <c r="AC59" s="494" t="s">
        <v>995</v>
      </c>
      <c r="AD59" s="625" t="s">
        <v>996</v>
      </c>
      <c r="AE59" s="627">
        <v>29715</v>
      </c>
      <c r="AF59" s="623" t="s">
        <v>998</v>
      </c>
      <c r="AG59" s="627">
        <v>708979613</v>
      </c>
      <c r="AH59" s="494" t="s">
        <v>1000</v>
      </c>
      <c r="AI59" s="625" t="s">
        <v>1001</v>
      </c>
      <c r="AJ59" s="627">
        <v>29711</v>
      </c>
      <c r="AM59" s="494" t="s">
        <v>786</v>
      </c>
      <c r="AN59" s="625" t="s">
        <v>901</v>
      </c>
      <c r="AO59" s="627">
        <v>22230</v>
      </c>
      <c r="AP59" s="623" t="s">
        <v>882</v>
      </c>
      <c r="AQ59" s="627">
        <v>7089327433</v>
      </c>
    </row>
    <row r="60" spans="1:43" x14ac:dyDescent="0.25">
      <c r="A60" s="625">
        <v>91</v>
      </c>
      <c r="B60" s="494" t="s">
        <v>528</v>
      </c>
      <c r="C60" s="625">
        <v>106</v>
      </c>
      <c r="D60" s="494" t="s">
        <v>990</v>
      </c>
      <c r="E60" s="627">
        <v>9504592</v>
      </c>
      <c r="F60" s="627">
        <v>29709</v>
      </c>
      <c r="G60" s="494" t="s">
        <v>994</v>
      </c>
      <c r="S60" s="629">
        <f t="shared" si="2"/>
        <v>0.54166666666666663</v>
      </c>
      <c r="T60" s="629">
        <f t="shared" si="3"/>
        <v>0.5625</v>
      </c>
      <c r="U60" s="494" t="s">
        <v>916</v>
      </c>
      <c r="V60" s="620" t="str">
        <f>HoffmanEstates_table[[#This Row],[TimeSlot_Start_text]]</f>
        <v>1300</v>
      </c>
      <c r="W60" s="621"/>
      <c r="X60" s="621" t="s">
        <v>551</v>
      </c>
      <c r="Y60" s="621" t="s">
        <v>551</v>
      </c>
      <c r="Z60" s="621"/>
      <c r="AA60" s="621" t="s">
        <v>552</v>
      </c>
      <c r="AB60" s="494" t="s">
        <v>1071</v>
      </c>
      <c r="AC60" s="494" t="s">
        <v>995</v>
      </c>
      <c r="AD60" s="625" t="s">
        <v>996</v>
      </c>
      <c r="AE60" s="627">
        <v>29715</v>
      </c>
      <c r="AF60" s="623" t="s">
        <v>998</v>
      </c>
      <c r="AG60" s="627">
        <v>708979613</v>
      </c>
      <c r="AH60" s="494" t="s">
        <v>1000</v>
      </c>
      <c r="AI60" s="625" t="s">
        <v>1001</v>
      </c>
      <c r="AJ60" s="627">
        <v>29711</v>
      </c>
      <c r="AM60" s="494" t="s">
        <v>786</v>
      </c>
      <c r="AN60" s="625" t="s">
        <v>901</v>
      </c>
      <c r="AO60" s="627">
        <v>22230</v>
      </c>
      <c r="AP60" s="623" t="s">
        <v>882</v>
      </c>
      <c r="AQ60" s="627">
        <v>7089327433</v>
      </c>
    </row>
    <row r="61" spans="1:43" x14ac:dyDescent="0.25">
      <c r="A61" s="625">
        <v>92</v>
      </c>
      <c r="B61" s="494" t="s">
        <v>528</v>
      </c>
      <c r="C61" s="625">
        <v>106</v>
      </c>
      <c r="D61" s="494" t="s">
        <v>990</v>
      </c>
      <c r="E61" s="627">
        <v>9504592</v>
      </c>
      <c r="F61" s="627">
        <v>29709</v>
      </c>
      <c r="G61" s="494" t="s">
        <v>994</v>
      </c>
      <c r="S61" s="629">
        <f t="shared" si="2"/>
        <v>0.5625</v>
      </c>
      <c r="T61" s="629">
        <f t="shared" si="3"/>
        <v>0.58333333333333337</v>
      </c>
      <c r="U61" s="494" t="s">
        <v>917</v>
      </c>
      <c r="V61" s="620" t="str">
        <f>HoffmanEstates_table[[#This Row],[TimeSlot_Start_text]]</f>
        <v>1330</v>
      </c>
      <c r="W61" s="621"/>
      <c r="X61" s="621" t="s">
        <v>551</v>
      </c>
      <c r="Y61" s="621" t="s">
        <v>551</v>
      </c>
      <c r="Z61" s="621"/>
      <c r="AA61" s="621" t="s">
        <v>552</v>
      </c>
      <c r="AB61" s="494" t="s">
        <v>1072</v>
      </c>
      <c r="AC61" s="494" t="s">
        <v>995</v>
      </c>
      <c r="AD61" s="625" t="s">
        <v>996</v>
      </c>
      <c r="AE61" s="627">
        <v>29715</v>
      </c>
      <c r="AF61" s="623" t="s">
        <v>998</v>
      </c>
      <c r="AG61" s="627">
        <v>708979613</v>
      </c>
      <c r="AH61" s="494" t="s">
        <v>1000</v>
      </c>
      <c r="AI61" s="625" t="s">
        <v>1001</v>
      </c>
      <c r="AJ61" s="627">
        <v>29711</v>
      </c>
      <c r="AM61" s="494" t="s">
        <v>786</v>
      </c>
      <c r="AN61" s="625" t="s">
        <v>901</v>
      </c>
      <c r="AO61" s="627">
        <v>22230</v>
      </c>
      <c r="AP61" s="623" t="s">
        <v>882</v>
      </c>
      <c r="AQ61" s="627">
        <v>7089327433</v>
      </c>
    </row>
    <row r="62" spans="1:43" x14ac:dyDescent="0.25">
      <c r="A62" s="625">
        <v>93</v>
      </c>
      <c r="B62" s="494" t="s">
        <v>528</v>
      </c>
      <c r="C62" s="625">
        <v>106</v>
      </c>
      <c r="D62" s="494" t="s">
        <v>990</v>
      </c>
      <c r="E62" s="627">
        <v>9504592</v>
      </c>
      <c r="F62" s="627">
        <v>29709</v>
      </c>
      <c r="G62" s="494" t="s">
        <v>994</v>
      </c>
      <c r="S62" s="629">
        <f t="shared" si="2"/>
        <v>0.58333333333333337</v>
      </c>
      <c r="T62" s="629">
        <f t="shared" si="3"/>
        <v>0.60416666666666674</v>
      </c>
      <c r="U62" s="494" t="s">
        <v>918</v>
      </c>
      <c r="V62" s="620" t="str">
        <f>HoffmanEstates_table[[#This Row],[TimeSlot_Start_text]]</f>
        <v>1400</v>
      </c>
      <c r="W62" s="621"/>
      <c r="X62" s="621" t="s">
        <v>551</v>
      </c>
      <c r="Y62" s="621" t="s">
        <v>551</v>
      </c>
      <c r="Z62" s="621"/>
      <c r="AA62" s="621" t="s">
        <v>552</v>
      </c>
      <c r="AB62" s="494" t="s">
        <v>1079</v>
      </c>
      <c r="AC62" s="494" t="s">
        <v>995</v>
      </c>
      <c r="AD62" s="625" t="s">
        <v>996</v>
      </c>
      <c r="AE62" s="627">
        <v>29715</v>
      </c>
      <c r="AF62" s="623" t="s">
        <v>998</v>
      </c>
      <c r="AG62" s="627">
        <v>708979613</v>
      </c>
      <c r="AH62" s="494" t="s">
        <v>1000</v>
      </c>
      <c r="AI62" s="625" t="s">
        <v>1001</v>
      </c>
      <c r="AJ62" s="627">
        <v>29711</v>
      </c>
      <c r="AM62" s="494" t="s">
        <v>786</v>
      </c>
      <c r="AN62" s="625" t="s">
        <v>901</v>
      </c>
      <c r="AO62" s="627">
        <v>22230</v>
      </c>
      <c r="AP62" s="623" t="s">
        <v>882</v>
      </c>
      <c r="AQ62" s="627">
        <v>7089327433</v>
      </c>
    </row>
    <row r="63" spans="1:43" x14ac:dyDescent="0.25">
      <c r="A63" s="625">
        <v>94</v>
      </c>
      <c r="B63" s="494" t="s">
        <v>528</v>
      </c>
      <c r="C63" s="625">
        <v>106</v>
      </c>
      <c r="D63" s="494" t="s">
        <v>990</v>
      </c>
      <c r="E63" s="627">
        <v>9504592</v>
      </c>
      <c r="F63" s="627">
        <v>29709</v>
      </c>
      <c r="G63" s="494" t="s">
        <v>994</v>
      </c>
      <c r="S63" s="629">
        <f t="shared" si="2"/>
        <v>0.60416666666666663</v>
      </c>
      <c r="T63" s="629">
        <f t="shared" si="3"/>
        <v>0.625</v>
      </c>
      <c r="U63" s="494" t="s">
        <v>919</v>
      </c>
      <c r="V63" s="620" t="str">
        <f>HoffmanEstates_table[[#This Row],[TimeSlot_Start_text]]</f>
        <v>1430</v>
      </c>
      <c r="W63" s="621"/>
      <c r="X63" s="621" t="s">
        <v>551</v>
      </c>
      <c r="Y63" s="621" t="s">
        <v>551</v>
      </c>
      <c r="Z63" s="621"/>
      <c r="AA63" s="621" t="s">
        <v>552</v>
      </c>
      <c r="AB63" s="494" t="s">
        <v>1080</v>
      </c>
      <c r="AC63" s="494" t="s">
        <v>995</v>
      </c>
      <c r="AD63" s="625" t="s">
        <v>996</v>
      </c>
      <c r="AE63" s="627">
        <v>29715</v>
      </c>
      <c r="AF63" s="623" t="s">
        <v>998</v>
      </c>
      <c r="AG63" s="627">
        <v>708979613</v>
      </c>
      <c r="AH63" s="494" t="s">
        <v>1000</v>
      </c>
      <c r="AI63" s="625" t="s">
        <v>1001</v>
      </c>
      <c r="AJ63" s="627">
        <v>29711</v>
      </c>
      <c r="AM63" s="494" t="s">
        <v>786</v>
      </c>
      <c r="AN63" s="625" t="s">
        <v>901</v>
      </c>
      <c r="AO63" s="627">
        <v>22230</v>
      </c>
      <c r="AP63" s="623" t="s">
        <v>882</v>
      </c>
      <c r="AQ63" s="627">
        <v>7089327433</v>
      </c>
    </row>
    <row r="64" spans="1:43" x14ac:dyDescent="0.25">
      <c r="A64" s="625">
        <v>95</v>
      </c>
      <c r="B64" s="494" t="s">
        <v>528</v>
      </c>
      <c r="C64" s="625">
        <v>106</v>
      </c>
      <c r="D64" s="494" t="s">
        <v>990</v>
      </c>
      <c r="E64" s="627">
        <v>9504592</v>
      </c>
      <c r="F64" s="627">
        <v>29709</v>
      </c>
      <c r="G64" s="494" t="s">
        <v>994</v>
      </c>
      <c r="S64" s="629">
        <f t="shared" si="2"/>
        <v>0.625</v>
      </c>
      <c r="T64" s="629">
        <f t="shared" si="3"/>
        <v>0.64583333333333337</v>
      </c>
      <c r="U64" s="494" t="s">
        <v>920</v>
      </c>
      <c r="V64" s="620" t="str">
        <f>HoffmanEstates_table[[#This Row],[TimeSlot_Start_text]]</f>
        <v>1500</v>
      </c>
      <c r="W64" s="621"/>
      <c r="X64" s="621" t="s">
        <v>551</v>
      </c>
      <c r="Y64" s="621" t="s">
        <v>551</v>
      </c>
      <c r="Z64" s="621"/>
      <c r="AA64" s="621" t="s">
        <v>552</v>
      </c>
      <c r="AB64" s="494" t="s">
        <v>1081</v>
      </c>
      <c r="AC64" s="494" t="s">
        <v>995</v>
      </c>
      <c r="AD64" s="625" t="s">
        <v>996</v>
      </c>
      <c r="AE64" s="627">
        <v>29715</v>
      </c>
      <c r="AF64" s="623" t="s">
        <v>998</v>
      </c>
      <c r="AG64" s="627">
        <v>708979613</v>
      </c>
      <c r="AH64" s="494" t="s">
        <v>1000</v>
      </c>
      <c r="AI64" s="625" t="s">
        <v>1001</v>
      </c>
      <c r="AJ64" s="627">
        <v>29711</v>
      </c>
      <c r="AM64" s="494" t="s">
        <v>786</v>
      </c>
      <c r="AN64" s="625" t="s">
        <v>901</v>
      </c>
      <c r="AO64" s="627">
        <v>22230</v>
      </c>
      <c r="AP64" s="623" t="s">
        <v>882</v>
      </c>
      <c r="AQ64" s="627">
        <v>7089327433</v>
      </c>
    </row>
    <row r="65" spans="1:43" x14ac:dyDescent="0.25">
      <c r="A65" s="625">
        <v>96</v>
      </c>
      <c r="B65" s="494" t="s">
        <v>528</v>
      </c>
      <c r="C65" s="625">
        <v>106</v>
      </c>
      <c r="D65" s="494" t="s">
        <v>990</v>
      </c>
      <c r="E65" s="627">
        <v>9504592</v>
      </c>
      <c r="F65" s="627">
        <v>29709</v>
      </c>
      <c r="G65" s="494" t="s">
        <v>994</v>
      </c>
      <c r="S65" s="629">
        <f t="shared" si="2"/>
        <v>0.64583333333333337</v>
      </c>
      <c r="T65" s="629">
        <f t="shared" si="3"/>
        <v>0.66666666666666674</v>
      </c>
      <c r="U65" s="494" t="s">
        <v>921</v>
      </c>
      <c r="V65" s="620" t="str">
        <f>HoffmanEstates_table[[#This Row],[TimeSlot_Start_text]]</f>
        <v>1530</v>
      </c>
      <c r="W65" s="621"/>
      <c r="X65" s="621"/>
      <c r="Y65" s="621"/>
      <c r="Z65" s="621"/>
      <c r="AA65" s="621"/>
      <c r="AB65" s="494" t="s">
        <v>1082</v>
      </c>
      <c r="AC65" s="494" t="s">
        <v>995</v>
      </c>
      <c r="AD65" s="625" t="s">
        <v>996</v>
      </c>
      <c r="AE65" s="627">
        <v>29715</v>
      </c>
      <c r="AF65" s="623" t="s">
        <v>998</v>
      </c>
      <c r="AG65" s="627">
        <v>708979613</v>
      </c>
      <c r="AH65" s="494" t="s">
        <v>1000</v>
      </c>
      <c r="AI65" s="625" t="s">
        <v>1001</v>
      </c>
      <c r="AJ65" s="627">
        <v>29711</v>
      </c>
      <c r="AM65" s="494" t="s">
        <v>786</v>
      </c>
      <c r="AN65" s="625" t="s">
        <v>901</v>
      </c>
      <c r="AO65" s="627">
        <v>22230</v>
      </c>
      <c r="AP65" s="623" t="s">
        <v>882</v>
      </c>
      <c r="AQ65" s="627">
        <v>7089327433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F6858-DAD6-4BC3-AF99-DC2E5F58FDB6}">
  <dimension ref="A1:AQ65"/>
  <sheetViews>
    <sheetView workbookViewId="0">
      <pane ySplit="1" topLeftCell="A2" activePane="bottomLeft" state="frozen"/>
      <selection pane="bottomLeft" activeCell="C13" sqref="C13"/>
    </sheetView>
  </sheetViews>
  <sheetFormatPr defaultRowHeight="15" x14ac:dyDescent="0.25"/>
  <cols>
    <col min="1" max="1" width="9.7109375" style="620" bestFit="1" customWidth="1"/>
    <col min="2" max="2" width="20.5703125" style="494" bestFit="1" customWidth="1"/>
    <col min="3" max="3" width="18" style="494" bestFit="1" customWidth="1"/>
    <col min="4" max="4" width="21.140625" style="494" bestFit="1" customWidth="1"/>
    <col min="5" max="5" width="24" style="627" bestFit="1" customWidth="1"/>
    <col min="6" max="6" width="29" style="627" bestFit="1" customWidth="1"/>
    <col min="7" max="7" width="24.85546875" style="494" bestFit="1" customWidth="1"/>
    <col min="8" max="8" width="18.140625" style="494" bestFit="1" customWidth="1"/>
    <col min="9" max="9" width="30.42578125" style="628" bestFit="1" customWidth="1"/>
    <col min="10" max="10" width="25.140625" style="494" bestFit="1" customWidth="1"/>
    <col min="11" max="11" width="34.7109375" style="632" bestFit="1" customWidth="1"/>
    <col min="12" max="12" width="34.140625" style="632" bestFit="1" customWidth="1"/>
    <col min="13" max="13" width="38.42578125" style="494" bestFit="1" customWidth="1"/>
    <col min="14" max="14" width="33.42578125" style="494" bestFit="1" customWidth="1"/>
    <col min="15" max="15" width="33.5703125" style="494" bestFit="1" customWidth="1"/>
    <col min="16" max="16" width="34.42578125" style="494" bestFit="1" customWidth="1"/>
    <col min="17" max="17" width="30.28515625" style="628" bestFit="1" customWidth="1"/>
    <col min="18" max="18" width="30" style="628" bestFit="1" customWidth="1"/>
    <col min="19" max="19" width="23.85546875" style="629" bestFit="1" customWidth="1"/>
    <col min="20" max="20" width="22.5703125" style="629" bestFit="1" customWidth="1"/>
    <col min="21" max="21" width="23.140625" style="494" bestFit="1" customWidth="1"/>
    <col min="22" max="22" width="27.140625" style="494" bestFit="1" customWidth="1"/>
    <col min="23" max="23" width="27.7109375" style="494" bestFit="1" customWidth="1"/>
    <col min="24" max="24" width="21.85546875" style="494" bestFit="1" customWidth="1"/>
    <col min="25" max="25" width="25" style="494" bestFit="1" customWidth="1"/>
    <col min="26" max="26" width="22.42578125" style="494" bestFit="1" customWidth="1"/>
    <col min="27" max="27" width="21.85546875" style="494" bestFit="1" customWidth="1"/>
    <col min="28" max="28" width="17.7109375" style="494" bestFit="1" customWidth="1"/>
    <col min="29" max="29" width="18.7109375" style="494" bestFit="1" customWidth="1"/>
    <col min="30" max="30" width="23.28515625" style="625" bestFit="1" customWidth="1"/>
    <col min="31" max="31" width="23.28515625" style="627" bestFit="1" customWidth="1"/>
    <col min="32" max="32" width="16.42578125" style="623" bestFit="1" customWidth="1"/>
    <col min="33" max="33" width="20.42578125" style="494" bestFit="1" customWidth="1"/>
    <col min="34" max="34" width="20.140625" style="494" bestFit="1" customWidth="1"/>
    <col min="35" max="35" width="25.5703125" style="625" bestFit="1" customWidth="1"/>
    <col min="36" max="36" width="24.7109375" style="627" bestFit="1" customWidth="1"/>
    <col min="37" max="37" width="17.7109375" style="623" bestFit="1" customWidth="1"/>
    <col min="38" max="38" width="21.7109375" style="627" bestFit="1" customWidth="1"/>
    <col min="39" max="39" width="18.5703125" style="494" bestFit="1" customWidth="1"/>
    <col min="40" max="40" width="21.7109375" style="625" bestFit="1" customWidth="1"/>
    <col min="41" max="41" width="23.140625" style="627" bestFit="1" customWidth="1"/>
    <col min="42" max="42" width="17.42578125" style="623" bestFit="1" customWidth="1"/>
    <col min="43" max="43" width="20.28515625" style="627" bestFit="1" customWidth="1"/>
    <col min="44" max="16384" width="9.140625" style="494"/>
  </cols>
  <sheetData>
    <row r="1" spans="1:43" s="495" customFormat="1" ht="15.75" x14ac:dyDescent="0.25">
      <c r="A1" s="619" t="s">
        <v>1093</v>
      </c>
      <c r="B1" s="495" t="s">
        <v>872</v>
      </c>
      <c r="C1" s="495" t="s">
        <v>971</v>
      </c>
      <c r="D1" s="495" t="s">
        <v>978</v>
      </c>
      <c r="E1" s="626" t="s">
        <v>1088</v>
      </c>
      <c r="F1" s="626" t="s">
        <v>1089</v>
      </c>
      <c r="G1" s="495" t="s">
        <v>886</v>
      </c>
      <c r="H1" s="495" t="s">
        <v>1094</v>
      </c>
      <c r="I1" s="633" t="s">
        <v>1103</v>
      </c>
      <c r="J1" s="495" t="s">
        <v>1104</v>
      </c>
      <c r="K1" s="631" t="s">
        <v>1100</v>
      </c>
      <c r="L1" s="631" t="s">
        <v>1097</v>
      </c>
      <c r="M1" s="495" t="s">
        <v>1098</v>
      </c>
      <c r="N1" s="495" t="s">
        <v>1101</v>
      </c>
      <c r="O1" s="495" t="s">
        <v>1099</v>
      </c>
      <c r="P1" s="495" t="s">
        <v>1102</v>
      </c>
      <c r="Q1" s="633" t="s">
        <v>1095</v>
      </c>
      <c r="R1" s="633" t="s">
        <v>1096</v>
      </c>
      <c r="S1" s="630" t="s">
        <v>1069</v>
      </c>
      <c r="T1" s="630" t="s">
        <v>1070</v>
      </c>
      <c r="U1" s="495" t="s">
        <v>905</v>
      </c>
      <c r="V1" s="619" t="s">
        <v>1087</v>
      </c>
      <c r="W1" s="495" t="s">
        <v>874</v>
      </c>
      <c r="X1" s="495" t="s">
        <v>875</v>
      </c>
      <c r="Y1" s="495" t="s">
        <v>876</v>
      </c>
      <c r="Z1" s="495" t="s">
        <v>877</v>
      </c>
      <c r="AA1" s="495" t="s">
        <v>878</v>
      </c>
      <c r="AB1" s="495" t="s">
        <v>873</v>
      </c>
      <c r="AC1" s="495" t="s">
        <v>888</v>
      </c>
      <c r="AD1" s="624" t="s">
        <v>889</v>
      </c>
      <c r="AE1" s="626" t="s">
        <v>1090</v>
      </c>
      <c r="AF1" s="622" t="s">
        <v>891</v>
      </c>
      <c r="AG1" s="495" t="s">
        <v>959</v>
      </c>
      <c r="AH1" s="495" t="s">
        <v>892</v>
      </c>
      <c r="AI1" s="624" t="s">
        <v>893</v>
      </c>
      <c r="AJ1" s="626" t="s">
        <v>1092</v>
      </c>
      <c r="AK1" s="622" t="s">
        <v>897</v>
      </c>
      <c r="AL1" s="626" t="s">
        <v>958</v>
      </c>
      <c r="AM1" s="495" t="s">
        <v>898</v>
      </c>
      <c r="AN1" s="624" t="s">
        <v>900</v>
      </c>
      <c r="AO1" s="626" t="s">
        <v>1091</v>
      </c>
      <c r="AP1" s="622" t="s">
        <v>940</v>
      </c>
      <c r="AQ1" s="619" t="s">
        <v>957</v>
      </c>
    </row>
    <row r="2" spans="1:43" x14ac:dyDescent="0.25">
      <c r="A2" s="625">
        <v>97</v>
      </c>
      <c r="B2" s="494" t="s">
        <v>944</v>
      </c>
      <c r="C2" s="625">
        <v>1010</v>
      </c>
      <c r="D2" s="494" t="s">
        <v>945</v>
      </c>
      <c r="E2" s="627">
        <v>9504641</v>
      </c>
      <c r="F2" s="627">
        <v>73085</v>
      </c>
      <c r="G2" s="494" t="s">
        <v>948</v>
      </c>
      <c r="S2" s="629">
        <f t="shared" ref="S2:S33" si="0">TIME(LEFT(U2,2),RIGHT(U2,2),"00")</f>
        <v>0.33333333333333331</v>
      </c>
      <c r="T2" s="629">
        <f t="shared" ref="T2:T33" si="1">S2+(TIME("00","30","00"))</f>
        <v>0.35416666666666663</v>
      </c>
      <c r="U2" s="494" t="s">
        <v>906</v>
      </c>
      <c r="V2" s="620" t="str">
        <f>Joliet_table[[#This Row],[TimeSlot_Start_text]]</f>
        <v>0800</v>
      </c>
      <c r="W2" s="621"/>
      <c r="X2" s="621" t="s">
        <v>425</v>
      </c>
      <c r="Y2" s="621"/>
      <c r="Z2" s="621"/>
      <c r="AA2" s="621"/>
      <c r="AB2" s="494" t="s">
        <v>1083</v>
      </c>
      <c r="AC2" s="494" t="s">
        <v>949</v>
      </c>
      <c r="AD2" s="625" t="s">
        <v>950</v>
      </c>
      <c r="AE2" s="627">
        <v>73104</v>
      </c>
      <c r="AF2" s="623" t="s">
        <v>952</v>
      </c>
      <c r="AG2" s="627">
        <v>7089987986</v>
      </c>
      <c r="AH2" s="494" t="s">
        <v>953</v>
      </c>
      <c r="AI2" s="625" t="s">
        <v>955</v>
      </c>
      <c r="AJ2" s="627">
        <v>73040</v>
      </c>
      <c r="AK2" s="623" t="s">
        <v>956</v>
      </c>
      <c r="AL2" s="627">
        <v>7087431691</v>
      </c>
      <c r="AM2" s="494" t="s">
        <v>786</v>
      </c>
      <c r="AN2" s="625" t="s">
        <v>901</v>
      </c>
      <c r="AO2" s="627">
        <v>22230</v>
      </c>
      <c r="AP2" s="623" t="s">
        <v>882</v>
      </c>
      <c r="AQ2" s="627">
        <v>7089327433</v>
      </c>
    </row>
    <row r="3" spans="1:43" x14ac:dyDescent="0.25">
      <c r="A3" s="625">
        <v>98</v>
      </c>
      <c r="B3" s="494" t="s">
        <v>944</v>
      </c>
      <c r="C3" s="625">
        <v>1010</v>
      </c>
      <c r="D3" s="494" t="s">
        <v>945</v>
      </c>
      <c r="E3" s="627">
        <v>9504641</v>
      </c>
      <c r="F3" s="627">
        <v>73085</v>
      </c>
      <c r="G3" s="494" t="s">
        <v>948</v>
      </c>
      <c r="S3" s="629">
        <f t="shared" si="0"/>
        <v>0.35416666666666669</v>
      </c>
      <c r="T3" s="629">
        <f t="shared" si="1"/>
        <v>0.375</v>
      </c>
      <c r="U3" s="494" t="s">
        <v>907</v>
      </c>
      <c r="V3" s="620" t="str">
        <f>Joliet_table[[#This Row],[TimeSlot_Start_text]]</f>
        <v>0830</v>
      </c>
      <c r="W3" s="621" t="s">
        <v>429</v>
      </c>
      <c r="X3" s="621" t="s">
        <v>425</v>
      </c>
      <c r="Y3" s="621" t="s">
        <v>429</v>
      </c>
      <c r="Z3" s="621"/>
      <c r="AA3" s="621"/>
      <c r="AB3" s="494" t="s">
        <v>1084</v>
      </c>
      <c r="AC3" s="494" t="s">
        <v>949</v>
      </c>
      <c r="AD3" s="625" t="s">
        <v>950</v>
      </c>
      <c r="AE3" s="627">
        <v>73104</v>
      </c>
      <c r="AF3" s="623" t="s">
        <v>952</v>
      </c>
      <c r="AG3" s="627">
        <v>7089987986</v>
      </c>
      <c r="AH3" s="494" t="s">
        <v>953</v>
      </c>
      <c r="AI3" s="625" t="s">
        <v>955</v>
      </c>
      <c r="AJ3" s="627">
        <v>73040</v>
      </c>
      <c r="AK3" s="623" t="s">
        <v>956</v>
      </c>
      <c r="AL3" s="627">
        <v>7087431691</v>
      </c>
      <c r="AM3" s="494" t="s">
        <v>786</v>
      </c>
      <c r="AN3" s="625" t="s">
        <v>901</v>
      </c>
      <c r="AO3" s="627">
        <v>22230</v>
      </c>
      <c r="AP3" s="623" t="s">
        <v>882</v>
      </c>
      <c r="AQ3" s="627">
        <v>7089327433</v>
      </c>
    </row>
    <row r="4" spans="1:43" x14ac:dyDescent="0.25">
      <c r="A4" s="625">
        <v>99</v>
      </c>
      <c r="B4" s="494" t="s">
        <v>944</v>
      </c>
      <c r="C4" s="625">
        <v>1010</v>
      </c>
      <c r="D4" s="494" t="s">
        <v>945</v>
      </c>
      <c r="E4" s="627">
        <v>9504641</v>
      </c>
      <c r="F4" s="627">
        <v>73085</v>
      </c>
      <c r="G4" s="494" t="s">
        <v>948</v>
      </c>
      <c r="S4" s="629">
        <f t="shared" si="0"/>
        <v>0.375</v>
      </c>
      <c r="T4" s="629">
        <f t="shared" si="1"/>
        <v>0.39583333333333331</v>
      </c>
      <c r="U4" s="494" t="s">
        <v>908</v>
      </c>
      <c r="V4" s="620" t="str">
        <f>Joliet_table[[#This Row],[TimeSlot_Start_text]]</f>
        <v>0900</v>
      </c>
      <c r="W4" s="621" t="s">
        <v>429</v>
      </c>
      <c r="X4" s="621" t="s">
        <v>425</v>
      </c>
      <c r="Y4" s="621" t="s">
        <v>429</v>
      </c>
      <c r="Z4" s="621"/>
      <c r="AA4" s="621" t="s">
        <v>425</v>
      </c>
      <c r="AB4" s="494" t="s">
        <v>1085</v>
      </c>
      <c r="AC4" s="494" t="s">
        <v>949</v>
      </c>
      <c r="AD4" s="625" t="s">
        <v>950</v>
      </c>
      <c r="AE4" s="627">
        <v>73104</v>
      </c>
      <c r="AF4" s="623" t="s">
        <v>952</v>
      </c>
      <c r="AG4" s="627">
        <v>7089987986</v>
      </c>
      <c r="AH4" s="494" t="s">
        <v>953</v>
      </c>
      <c r="AI4" s="625" t="s">
        <v>955</v>
      </c>
      <c r="AJ4" s="627">
        <v>73040</v>
      </c>
      <c r="AK4" s="623" t="s">
        <v>956</v>
      </c>
      <c r="AL4" s="627">
        <v>7087431691</v>
      </c>
      <c r="AM4" s="494" t="s">
        <v>786</v>
      </c>
      <c r="AN4" s="625" t="s">
        <v>901</v>
      </c>
      <c r="AO4" s="627">
        <v>22230</v>
      </c>
      <c r="AP4" s="623" t="s">
        <v>882</v>
      </c>
      <c r="AQ4" s="627">
        <v>7089327433</v>
      </c>
    </row>
    <row r="5" spans="1:43" x14ac:dyDescent="0.25">
      <c r="A5" s="625">
        <v>100</v>
      </c>
      <c r="B5" s="494" t="s">
        <v>944</v>
      </c>
      <c r="C5" s="625">
        <v>1010</v>
      </c>
      <c r="D5" s="494" t="s">
        <v>945</v>
      </c>
      <c r="E5" s="627">
        <v>9504641</v>
      </c>
      <c r="F5" s="627">
        <v>73085</v>
      </c>
      <c r="G5" s="494" t="s">
        <v>948</v>
      </c>
      <c r="S5" s="629">
        <f t="shared" si="0"/>
        <v>0.39583333333333331</v>
      </c>
      <c r="T5" s="629">
        <f t="shared" si="1"/>
        <v>0.41666666666666663</v>
      </c>
      <c r="U5" s="494" t="s">
        <v>909</v>
      </c>
      <c r="V5" s="620" t="str">
        <f>Joliet_table[[#This Row],[TimeSlot_Start_text]]</f>
        <v>0930</v>
      </c>
      <c r="W5" s="621" t="s">
        <v>429</v>
      </c>
      <c r="X5" s="621" t="s">
        <v>425</v>
      </c>
      <c r="Y5" s="621" t="s">
        <v>429</v>
      </c>
      <c r="Z5" s="621"/>
      <c r="AA5" s="621" t="s">
        <v>425</v>
      </c>
      <c r="AB5" s="494" t="s">
        <v>1086</v>
      </c>
      <c r="AC5" s="494" t="s">
        <v>949</v>
      </c>
      <c r="AD5" s="625" t="s">
        <v>950</v>
      </c>
      <c r="AE5" s="627">
        <v>73104</v>
      </c>
      <c r="AF5" s="623" t="s">
        <v>952</v>
      </c>
      <c r="AG5" s="627">
        <v>7089987986</v>
      </c>
      <c r="AH5" s="494" t="s">
        <v>953</v>
      </c>
      <c r="AI5" s="625" t="s">
        <v>955</v>
      </c>
      <c r="AJ5" s="627">
        <v>73040</v>
      </c>
      <c r="AK5" s="623" t="s">
        <v>956</v>
      </c>
      <c r="AL5" s="627">
        <v>7087431691</v>
      </c>
      <c r="AM5" s="494" t="s">
        <v>786</v>
      </c>
      <c r="AN5" s="625" t="s">
        <v>901</v>
      </c>
      <c r="AO5" s="627">
        <v>22230</v>
      </c>
      <c r="AP5" s="623" t="s">
        <v>882</v>
      </c>
      <c r="AQ5" s="627">
        <v>7089327433</v>
      </c>
    </row>
    <row r="6" spans="1:43" x14ac:dyDescent="0.25">
      <c r="A6" s="625">
        <v>101</v>
      </c>
      <c r="B6" s="494" t="s">
        <v>944</v>
      </c>
      <c r="C6" s="625">
        <v>1010</v>
      </c>
      <c r="D6" s="494" t="s">
        <v>945</v>
      </c>
      <c r="E6" s="627">
        <v>9504641</v>
      </c>
      <c r="F6" s="627">
        <v>73085</v>
      </c>
      <c r="G6" s="494" t="s">
        <v>948</v>
      </c>
      <c r="S6" s="629">
        <f t="shared" si="0"/>
        <v>0.41666666666666669</v>
      </c>
      <c r="T6" s="629">
        <f t="shared" si="1"/>
        <v>0.4375</v>
      </c>
      <c r="U6" s="494" t="s">
        <v>910</v>
      </c>
      <c r="V6" s="620" t="str">
        <f>Joliet_table[[#This Row],[TimeSlot_Start_text]]</f>
        <v>1000</v>
      </c>
      <c r="W6" s="621" t="s">
        <v>429</v>
      </c>
      <c r="X6" s="621" t="s">
        <v>425</v>
      </c>
      <c r="Y6" s="621" t="s">
        <v>429</v>
      </c>
      <c r="Z6" s="621"/>
      <c r="AA6" s="621" t="s">
        <v>425</v>
      </c>
      <c r="AB6" s="494" t="s">
        <v>1073</v>
      </c>
      <c r="AC6" s="494" t="s">
        <v>949</v>
      </c>
      <c r="AD6" s="625" t="s">
        <v>950</v>
      </c>
      <c r="AE6" s="627">
        <v>73104</v>
      </c>
      <c r="AF6" s="623" t="s">
        <v>952</v>
      </c>
      <c r="AG6" s="627">
        <v>7089987986</v>
      </c>
      <c r="AH6" s="494" t="s">
        <v>953</v>
      </c>
      <c r="AI6" s="625" t="s">
        <v>955</v>
      </c>
      <c r="AJ6" s="627">
        <v>73040</v>
      </c>
      <c r="AK6" s="623" t="s">
        <v>956</v>
      </c>
      <c r="AL6" s="627">
        <v>7087431691</v>
      </c>
      <c r="AM6" s="494" t="s">
        <v>786</v>
      </c>
      <c r="AN6" s="625" t="s">
        <v>901</v>
      </c>
      <c r="AO6" s="627">
        <v>22230</v>
      </c>
      <c r="AP6" s="623" t="s">
        <v>882</v>
      </c>
      <c r="AQ6" s="627">
        <v>7089327433</v>
      </c>
    </row>
    <row r="7" spans="1:43" x14ac:dyDescent="0.25">
      <c r="A7" s="625">
        <v>102</v>
      </c>
      <c r="B7" s="494" t="s">
        <v>944</v>
      </c>
      <c r="C7" s="625">
        <v>1010</v>
      </c>
      <c r="D7" s="494" t="s">
        <v>945</v>
      </c>
      <c r="E7" s="627">
        <v>9504641</v>
      </c>
      <c r="F7" s="627">
        <v>73085</v>
      </c>
      <c r="G7" s="494" t="s">
        <v>948</v>
      </c>
      <c r="S7" s="629">
        <f t="shared" si="0"/>
        <v>0.4375</v>
      </c>
      <c r="T7" s="629">
        <f t="shared" si="1"/>
        <v>0.45833333333333331</v>
      </c>
      <c r="U7" s="494" t="s">
        <v>911</v>
      </c>
      <c r="V7" s="620" t="str">
        <f>Joliet_table[[#This Row],[TimeSlot_Start_text]]</f>
        <v>1030</v>
      </c>
      <c r="W7" s="621" t="s">
        <v>429</v>
      </c>
      <c r="X7" s="621" t="s">
        <v>425</v>
      </c>
      <c r="Y7" s="621" t="s">
        <v>429</v>
      </c>
      <c r="Z7" s="621"/>
      <c r="AA7" s="621" t="s">
        <v>425</v>
      </c>
      <c r="AB7" s="494" t="s">
        <v>1074</v>
      </c>
      <c r="AC7" s="494" t="s">
        <v>949</v>
      </c>
      <c r="AD7" s="625" t="s">
        <v>950</v>
      </c>
      <c r="AE7" s="627">
        <v>73104</v>
      </c>
      <c r="AF7" s="623" t="s">
        <v>952</v>
      </c>
      <c r="AG7" s="627">
        <v>7089987986</v>
      </c>
      <c r="AH7" s="494" t="s">
        <v>953</v>
      </c>
      <c r="AI7" s="625" t="s">
        <v>955</v>
      </c>
      <c r="AJ7" s="627">
        <v>73040</v>
      </c>
      <c r="AK7" s="623" t="s">
        <v>956</v>
      </c>
      <c r="AL7" s="627">
        <v>7087431691</v>
      </c>
      <c r="AM7" s="494" t="s">
        <v>786</v>
      </c>
      <c r="AN7" s="625" t="s">
        <v>901</v>
      </c>
      <c r="AO7" s="627">
        <v>22230</v>
      </c>
      <c r="AP7" s="623" t="s">
        <v>882</v>
      </c>
      <c r="AQ7" s="627">
        <v>7089327433</v>
      </c>
    </row>
    <row r="8" spans="1:43" x14ac:dyDescent="0.25">
      <c r="A8" s="625">
        <v>103</v>
      </c>
      <c r="B8" s="494" t="s">
        <v>944</v>
      </c>
      <c r="C8" s="625">
        <v>1010</v>
      </c>
      <c r="D8" s="494" t="s">
        <v>945</v>
      </c>
      <c r="E8" s="627">
        <v>9504641</v>
      </c>
      <c r="F8" s="627">
        <v>73085</v>
      </c>
      <c r="G8" s="494" t="s">
        <v>948</v>
      </c>
      <c r="S8" s="629">
        <f t="shared" si="0"/>
        <v>0.45833333333333331</v>
      </c>
      <c r="T8" s="629">
        <f t="shared" si="1"/>
        <v>0.47916666666666663</v>
      </c>
      <c r="U8" s="494" t="s">
        <v>912</v>
      </c>
      <c r="V8" s="620" t="str">
        <f>Joliet_table[[#This Row],[TimeSlot_Start_text]]</f>
        <v>1100</v>
      </c>
      <c r="W8" s="621" t="s">
        <v>429</v>
      </c>
      <c r="X8" s="621"/>
      <c r="Y8" s="621"/>
      <c r="Z8" s="621"/>
      <c r="AA8" s="621" t="s">
        <v>425</v>
      </c>
      <c r="AB8" s="494" t="s">
        <v>1076</v>
      </c>
      <c r="AC8" s="494" t="s">
        <v>949</v>
      </c>
      <c r="AD8" s="625" t="s">
        <v>950</v>
      </c>
      <c r="AE8" s="627">
        <v>73104</v>
      </c>
      <c r="AF8" s="623" t="s">
        <v>952</v>
      </c>
      <c r="AG8" s="627">
        <v>7089987986</v>
      </c>
      <c r="AH8" s="494" t="s">
        <v>953</v>
      </c>
      <c r="AI8" s="625" t="s">
        <v>955</v>
      </c>
      <c r="AJ8" s="627">
        <v>73040</v>
      </c>
      <c r="AK8" s="623" t="s">
        <v>956</v>
      </c>
      <c r="AL8" s="627">
        <v>7087431691</v>
      </c>
      <c r="AM8" s="494" t="s">
        <v>786</v>
      </c>
      <c r="AN8" s="625" t="s">
        <v>901</v>
      </c>
      <c r="AO8" s="627">
        <v>22230</v>
      </c>
      <c r="AP8" s="623" t="s">
        <v>882</v>
      </c>
      <c r="AQ8" s="627">
        <v>7089327433</v>
      </c>
    </row>
    <row r="9" spans="1:43" x14ac:dyDescent="0.25">
      <c r="A9" s="625">
        <v>104</v>
      </c>
      <c r="B9" s="494" t="s">
        <v>944</v>
      </c>
      <c r="C9" s="625">
        <v>1010</v>
      </c>
      <c r="D9" s="494" t="s">
        <v>945</v>
      </c>
      <c r="E9" s="627">
        <v>9504641</v>
      </c>
      <c r="F9" s="627">
        <v>73085</v>
      </c>
      <c r="G9" s="494" t="s">
        <v>948</v>
      </c>
      <c r="S9" s="629">
        <f t="shared" si="0"/>
        <v>0.47916666666666669</v>
      </c>
      <c r="T9" s="629">
        <f t="shared" si="1"/>
        <v>0.5</v>
      </c>
      <c r="U9" s="494" t="s">
        <v>913</v>
      </c>
      <c r="V9" s="620" t="str">
        <f>Joliet_table[[#This Row],[TimeSlot_Start_text]]</f>
        <v>1130</v>
      </c>
      <c r="W9" s="621" t="s">
        <v>429</v>
      </c>
      <c r="X9" s="621"/>
      <c r="Y9" s="621"/>
      <c r="Z9" s="621"/>
      <c r="AA9" s="621" t="s">
        <v>425</v>
      </c>
      <c r="AB9" s="494" t="s">
        <v>1075</v>
      </c>
      <c r="AC9" s="494" t="s">
        <v>949</v>
      </c>
      <c r="AD9" s="625" t="s">
        <v>950</v>
      </c>
      <c r="AE9" s="627">
        <v>73104</v>
      </c>
      <c r="AF9" s="623" t="s">
        <v>952</v>
      </c>
      <c r="AG9" s="627">
        <v>7089987986</v>
      </c>
      <c r="AH9" s="494" t="s">
        <v>953</v>
      </c>
      <c r="AI9" s="625" t="s">
        <v>955</v>
      </c>
      <c r="AJ9" s="627">
        <v>73040</v>
      </c>
      <c r="AK9" s="623" t="s">
        <v>956</v>
      </c>
      <c r="AL9" s="627">
        <v>7087431691</v>
      </c>
      <c r="AM9" s="494" t="s">
        <v>786</v>
      </c>
      <c r="AN9" s="625" t="s">
        <v>901</v>
      </c>
      <c r="AO9" s="627">
        <v>22230</v>
      </c>
      <c r="AP9" s="623" t="s">
        <v>882</v>
      </c>
      <c r="AQ9" s="627">
        <v>7089327433</v>
      </c>
    </row>
    <row r="10" spans="1:43" ht="15" customHeight="1" x14ac:dyDescent="0.25">
      <c r="A10" s="625">
        <v>105</v>
      </c>
      <c r="B10" s="494" t="s">
        <v>944</v>
      </c>
      <c r="C10" s="625">
        <v>1010</v>
      </c>
      <c r="D10" s="494" t="s">
        <v>945</v>
      </c>
      <c r="E10" s="627">
        <v>9504641</v>
      </c>
      <c r="F10" s="627">
        <v>73085</v>
      </c>
      <c r="G10" s="494" t="s">
        <v>948</v>
      </c>
      <c r="S10" s="629">
        <f t="shared" si="0"/>
        <v>0.5</v>
      </c>
      <c r="T10" s="629">
        <f t="shared" si="1"/>
        <v>0.52083333333333337</v>
      </c>
      <c r="U10" s="494" t="s">
        <v>914</v>
      </c>
      <c r="V10" s="620" t="str">
        <f>Joliet_table[[#This Row],[TimeSlot_Start_text]]</f>
        <v>1200</v>
      </c>
      <c r="W10" s="621" t="s">
        <v>354</v>
      </c>
      <c r="X10" s="621" t="s">
        <v>354</v>
      </c>
      <c r="Y10" s="621" t="s">
        <v>354</v>
      </c>
      <c r="Z10" s="621" t="s">
        <v>354</v>
      </c>
      <c r="AA10" s="621" t="s">
        <v>354</v>
      </c>
      <c r="AB10" s="494" t="s">
        <v>1077</v>
      </c>
      <c r="AC10" s="494" t="s">
        <v>949</v>
      </c>
      <c r="AD10" s="625" t="s">
        <v>950</v>
      </c>
      <c r="AE10" s="627">
        <v>73104</v>
      </c>
      <c r="AF10" s="623" t="s">
        <v>952</v>
      </c>
      <c r="AG10" s="627">
        <v>7089987986</v>
      </c>
      <c r="AH10" s="494" t="s">
        <v>953</v>
      </c>
      <c r="AI10" s="625" t="s">
        <v>955</v>
      </c>
      <c r="AJ10" s="627">
        <v>73040</v>
      </c>
      <c r="AK10" s="623" t="s">
        <v>956</v>
      </c>
      <c r="AL10" s="627">
        <v>7087431691</v>
      </c>
      <c r="AM10" s="494" t="s">
        <v>786</v>
      </c>
      <c r="AN10" s="625" t="s">
        <v>901</v>
      </c>
      <c r="AO10" s="627">
        <v>22230</v>
      </c>
      <c r="AP10" s="623" t="s">
        <v>882</v>
      </c>
      <c r="AQ10" s="627">
        <v>7089327433</v>
      </c>
    </row>
    <row r="11" spans="1:43" ht="15.75" customHeight="1" x14ac:dyDescent="0.25">
      <c r="A11" s="625">
        <v>106</v>
      </c>
      <c r="B11" s="494" t="s">
        <v>944</v>
      </c>
      <c r="C11" s="625">
        <v>1010</v>
      </c>
      <c r="D11" s="494" t="s">
        <v>945</v>
      </c>
      <c r="E11" s="627">
        <v>9504641</v>
      </c>
      <c r="F11" s="627">
        <v>73085</v>
      </c>
      <c r="G11" s="494" t="s">
        <v>948</v>
      </c>
      <c r="S11" s="629">
        <f t="shared" si="0"/>
        <v>0.52083333333333337</v>
      </c>
      <c r="T11" s="629">
        <f t="shared" si="1"/>
        <v>0.54166666666666674</v>
      </c>
      <c r="U11" s="494" t="s">
        <v>915</v>
      </c>
      <c r="V11" s="620" t="str">
        <f>Joliet_table[[#This Row],[TimeSlot_Start_text]]</f>
        <v>1230</v>
      </c>
      <c r="W11" s="621" t="s">
        <v>354</v>
      </c>
      <c r="X11" s="621" t="s">
        <v>354</v>
      </c>
      <c r="Y11" s="621" t="s">
        <v>354</v>
      </c>
      <c r="Z11" s="621" t="s">
        <v>354</v>
      </c>
      <c r="AA11" s="621" t="s">
        <v>354</v>
      </c>
      <c r="AB11" s="494" t="s">
        <v>1078</v>
      </c>
      <c r="AC11" s="494" t="s">
        <v>949</v>
      </c>
      <c r="AD11" s="625" t="s">
        <v>950</v>
      </c>
      <c r="AE11" s="627">
        <v>73104</v>
      </c>
      <c r="AF11" s="623" t="s">
        <v>952</v>
      </c>
      <c r="AG11" s="627">
        <v>7089987986</v>
      </c>
      <c r="AH11" s="494" t="s">
        <v>953</v>
      </c>
      <c r="AI11" s="625" t="s">
        <v>955</v>
      </c>
      <c r="AJ11" s="627">
        <v>73040</v>
      </c>
      <c r="AK11" s="623" t="s">
        <v>956</v>
      </c>
      <c r="AL11" s="627">
        <v>7087431691</v>
      </c>
      <c r="AM11" s="494" t="s">
        <v>786</v>
      </c>
      <c r="AN11" s="625" t="s">
        <v>901</v>
      </c>
      <c r="AO11" s="627">
        <v>22230</v>
      </c>
      <c r="AP11" s="623" t="s">
        <v>882</v>
      </c>
      <c r="AQ11" s="627">
        <v>7089327433</v>
      </c>
    </row>
    <row r="12" spans="1:43" x14ac:dyDescent="0.25">
      <c r="A12" s="625">
        <v>107</v>
      </c>
      <c r="B12" s="494" t="s">
        <v>944</v>
      </c>
      <c r="C12" s="625">
        <v>1010</v>
      </c>
      <c r="D12" s="494" t="s">
        <v>945</v>
      </c>
      <c r="E12" s="627">
        <v>9504641</v>
      </c>
      <c r="F12" s="627">
        <v>73085</v>
      </c>
      <c r="G12" s="494" t="s">
        <v>948</v>
      </c>
      <c r="S12" s="629">
        <f t="shared" si="0"/>
        <v>0.54166666666666663</v>
      </c>
      <c r="T12" s="629">
        <f t="shared" si="1"/>
        <v>0.5625</v>
      </c>
      <c r="U12" s="494" t="s">
        <v>916</v>
      </c>
      <c r="V12" s="620" t="str">
        <f>Joliet_table[[#This Row],[TimeSlot_Start_text]]</f>
        <v>1300</v>
      </c>
      <c r="W12" s="621" t="s">
        <v>429</v>
      </c>
      <c r="X12" s="621" t="s">
        <v>425</v>
      </c>
      <c r="Y12" s="621" t="s">
        <v>429</v>
      </c>
      <c r="Z12" s="621"/>
      <c r="AA12" s="621"/>
      <c r="AB12" s="494" t="s">
        <v>1071</v>
      </c>
      <c r="AC12" s="494" t="s">
        <v>949</v>
      </c>
      <c r="AD12" s="625" t="s">
        <v>950</v>
      </c>
      <c r="AE12" s="627">
        <v>73104</v>
      </c>
      <c r="AF12" s="623" t="s">
        <v>952</v>
      </c>
      <c r="AG12" s="627">
        <v>7089987986</v>
      </c>
      <c r="AH12" s="494" t="s">
        <v>953</v>
      </c>
      <c r="AI12" s="625" t="s">
        <v>955</v>
      </c>
      <c r="AJ12" s="627">
        <v>73040</v>
      </c>
      <c r="AK12" s="623" t="s">
        <v>956</v>
      </c>
      <c r="AL12" s="627">
        <v>7087431691</v>
      </c>
      <c r="AM12" s="494" t="s">
        <v>786</v>
      </c>
      <c r="AN12" s="625" t="s">
        <v>901</v>
      </c>
      <c r="AO12" s="627">
        <v>22230</v>
      </c>
      <c r="AP12" s="623" t="s">
        <v>882</v>
      </c>
      <c r="AQ12" s="627">
        <v>7089327433</v>
      </c>
    </row>
    <row r="13" spans="1:43" x14ac:dyDescent="0.25">
      <c r="A13" s="625">
        <v>108</v>
      </c>
      <c r="B13" s="494" t="s">
        <v>944</v>
      </c>
      <c r="C13" s="625">
        <v>1010</v>
      </c>
      <c r="D13" s="494" t="s">
        <v>945</v>
      </c>
      <c r="E13" s="627">
        <v>9504641</v>
      </c>
      <c r="F13" s="627">
        <v>73085</v>
      </c>
      <c r="G13" s="494" t="s">
        <v>948</v>
      </c>
      <c r="S13" s="629">
        <f t="shared" si="0"/>
        <v>0.5625</v>
      </c>
      <c r="T13" s="629">
        <f t="shared" si="1"/>
        <v>0.58333333333333337</v>
      </c>
      <c r="U13" s="494" t="s">
        <v>917</v>
      </c>
      <c r="V13" s="620" t="str">
        <f>Joliet_table[[#This Row],[TimeSlot_Start_text]]</f>
        <v>1330</v>
      </c>
      <c r="W13" s="621" t="s">
        <v>429</v>
      </c>
      <c r="X13" s="621" t="s">
        <v>425</v>
      </c>
      <c r="Y13" s="621" t="s">
        <v>429</v>
      </c>
      <c r="Z13" s="621"/>
      <c r="AA13" s="621"/>
      <c r="AB13" s="494" t="s">
        <v>1072</v>
      </c>
      <c r="AC13" s="494" t="s">
        <v>949</v>
      </c>
      <c r="AD13" s="625" t="s">
        <v>950</v>
      </c>
      <c r="AE13" s="627">
        <v>73104</v>
      </c>
      <c r="AF13" s="623" t="s">
        <v>952</v>
      </c>
      <c r="AG13" s="627">
        <v>7089987986</v>
      </c>
      <c r="AH13" s="494" t="s">
        <v>953</v>
      </c>
      <c r="AI13" s="625" t="s">
        <v>955</v>
      </c>
      <c r="AJ13" s="627">
        <v>73040</v>
      </c>
      <c r="AK13" s="623" t="s">
        <v>956</v>
      </c>
      <c r="AL13" s="627">
        <v>7087431691</v>
      </c>
      <c r="AM13" s="494" t="s">
        <v>786</v>
      </c>
      <c r="AN13" s="625" t="s">
        <v>901</v>
      </c>
      <c r="AO13" s="627">
        <v>22230</v>
      </c>
      <c r="AP13" s="623" t="s">
        <v>882</v>
      </c>
      <c r="AQ13" s="627">
        <v>7089327433</v>
      </c>
    </row>
    <row r="14" spans="1:43" x14ac:dyDescent="0.25">
      <c r="A14" s="625">
        <v>109</v>
      </c>
      <c r="B14" s="494" t="s">
        <v>944</v>
      </c>
      <c r="C14" s="625">
        <v>1010</v>
      </c>
      <c r="D14" s="494" t="s">
        <v>945</v>
      </c>
      <c r="E14" s="627">
        <v>9504641</v>
      </c>
      <c r="F14" s="627">
        <v>73085</v>
      </c>
      <c r="G14" s="494" t="s">
        <v>948</v>
      </c>
      <c r="S14" s="629">
        <f t="shared" si="0"/>
        <v>0.58333333333333337</v>
      </c>
      <c r="T14" s="629">
        <f t="shared" si="1"/>
        <v>0.60416666666666674</v>
      </c>
      <c r="U14" s="494" t="s">
        <v>918</v>
      </c>
      <c r="V14" s="620" t="str">
        <f>Joliet_table[[#This Row],[TimeSlot_Start_text]]</f>
        <v>1400</v>
      </c>
      <c r="W14" s="621" t="s">
        <v>429</v>
      </c>
      <c r="X14" s="621" t="s">
        <v>425</v>
      </c>
      <c r="Y14" s="621" t="s">
        <v>429</v>
      </c>
      <c r="Z14" s="621"/>
      <c r="AA14" s="621"/>
      <c r="AB14" s="494" t="s">
        <v>1079</v>
      </c>
      <c r="AC14" s="494" t="s">
        <v>949</v>
      </c>
      <c r="AD14" s="625" t="s">
        <v>950</v>
      </c>
      <c r="AE14" s="627">
        <v>73104</v>
      </c>
      <c r="AF14" s="623" t="s">
        <v>952</v>
      </c>
      <c r="AG14" s="627">
        <v>7089987986</v>
      </c>
      <c r="AH14" s="494" t="s">
        <v>953</v>
      </c>
      <c r="AI14" s="625" t="s">
        <v>955</v>
      </c>
      <c r="AJ14" s="627">
        <v>73040</v>
      </c>
      <c r="AK14" s="623" t="s">
        <v>956</v>
      </c>
      <c r="AL14" s="627">
        <v>7087431691</v>
      </c>
      <c r="AM14" s="494" t="s">
        <v>786</v>
      </c>
      <c r="AN14" s="625" t="s">
        <v>901</v>
      </c>
      <c r="AO14" s="627">
        <v>22230</v>
      </c>
      <c r="AP14" s="623" t="s">
        <v>882</v>
      </c>
      <c r="AQ14" s="627">
        <v>7089327433</v>
      </c>
    </row>
    <row r="15" spans="1:43" x14ac:dyDescent="0.25">
      <c r="A15" s="625">
        <v>110</v>
      </c>
      <c r="B15" s="494" t="s">
        <v>944</v>
      </c>
      <c r="C15" s="625">
        <v>1010</v>
      </c>
      <c r="D15" s="494" t="s">
        <v>945</v>
      </c>
      <c r="E15" s="627">
        <v>9504641</v>
      </c>
      <c r="F15" s="627">
        <v>73085</v>
      </c>
      <c r="G15" s="494" t="s">
        <v>948</v>
      </c>
      <c r="S15" s="629">
        <f t="shared" si="0"/>
        <v>0.60416666666666663</v>
      </c>
      <c r="T15" s="629">
        <f t="shared" si="1"/>
        <v>0.625</v>
      </c>
      <c r="U15" s="494" t="s">
        <v>919</v>
      </c>
      <c r="V15" s="620" t="str">
        <f>Joliet_table[[#This Row],[TimeSlot_Start_text]]</f>
        <v>1430</v>
      </c>
      <c r="W15" s="621" t="s">
        <v>429</v>
      </c>
      <c r="X15" s="621" t="s">
        <v>425</v>
      </c>
      <c r="Y15" s="621" t="s">
        <v>429</v>
      </c>
      <c r="Z15" s="621" t="s">
        <v>446</v>
      </c>
      <c r="AA15" s="621"/>
      <c r="AB15" s="494" t="s">
        <v>1080</v>
      </c>
      <c r="AC15" s="494" t="s">
        <v>949</v>
      </c>
      <c r="AD15" s="625" t="s">
        <v>950</v>
      </c>
      <c r="AE15" s="627">
        <v>73104</v>
      </c>
      <c r="AF15" s="623" t="s">
        <v>952</v>
      </c>
      <c r="AG15" s="627">
        <v>7089987986</v>
      </c>
      <c r="AH15" s="494" t="s">
        <v>953</v>
      </c>
      <c r="AI15" s="625" t="s">
        <v>955</v>
      </c>
      <c r="AJ15" s="627">
        <v>73040</v>
      </c>
      <c r="AK15" s="623" t="s">
        <v>956</v>
      </c>
      <c r="AL15" s="627">
        <v>7087431691</v>
      </c>
      <c r="AM15" s="494" t="s">
        <v>786</v>
      </c>
      <c r="AN15" s="625" t="s">
        <v>901</v>
      </c>
      <c r="AO15" s="627">
        <v>22230</v>
      </c>
      <c r="AP15" s="623" t="s">
        <v>882</v>
      </c>
      <c r="AQ15" s="627">
        <v>7089327433</v>
      </c>
    </row>
    <row r="16" spans="1:43" x14ac:dyDescent="0.25">
      <c r="A16" s="625">
        <v>111</v>
      </c>
      <c r="B16" s="494" t="s">
        <v>944</v>
      </c>
      <c r="C16" s="625">
        <v>1010</v>
      </c>
      <c r="D16" s="494" t="s">
        <v>945</v>
      </c>
      <c r="E16" s="627">
        <v>9504641</v>
      </c>
      <c r="F16" s="627">
        <v>73085</v>
      </c>
      <c r="G16" s="494" t="s">
        <v>948</v>
      </c>
      <c r="S16" s="629">
        <f t="shared" si="0"/>
        <v>0.625</v>
      </c>
      <c r="T16" s="629">
        <f t="shared" si="1"/>
        <v>0.64583333333333337</v>
      </c>
      <c r="U16" s="494" t="s">
        <v>920</v>
      </c>
      <c r="V16" s="620" t="str">
        <f>Joliet_table[[#This Row],[TimeSlot_Start_text]]</f>
        <v>1500</v>
      </c>
      <c r="W16" s="621" t="s">
        <v>429</v>
      </c>
      <c r="X16" s="621" t="s">
        <v>425</v>
      </c>
      <c r="Y16" s="621" t="s">
        <v>429</v>
      </c>
      <c r="Z16" s="621" t="s">
        <v>446</v>
      </c>
      <c r="AA16" s="621"/>
      <c r="AB16" s="494" t="s">
        <v>1081</v>
      </c>
      <c r="AC16" s="494" t="s">
        <v>949</v>
      </c>
      <c r="AD16" s="625" t="s">
        <v>950</v>
      </c>
      <c r="AE16" s="627">
        <v>73104</v>
      </c>
      <c r="AF16" s="623" t="s">
        <v>952</v>
      </c>
      <c r="AG16" s="627">
        <v>7089987986</v>
      </c>
      <c r="AH16" s="494" t="s">
        <v>953</v>
      </c>
      <c r="AI16" s="625" t="s">
        <v>955</v>
      </c>
      <c r="AJ16" s="627">
        <v>73040</v>
      </c>
      <c r="AK16" s="623" t="s">
        <v>956</v>
      </c>
      <c r="AL16" s="627">
        <v>7087431691</v>
      </c>
      <c r="AM16" s="494" t="s">
        <v>786</v>
      </c>
      <c r="AN16" s="625" t="s">
        <v>901</v>
      </c>
      <c r="AO16" s="627">
        <v>22230</v>
      </c>
      <c r="AP16" s="623" t="s">
        <v>882</v>
      </c>
      <c r="AQ16" s="627">
        <v>7089327433</v>
      </c>
    </row>
    <row r="17" spans="1:43" x14ac:dyDescent="0.25">
      <c r="A17" s="625">
        <v>112</v>
      </c>
      <c r="B17" s="494" t="s">
        <v>944</v>
      </c>
      <c r="C17" s="625">
        <v>1010</v>
      </c>
      <c r="D17" s="494" t="s">
        <v>945</v>
      </c>
      <c r="E17" s="627">
        <v>9504641</v>
      </c>
      <c r="F17" s="627">
        <v>73085</v>
      </c>
      <c r="G17" s="494" t="s">
        <v>948</v>
      </c>
      <c r="S17" s="629">
        <f t="shared" si="0"/>
        <v>0.64583333333333337</v>
      </c>
      <c r="T17" s="629">
        <f t="shared" si="1"/>
        <v>0.66666666666666674</v>
      </c>
      <c r="U17" s="494" t="s">
        <v>921</v>
      </c>
      <c r="V17" s="620" t="str">
        <f>Joliet_table[[#This Row],[TimeSlot_Start_text]]</f>
        <v>1530</v>
      </c>
      <c r="W17" s="621" t="s">
        <v>429</v>
      </c>
      <c r="X17" s="621" t="s">
        <v>425</v>
      </c>
      <c r="Y17" s="621" t="s">
        <v>429</v>
      </c>
      <c r="Z17" s="621" t="s">
        <v>446</v>
      </c>
      <c r="AA17" s="621"/>
      <c r="AB17" s="494" t="s">
        <v>1082</v>
      </c>
      <c r="AC17" s="494" t="s">
        <v>949</v>
      </c>
      <c r="AD17" s="625" t="s">
        <v>950</v>
      </c>
      <c r="AE17" s="627">
        <v>73104</v>
      </c>
      <c r="AF17" s="623" t="s">
        <v>952</v>
      </c>
      <c r="AG17" s="627">
        <v>7089987986</v>
      </c>
      <c r="AH17" s="494" t="s">
        <v>953</v>
      </c>
      <c r="AI17" s="625" t="s">
        <v>955</v>
      </c>
      <c r="AJ17" s="627">
        <v>73040</v>
      </c>
      <c r="AK17" s="623" t="s">
        <v>956</v>
      </c>
      <c r="AL17" s="627">
        <v>7087431691</v>
      </c>
      <c r="AM17" s="494" t="s">
        <v>786</v>
      </c>
      <c r="AN17" s="625" t="s">
        <v>901</v>
      </c>
      <c r="AO17" s="627">
        <v>22230</v>
      </c>
      <c r="AP17" s="623" t="s">
        <v>882</v>
      </c>
      <c r="AQ17" s="627">
        <v>7089327433</v>
      </c>
    </row>
    <row r="18" spans="1:43" ht="15" customHeight="1" x14ac:dyDescent="0.25">
      <c r="A18" s="625">
        <v>113</v>
      </c>
      <c r="B18" s="494" t="s">
        <v>944</v>
      </c>
      <c r="C18" s="625">
        <v>1011</v>
      </c>
      <c r="D18" s="494" t="s">
        <v>966</v>
      </c>
      <c r="E18" s="627">
        <v>9504642</v>
      </c>
      <c r="F18" s="627">
        <v>73086</v>
      </c>
      <c r="G18" s="494" t="s">
        <v>969</v>
      </c>
      <c r="S18" s="629">
        <f t="shared" si="0"/>
        <v>0.33333333333333331</v>
      </c>
      <c r="T18" s="629">
        <f t="shared" si="1"/>
        <v>0.35416666666666663</v>
      </c>
      <c r="U18" s="494" t="s">
        <v>906</v>
      </c>
      <c r="V18" s="620" t="str">
        <f>Joliet_table[[#This Row],[TimeSlot_Start_text]]</f>
        <v>0800</v>
      </c>
      <c r="W18" s="621"/>
      <c r="X18" s="621" t="s">
        <v>381</v>
      </c>
      <c r="Y18" s="621" t="s">
        <v>381</v>
      </c>
      <c r="Z18" s="621"/>
      <c r="AA18" s="621"/>
      <c r="AB18" s="494" t="s">
        <v>1083</v>
      </c>
      <c r="AC18" s="494" t="s">
        <v>949</v>
      </c>
      <c r="AD18" s="625" t="s">
        <v>950</v>
      </c>
      <c r="AE18" s="627">
        <v>73104</v>
      </c>
      <c r="AF18" s="623" t="s">
        <v>952</v>
      </c>
      <c r="AG18" s="627">
        <v>7089987986</v>
      </c>
      <c r="AH18" s="494" t="s">
        <v>953</v>
      </c>
      <c r="AI18" s="625" t="s">
        <v>955</v>
      </c>
      <c r="AJ18" s="627">
        <v>73040</v>
      </c>
      <c r="AK18" s="623" t="s">
        <v>956</v>
      </c>
      <c r="AL18" s="627">
        <v>7087431691</v>
      </c>
      <c r="AM18" s="494" t="s">
        <v>786</v>
      </c>
      <c r="AN18" s="625" t="s">
        <v>901</v>
      </c>
      <c r="AO18" s="627">
        <v>22230</v>
      </c>
      <c r="AP18" s="623" t="s">
        <v>882</v>
      </c>
      <c r="AQ18" s="627">
        <v>7089327433</v>
      </c>
    </row>
    <row r="19" spans="1:43" ht="15" customHeight="1" x14ac:dyDescent="0.25">
      <c r="A19" s="625">
        <v>114</v>
      </c>
      <c r="B19" s="494" t="s">
        <v>944</v>
      </c>
      <c r="C19" s="625">
        <v>1011</v>
      </c>
      <c r="D19" s="494" t="s">
        <v>966</v>
      </c>
      <c r="E19" s="627">
        <v>9504642</v>
      </c>
      <c r="F19" s="627">
        <v>73086</v>
      </c>
      <c r="G19" s="494" t="s">
        <v>969</v>
      </c>
      <c r="S19" s="629">
        <f t="shared" si="0"/>
        <v>0.35416666666666669</v>
      </c>
      <c r="T19" s="629">
        <f t="shared" si="1"/>
        <v>0.375</v>
      </c>
      <c r="U19" s="494" t="s">
        <v>907</v>
      </c>
      <c r="V19" s="620" t="str">
        <f>Joliet_table[[#This Row],[TimeSlot_Start_text]]</f>
        <v>0830</v>
      </c>
      <c r="W19" s="621"/>
      <c r="X19" s="621" t="s">
        <v>381</v>
      </c>
      <c r="Y19" s="621" t="s">
        <v>381</v>
      </c>
      <c r="Z19" s="621"/>
      <c r="AA19" s="621"/>
      <c r="AB19" s="494" t="s">
        <v>1084</v>
      </c>
      <c r="AC19" s="494" t="s">
        <v>949</v>
      </c>
      <c r="AD19" s="625" t="s">
        <v>950</v>
      </c>
      <c r="AE19" s="627">
        <v>73104</v>
      </c>
      <c r="AF19" s="623" t="s">
        <v>952</v>
      </c>
      <c r="AG19" s="627">
        <v>7089987986</v>
      </c>
      <c r="AH19" s="494" t="s">
        <v>953</v>
      </c>
      <c r="AI19" s="625" t="s">
        <v>955</v>
      </c>
      <c r="AJ19" s="627">
        <v>73040</v>
      </c>
      <c r="AK19" s="623" t="s">
        <v>956</v>
      </c>
      <c r="AL19" s="627">
        <v>7087431691</v>
      </c>
      <c r="AM19" s="494" t="s">
        <v>786</v>
      </c>
      <c r="AN19" s="625" t="s">
        <v>901</v>
      </c>
      <c r="AO19" s="627">
        <v>22230</v>
      </c>
      <c r="AP19" s="623" t="s">
        <v>882</v>
      </c>
      <c r="AQ19" s="627">
        <v>7089327433</v>
      </c>
    </row>
    <row r="20" spans="1:43" ht="15" customHeight="1" x14ac:dyDescent="0.25">
      <c r="A20" s="625">
        <v>115</v>
      </c>
      <c r="B20" s="494" t="s">
        <v>944</v>
      </c>
      <c r="C20" s="625">
        <v>1011</v>
      </c>
      <c r="D20" s="494" t="s">
        <v>966</v>
      </c>
      <c r="E20" s="627">
        <v>9504642</v>
      </c>
      <c r="F20" s="627">
        <v>73086</v>
      </c>
      <c r="G20" s="494" t="s">
        <v>969</v>
      </c>
      <c r="S20" s="629">
        <f t="shared" si="0"/>
        <v>0.375</v>
      </c>
      <c r="T20" s="629">
        <f t="shared" si="1"/>
        <v>0.39583333333333331</v>
      </c>
      <c r="U20" s="494" t="s">
        <v>908</v>
      </c>
      <c r="V20" s="620" t="str">
        <f>Joliet_table[[#This Row],[TimeSlot_Start_text]]</f>
        <v>0900</v>
      </c>
      <c r="W20" s="621" t="s">
        <v>381</v>
      </c>
      <c r="X20" s="621"/>
      <c r="Y20" s="621" t="s">
        <v>431</v>
      </c>
      <c r="Z20" s="621" t="s">
        <v>431</v>
      </c>
      <c r="AA20" s="621"/>
      <c r="AB20" s="494" t="s">
        <v>1085</v>
      </c>
      <c r="AC20" s="494" t="s">
        <v>949</v>
      </c>
      <c r="AD20" s="625" t="s">
        <v>950</v>
      </c>
      <c r="AE20" s="627">
        <v>73104</v>
      </c>
      <c r="AF20" s="623" t="s">
        <v>952</v>
      </c>
      <c r="AG20" s="627">
        <v>7089987986</v>
      </c>
      <c r="AH20" s="494" t="s">
        <v>953</v>
      </c>
      <c r="AI20" s="625" t="s">
        <v>955</v>
      </c>
      <c r="AJ20" s="627">
        <v>73040</v>
      </c>
      <c r="AK20" s="623" t="s">
        <v>956</v>
      </c>
      <c r="AL20" s="627">
        <v>7087431691</v>
      </c>
      <c r="AM20" s="494" t="s">
        <v>786</v>
      </c>
      <c r="AN20" s="625" t="s">
        <v>901</v>
      </c>
      <c r="AO20" s="627">
        <v>22230</v>
      </c>
      <c r="AP20" s="623" t="s">
        <v>882</v>
      </c>
      <c r="AQ20" s="627">
        <v>7089327433</v>
      </c>
    </row>
    <row r="21" spans="1:43" ht="15" customHeight="1" x14ac:dyDescent="0.25">
      <c r="A21" s="625">
        <v>116</v>
      </c>
      <c r="B21" s="494" t="s">
        <v>944</v>
      </c>
      <c r="C21" s="625">
        <v>1011</v>
      </c>
      <c r="D21" s="494" t="s">
        <v>966</v>
      </c>
      <c r="E21" s="627">
        <v>9504642</v>
      </c>
      <c r="F21" s="627">
        <v>73086</v>
      </c>
      <c r="G21" s="494" t="s">
        <v>969</v>
      </c>
      <c r="S21" s="629">
        <f t="shared" si="0"/>
        <v>0.39583333333333331</v>
      </c>
      <c r="T21" s="629">
        <f t="shared" si="1"/>
        <v>0.41666666666666663</v>
      </c>
      <c r="U21" s="494" t="s">
        <v>909</v>
      </c>
      <c r="V21" s="620" t="str">
        <f>Joliet_table[[#This Row],[TimeSlot_Start_text]]</f>
        <v>0930</v>
      </c>
      <c r="W21" s="621" t="s">
        <v>381</v>
      </c>
      <c r="X21" s="621"/>
      <c r="Y21" s="621" t="s">
        <v>431</v>
      </c>
      <c r="Z21" s="621" t="s">
        <v>431</v>
      </c>
      <c r="AA21" s="621"/>
      <c r="AB21" s="494" t="s">
        <v>1086</v>
      </c>
      <c r="AC21" s="494" t="s">
        <v>949</v>
      </c>
      <c r="AD21" s="625" t="s">
        <v>950</v>
      </c>
      <c r="AE21" s="627">
        <v>73104</v>
      </c>
      <c r="AF21" s="623" t="s">
        <v>952</v>
      </c>
      <c r="AG21" s="627">
        <v>7089987986</v>
      </c>
      <c r="AH21" s="494" t="s">
        <v>953</v>
      </c>
      <c r="AI21" s="625" t="s">
        <v>955</v>
      </c>
      <c r="AJ21" s="627">
        <v>73040</v>
      </c>
      <c r="AK21" s="623" t="s">
        <v>956</v>
      </c>
      <c r="AL21" s="627">
        <v>7087431691</v>
      </c>
      <c r="AM21" s="494" t="s">
        <v>786</v>
      </c>
      <c r="AN21" s="625" t="s">
        <v>901</v>
      </c>
      <c r="AO21" s="627">
        <v>22230</v>
      </c>
      <c r="AP21" s="623" t="s">
        <v>882</v>
      </c>
      <c r="AQ21" s="627">
        <v>7089327433</v>
      </c>
    </row>
    <row r="22" spans="1:43" x14ac:dyDescent="0.25">
      <c r="A22" s="625">
        <v>117</v>
      </c>
      <c r="B22" s="494" t="s">
        <v>944</v>
      </c>
      <c r="C22" s="625">
        <v>1011</v>
      </c>
      <c r="D22" s="494" t="s">
        <v>966</v>
      </c>
      <c r="E22" s="627">
        <v>9504642</v>
      </c>
      <c r="F22" s="627">
        <v>73086</v>
      </c>
      <c r="G22" s="494" t="s">
        <v>969</v>
      </c>
      <c r="S22" s="629">
        <f t="shared" si="0"/>
        <v>0.41666666666666669</v>
      </c>
      <c r="T22" s="629">
        <f t="shared" si="1"/>
        <v>0.4375</v>
      </c>
      <c r="U22" s="494" t="s">
        <v>910</v>
      </c>
      <c r="V22" s="620" t="str">
        <f>Joliet_table[[#This Row],[TimeSlot_Start_text]]</f>
        <v>1000</v>
      </c>
      <c r="W22" s="621"/>
      <c r="X22" s="621"/>
      <c r="Y22" s="621"/>
      <c r="Z22" s="621" t="s">
        <v>431</v>
      </c>
      <c r="AA22" s="621"/>
      <c r="AB22" s="494" t="s">
        <v>1073</v>
      </c>
      <c r="AC22" s="494" t="s">
        <v>949</v>
      </c>
      <c r="AD22" s="625" t="s">
        <v>950</v>
      </c>
      <c r="AE22" s="627">
        <v>73104</v>
      </c>
      <c r="AF22" s="623" t="s">
        <v>952</v>
      </c>
      <c r="AG22" s="627">
        <v>7089987986</v>
      </c>
      <c r="AH22" s="494" t="s">
        <v>953</v>
      </c>
      <c r="AI22" s="625" t="s">
        <v>955</v>
      </c>
      <c r="AJ22" s="627">
        <v>73040</v>
      </c>
      <c r="AK22" s="623" t="s">
        <v>956</v>
      </c>
      <c r="AL22" s="627">
        <v>7087431691</v>
      </c>
      <c r="AM22" s="494" t="s">
        <v>786</v>
      </c>
      <c r="AN22" s="625" t="s">
        <v>901</v>
      </c>
      <c r="AO22" s="627">
        <v>22230</v>
      </c>
      <c r="AP22" s="623" t="s">
        <v>882</v>
      </c>
      <c r="AQ22" s="627">
        <v>7089327433</v>
      </c>
    </row>
    <row r="23" spans="1:43" x14ac:dyDescent="0.25">
      <c r="A23" s="625">
        <v>118</v>
      </c>
      <c r="B23" s="494" t="s">
        <v>944</v>
      </c>
      <c r="C23" s="625">
        <v>1011</v>
      </c>
      <c r="D23" s="494" t="s">
        <v>966</v>
      </c>
      <c r="E23" s="627">
        <v>9504642</v>
      </c>
      <c r="F23" s="627">
        <v>73086</v>
      </c>
      <c r="G23" s="494" t="s">
        <v>969</v>
      </c>
      <c r="S23" s="629">
        <f t="shared" si="0"/>
        <v>0.4375</v>
      </c>
      <c r="T23" s="629">
        <f t="shared" si="1"/>
        <v>0.45833333333333331</v>
      </c>
      <c r="U23" s="494" t="s">
        <v>911</v>
      </c>
      <c r="V23" s="620" t="str">
        <f>Joliet_table[[#This Row],[TimeSlot_Start_text]]</f>
        <v>1030</v>
      </c>
      <c r="W23" s="621"/>
      <c r="X23" s="621"/>
      <c r="Y23" s="621" t="s">
        <v>381</v>
      </c>
      <c r="Z23" s="621" t="s">
        <v>431</v>
      </c>
      <c r="AA23" s="621"/>
      <c r="AB23" s="494" t="s">
        <v>1074</v>
      </c>
      <c r="AC23" s="494" t="s">
        <v>949</v>
      </c>
      <c r="AD23" s="625" t="s">
        <v>950</v>
      </c>
      <c r="AE23" s="627">
        <v>73104</v>
      </c>
      <c r="AF23" s="623" t="s">
        <v>952</v>
      </c>
      <c r="AG23" s="627">
        <v>7089987986</v>
      </c>
      <c r="AH23" s="494" t="s">
        <v>953</v>
      </c>
      <c r="AI23" s="625" t="s">
        <v>955</v>
      </c>
      <c r="AJ23" s="627">
        <v>73040</v>
      </c>
      <c r="AK23" s="623" t="s">
        <v>956</v>
      </c>
      <c r="AL23" s="627">
        <v>7087431691</v>
      </c>
      <c r="AM23" s="494" t="s">
        <v>786</v>
      </c>
      <c r="AN23" s="625" t="s">
        <v>901</v>
      </c>
      <c r="AO23" s="627">
        <v>22230</v>
      </c>
      <c r="AP23" s="623" t="s">
        <v>882</v>
      </c>
      <c r="AQ23" s="627">
        <v>7089327433</v>
      </c>
    </row>
    <row r="24" spans="1:43" x14ac:dyDescent="0.25">
      <c r="A24" s="625">
        <v>119</v>
      </c>
      <c r="B24" s="494" t="s">
        <v>944</v>
      </c>
      <c r="C24" s="625">
        <v>1011</v>
      </c>
      <c r="D24" s="494" t="s">
        <v>966</v>
      </c>
      <c r="E24" s="627">
        <v>9504642</v>
      </c>
      <c r="F24" s="627">
        <v>73086</v>
      </c>
      <c r="G24" s="494" t="s">
        <v>969</v>
      </c>
      <c r="S24" s="629">
        <f t="shared" si="0"/>
        <v>0.45833333333333331</v>
      </c>
      <c r="T24" s="629">
        <f t="shared" si="1"/>
        <v>0.47916666666666663</v>
      </c>
      <c r="U24" s="494" t="s">
        <v>912</v>
      </c>
      <c r="V24" s="620" t="str">
        <f>Joliet_table[[#This Row],[TimeSlot_Start_text]]</f>
        <v>1100</v>
      </c>
      <c r="W24" s="621"/>
      <c r="X24" s="621"/>
      <c r="Y24" s="621"/>
      <c r="Z24" s="621" t="s">
        <v>431</v>
      </c>
      <c r="AA24" s="621"/>
      <c r="AB24" s="494" t="s">
        <v>1076</v>
      </c>
      <c r="AC24" s="494" t="s">
        <v>949</v>
      </c>
      <c r="AD24" s="625" t="s">
        <v>950</v>
      </c>
      <c r="AE24" s="627">
        <v>73104</v>
      </c>
      <c r="AF24" s="623" t="s">
        <v>952</v>
      </c>
      <c r="AG24" s="627">
        <v>7089987986</v>
      </c>
      <c r="AH24" s="494" t="s">
        <v>953</v>
      </c>
      <c r="AI24" s="625" t="s">
        <v>955</v>
      </c>
      <c r="AJ24" s="627">
        <v>73040</v>
      </c>
      <c r="AK24" s="623" t="s">
        <v>956</v>
      </c>
      <c r="AL24" s="627">
        <v>7087431691</v>
      </c>
      <c r="AM24" s="494" t="s">
        <v>786</v>
      </c>
      <c r="AN24" s="625" t="s">
        <v>901</v>
      </c>
      <c r="AO24" s="627">
        <v>22230</v>
      </c>
      <c r="AP24" s="623" t="s">
        <v>882</v>
      </c>
      <c r="AQ24" s="627">
        <v>7089327433</v>
      </c>
    </row>
    <row r="25" spans="1:43" x14ac:dyDescent="0.25">
      <c r="A25" s="625">
        <v>120</v>
      </c>
      <c r="B25" s="494" t="s">
        <v>944</v>
      </c>
      <c r="C25" s="625">
        <v>1011</v>
      </c>
      <c r="D25" s="494" t="s">
        <v>966</v>
      </c>
      <c r="E25" s="627">
        <v>9504642</v>
      </c>
      <c r="F25" s="627">
        <v>73086</v>
      </c>
      <c r="G25" s="494" t="s">
        <v>969</v>
      </c>
      <c r="S25" s="629">
        <f t="shared" si="0"/>
        <v>0.47916666666666669</v>
      </c>
      <c r="T25" s="629">
        <f t="shared" si="1"/>
        <v>0.5</v>
      </c>
      <c r="U25" s="494" t="s">
        <v>913</v>
      </c>
      <c r="V25" s="620" t="str">
        <f>Joliet_table[[#This Row],[TimeSlot_Start_text]]</f>
        <v>1130</v>
      </c>
      <c r="W25" s="621"/>
      <c r="X25" s="621"/>
      <c r="Y25" s="621"/>
      <c r="Z25" s="621" t="s">
        <v>431</v>
      </c>
      <c r="AA25" s="621"/>
      <c r="AB25" s="494" t="s">
        <v>1075</v>
      </c>
      <c r="AC25" s="494" t="s">
        <v>949</v>
      </c>
      <c r="AD25" s="625" t="s">
        <v>950</v>
      </c>
      <c r="AE25" s="627">
        <v>73104</v>
      </c>
      <c r="AF25" s="623" t="s">
        <v>952</v>
      </c>
      <c r="AG25" s="627">
        <v>7089987986</v>
      </c>
      <c r="AH25" s="494" t="s">
        <v>953</v>
      </c>
      <c r="AI25" s="625" t="s">
        <v>955</v>
      </c>
      <c r="AJ25" s="627">
        <v>73040</v>
      </c>
      <c r="AK25" s="623" t="s">
        <v>956</v>
      </c>
      <c r="AL25" s="627">
        <v>7087431691</v>
      </c>
      <c r="AM25" s="494" t="s">
        <v>786</v>
      </c>
      <c r="AN25" s="625" t="s">
        <v>901</v>
      </c>
      <c r="AO25" s="627">
        <v>22230</v>
      </c>
      <c r="AP25" s="623" t="s">
        <v>882</v>
      </c>
      <c r="AQ25" s="627">
        <v>7089327433</v>
      </c>
    </row>
    <row r="26" spans="1:43" ht="15" customHeight="1" x14ac:dyDescent="0.25">
      <c r="A26" s="625">
        <v>121</v>
      </c>
      <c r="B26" s="494" t="s">
        <v>944</v>
      </c>
      <c r="C26" s="625">
        <v>1011</v>
      </c>
      <c r="D26" s="494" t="s">
        <v>966</v>
      </c>
      <c r="E26" s="627">
        <v>9504642</v>
      </c>
      <c r="F26" s="627">
        <v>73086</v>
      </c>
      <c r="G26" s="494" t="s">
        <v>969</v>
      </c>
      <c r="S26" s="629">
        <f t="shared" si="0"/>
        <v>0.5</v>
      </c>
      <c r="T26" s="629">
        <f t="shared" si="1"/>
        <v>0.52083333333333337</v>
      </c>
      <c r="U26" s="494" t="s">
        <v>914</v>
      </c>
      <c r="V26" s="620" t="str">
        <f>Joliet_table[[#This Row],[TimeSlot_Start_text]]</f>
        <v>1200</v>
      </c>
      <c r="W26" s="621" t="s">
        <v>354</v>
      </c>
      <c r="X26" s="621" t="s">
        <v>354</v>
      </c>
      <c r="Y26" s="621" t="s">
        <v>354</v>
      </c>
      <c r="Z26" s="621" t="s">
        <v>354</v>
      </c>
      <c r="AA26" s="621" t="s">
        <v>354</v>
      </c>
      <c r="AB26" s="494" t="s">
        <v>1077</v>
      </c>
      <c r="AC26" s="494" t="s">
        <v>949</v>
      </c>
      <c r="AD26" s="625" t="s">
        <v>950</v>
      </c>
      <c r="AE26" s="627">
        <v>73104</v>
      </c>
      <c r="AF26" s="623" t="s">
        <v>952</v>
      </c>
      <c r="AG26" s="627">
        <v>7089987986</v>
      </c>
      <c r="AH26" s="494" t="s">
        <v>953</v>
      </c>
      <c r="AI26" s="625" t="s">
        <v>955</v>
      </c>
      <c r="AJ26" s="627">
        <v>73040</v>
      </c>
      <c r="AK26" s="623" t="s">
        <v>956</v>
      </c>
      <c r="AL26" s="627">
        <v>7087431691</v>
      </c>
      <c r="AM26" s="494" t="s">
        <v>786</v>
      </c>
      <c r="AN26" s="625" t="s">
        <v>901</v>
      </c>
      <c r="AO26" s="627">
        <v>22230</v>
      </c>
      <c r="AP26" s="623" t="s">
        <v>882</v>
      </c>
      <c r="AQ26" s="627">
        <v>7089327433</v>
      </c>
    </row>
    <row r="27" spans="1:43" ht="15.75" customHeight="1" x14ac:dyDescent="0.25">
      <c r="A27" s="625">
        <v>122</v>
      </c>
      <c r="B27" s="494" t="s">
        <v>944</v>
      </c>
      <c r="C27" s="625">
        <v>1011</v>
      </c>
      <c r="D27" s="494" t="s">
        <v>966</v>
      </c>
      <c r="E27" s="627">
        <v>9504642</v>
      </c>
      <c r="F27" s="627">
        <v>73086</v>
      </c>
      <c r="G27" s="494" t="s">
        <v>969</v>
      </c>
      <c r="S27" s="629">
        <f t="shared" si="0"/>
        <v>0.52083333333333337</v>
      </c>
      <c r="T27" s="629">
        <f t="shared" si="1"/>
        <v>0.54166666666666674</v>
      </c>
      <c r="U27" s="494" t="s">
        <v>915</v>
      </c>
      <c r="V27" s="620" t="str">
        <f>Joliet_table[[#This Row],[TimeSlot_Start_text]]</f>
        <v>1230</v>
      </c>
      <c r="W27" s="621" t="s">
        <v>354</v>
      </c>
      <c r="X27" s="621" t="s">
        <v>354</v>
      </c>
      <c r="Y27" s="621" t="s">
        <v>354</v>
      </c>
      <c r="Z27" s="621" t="s">
        <v>354</v>
      </c>
      <c r="AA27" s="621" t="s">
        <v>354</v>
      </c>
      <c r="AB27" s="494" t="s">
        <v>1078</v>
      </c>
      <c r="AC27" s="494" t="s">
        <v>949</v>
      </c>
      <c r="AD27" s="625" t="s">
        <v>950</v>
      </c>
      <c r="AE27" s="627">
        <v>73104</v>
      </c>
      <c r="AF27" s="623" t="s">
        <v>952</v>
      </c>
      <c r="AG27" s="627">
        <v>7089987986</v>
      </c>
      <c r="AH27" s="494" t="s">
        <v>953</v>
      </c>
      <c r="AI27" s="625" t="s">
        <v>955</v>
      </c>
      <c r="AJ27" s="627">
        <v>73040</v>
      </c>
      <c r="AK27" s="623" t="s">
        <v>956</v>
      </c>
      <c r="AL27" s="627">
        <v>7087431691</v>
      </c>
      <c r="AM27" s="494" t="s">
        <v>786</v>
      </c>
      <c r="AN27" s="625" t="s">
        <v>901</v>
      </c>
      <c r="AO27" s="627">
        <v>22230</v>
      </c>
      <c r="AP27" s="623" t="s">
        <v>882</v>
      </c>
      <c r="AQ27" s="627">
        <v>7089327433</v>
      </c>
    </row>
    <row r="28" spans="1:43" x14ac:dyDescent="0.25">
      <c r="A28" s="625">
        <v>123</v>
      </c>
      <c r="B28" s="494" t="s">
        <v>944</v>
      </c>
      <c r="C28" s="625">
        <v>1011</v>
      </c>
      <c r="D28" s="494" t="s">
        <v>966</v>
      </c>
      <c r="E28" s="627">
        <v>9504642</v>
      </c>
      <c r="F28" s="627">
        <v>73086</v>
      </c>
      <c r="G28" s="494" t="s">
        <v>969</v>
      </c>
      <c r="S28" s="629">
        <f t="shared" si="0"/>
        <v>0.54166666666666663</v>
      </c>
      <c r="T28" s="629">
        <f t="shared" si="1"/>
        <v>0.5625</v>
      </c>
      <c r="U28" s="494" t="s">
        <v>916</v>
      </c>
      <c r="V28" s="620" t="str">
        <f>Joliet_table[[#This Row],[TimeSlot_Start_text]]</f>
        <v>1300</v>
      </c>
      <c r="W28" s="621" t="s">
        <v>427</v>
      </c>
      <c r="X28" s="621" t="s">
        <v>381</v>
      </c>
      <c r="Y28" s="621" t="s">
        <v>431</v>
      </c>
      <c r="Z28" s="621" t="s">
        <v>381</v>
      </c>
      <c r="AA28" s="621"/>
      <c r="AB28" s="494" t="s">
        <v>1071</v>
      </c>
      <c r="AC28" s="494" t="s">
        <v>949</v>
      </c>
      <c r="AD28" s="625" t="s">
        <v>950</v>
      </c>
      <c r="AE28" s="627">
        <v>73104</v>
      </c>
      <c r="AF28" s="623" t="s">
        <v>952</v>
      </c>
      <c r="AG28" s="627">
        <v>7089987986</v>
      </c>
      <c r="AH28" s="494" t="s">
        <v>953</v>
      </c>
      <c r="AI28" s="625" t="s">
        <v>955</v>
      </c>
      <c r="AJ28" s="627">
        <v>73040</v>
      </c>
      <c r="AK28" s="623" t="s">
        <v>956</v>
      </c>
      <c r="AL28" s="627">
        <v>7087431691</v>
      </c>
      <c r="AM28" s="494" t="s">
        <v>786</v>
      </c>
      <c r="AN28" s="625" t="s">
        <v>901</v>
      </c>
      <c r="AO28" s="627">
        <v>22230</v>
      </c>
      <c r="AP28" s="623" t="s">
        <v>882</v>
      </c>
      <c r="AQ28" s="627">
        <v>7089327433</v>
      </c>
    </row>
    <row r="29" spans="1:43" x14ac:dyDescent="0.25">
      <c r="A29" s="625">
        <v>124</v>
      </c>
      <c r="B29" s="494" t="s">
        <v>944</v>
      </c>
      <c r="C29" s="625">
        <v>1011</v>
      </c>
      <c r="D29" s="494" t="s">
        <v>966</v>
      </c>
      <c r="E29" s="627">
        <v>9504642</v>
      </c>
      <c r="F29" s="627">
        <v>73086</v>
      </c>
      <c r="G29" s="494" t="s">
        <v>969</v>
      </c>
      <c r="S29" s="629">
        <f t="shared" si="0"/>
        <v>0.5625</v>
      </c>
      <c r="T29" s="629">
        <f t="shared" si="1"/>
        <v>0.58333333333333337</v>
      </c>
      <c r="U29" s="494" t="s">
        <v>917</v>
      </c>
      <c r="V29" s="620" t="str">
        <f>Joliet_table[[#This Row],[TimeSlot_Start_text]]</f>
        <v>1330</v>
      </c>
      <c r="W29" s="621" t="s">
        <v>427</v>
      </c>
      <c r="X29" s="621"/>
      <c r="Y29" s="621" t="s">
        <v>431</v>
      </c>
      <c r="Z29" s="621"/>
      <c r="AA29" s="621"/>
      <c r="AB29" s="494" t="s">
        <v>1072</v>
      </c>
      <c r="AC29" s="494" t="s">
        <v>949</v>
      </c>
      <c r="AD29" s="625" t="s">
        <v>950</v>
      </c>
      <c r="AE29" s="627">
        <v>73104</v>
      </c>
      <c r="AF29" s="623" t="s">
        <v>952</v>
      </c>
      <c r="AG29" s="627">
        <v>7089987986</v>
      </c>
      <c r="AH29" s="494" t="s">
        <v>953</v>
      </c>
      <c r="AI29" s="625" t="s">
        <v>955</v>
      </c>
      <c r="AJ29" s="627">
        <v>73040</v>
      </c>
      <c r="AK29" s="623" t="s">
        <v>956</v>
      </c>
      <c r="AL29" s="627">
        <v>7087431691</v>
      </c>
      <c r="AM29" s="494" t="s">
        <v>786</v>
      </c>
      <c r="AN29" s="625" t="s">
        <v>901</v>
      </c>
      <c r="AO29" s="627">
        <v>22230</v>
      </c>
      <c r="AP29" s="623" t="s">
        <v>882</v>
      </c>
      <c r="AQ29" s="627">
        <v>7089327433</v>
      </c>
    </row>
    <row r="30" spans="1:43" x14ac:dyDescent="0.25">
      <c r="A30" s="625">
        <v>125</v>
      </c>
      <c r="B30" s="494" t="s">
        <v>944</v>
      </c>
      <c r="C30" s="625">
        <v>1011</v>
      </c>
      <c r="D30" s="494" t="s">
        <v>966</v>
      </c>
      <c r="E30" s="627">
        <v>9504642</v>
      </c>
      <c r="F30" s="627">
        <v>73086</v>
      </c>
      <c r="G30" s="494" t="s">
        <v>969</v>
      </c>
      <c r="S30" s="629">
        <f t="shared" si="0"/>
        <v>0.58333333333333337</v>
      </c>
      <c r="T30" s="629">
        <f t="shared" si="1"/>
        <v>0.60416666666666674</v>
      </c>
      <c r="U30" s="494" t="s">
        <v>918</v>
      </c>
      <c r="V30" s="620" t="str">
        <f>Joliet_table[[#This Row],[TimeSlot_Start_text]]</f>
        <v>1400</v>
      </c>
      <c r="W30" s="621" t="s">
        <v>427</v>
      </c>
      <c r="X30" s="621"/>
      <c r="Y30" s="621" t="s">
        <v>431</v>
      </c>
      <c r="Z30" s="621"/>
      <c r="AA30" s="621"/>
      <c r="AB30" s="494" t="s">
        <v>1079</v>
      </c>
      <c r="AC30" s="494" t="s">
        <v>949</v>
      </c>
      <c r="AD30" s="625" t="s">
        <v>950</v>
      </c>
      <c r="AE30" s="627">
        <v>73104</v>
      </c>
      <c r="AF30" s="623" t="s">
        <v>952</v>
      </c>
      <c r="AG30" s="627">
        <v>7089987986</v>
      </c>
      <c r="AH30" s="494" t="s">
        <v>953</v>
      </c>
      <c r="AI30" s="625" t="s">
        <v>955</v>
      </c>
      <c r="AJ30" s="627">
        <v>73040</v>
      </c>
      <c r="AK30" s="623" t="s">
        <v>956</v>
      </c>
      <c r="AL30" s="627">
        <v>7087431691</v>
      </c>
      <c r="AM30" s="494" t="s">
        <v>786</v>
      </c>
      <c r="AN30" s="625" t="s">
        <v>901</v>
      </c>
      <c r="AO30" s="627">
        <v>22230</v>
      </c>
      <c r="AP30" s="623" t="s">
        <v>882</v>
      </c>
      <c r="AQ30" s="627">
        <v>7089327433</v>
      </c>
    </row>
    <row r="31" spans="1:43" x14ac:dyDescent="0.25">
      <c r="A31" s="625">
        <v>126</v>
      </c>
      <c r="B31" s="494" t="s">
        <v>944</v>
      </c>
      <c r="C31" s="625">
        <v>1011</v>
      </c>
      <c r="D31" s="494" t="s">
        <v>966</v>
      </c>
      <c r="E31" s="627">
        <v>9504642</v>
      </c>
      <c r="F31" s="627">
        <v>73086</v>
      </c>
      <c r="G31" s="494" t="s">
        <v>969</v>
      </c>
      <c r="S31" s="629">
        <f t="shared" si="0"/>
        <v>0.60416666666666663</v>
      </c>
      <c r="T31" s="629">
        <f t="shared" si="1"/>
        <v>0.625</v>
      </c>
      <c r="U31" s="494" t="s">
        <v>919</v>
      </c>
      <c r="V31" s="620" t="str">
        <f>Joliet_table[[#This Row],[TimeSlot_Start_text]]</f>
        <v>1430</v>
      </c>
      <c r="W31" s="621" t="s">
        <v>427</v>
      </c>
      <c r="X31" s="621"/>
      <c r="Y31" s="621" t="s">
        <v>431</v>
      </c>
      <c r="Z31" s="621" t="s">
        <v>446</v>
      </c>
      <c r="AA31" s="621"/>
      <c r="AB31" s="494" t="s">
        <v>1080</v>
      </c>
      <c r="AC31" s="494" t="s">
        <v>949</v>
      </c>
      <c r="AD31" s="625" t="s">
        <v>950</v>
      </c>
      <c r="AE31" s="627">
        <v>73104</v>
      </c>
      <c r="AF31" s="623" t="s">
        <v>952</v>
      </c>
      <c r="AG31" s="627">
        <v>7089987986</v>
      </c>
      <c r="AH31" s="494" t="s">
        <v>953</v>
      </c>
      <c r="AI31" s="625" t="s">
        <v>955</v>
      </c>
      <c r="AJ31" s="627">
        <v>73040</v>
      </c>
      <c r="AK31" s="623" t="s">
        <v>956</v>
      </c>
      <c r="AL31" s="627">
        <v>7087431691</v>
      </c>
      <c r="AM31" s="494" t="s">
        <v>786</v>
      </c>
      <c r="AN31" s="625" t="s">
        <v>901</v>
      </c>
      <c r="AO31" s="627">
        <v>22230</v>
      </c>
      <c r="AP31" s="623" t="s">
        <v>882</v>
      </c>
      <c r="AQ31" s="627">
        <v>7089327433</v>
      </c>
    </row>
    <row r="32" spans="1:43" x14ac:dyDescent="0.25">
      <c r="A32" s="625">
        <v>127</v>
      </c>
      <c r="B32" s="494" t="s">
        <v>944</v>
      </c>
      <c r="C32" s="625">
        <v>1011</v>
      </c>
      <c r="D32" s="494" t="s">
        <v>966</v>
      </c>
      <c r="E32" s="627">
        <v>9504642</v>
      </c>
      <c r="F32" s="627">
        <v>73086</v>
      </c>
      <c r="G32" s="494" t="s">
        <v>969</v>
      </c>
      <c r="S32" s="629">
        <f t="shared" si="0"/>
        <v>0.625</v>
      </c>
      <c r="T32" s="629">
        <f t="shared" si="1"/>
        <v>0.64583333333333337</v>
      </c>
      <c r="U32" s="494" t="s">
        <v>920</v>
      </c>
      <c r="V32" s="620" t="str">
        <f>Joliet_table[[#This Row],[TimeSlot_Start_text]]</f>
        <v>1500</v>
      </c>
      <c r="W32" s="621" t="s">
        <v>427</v>
      </c>
      <c r="X32" s="621"/>
      <c r="Y32" s="621" t="s">
        <v>431</v>
      </c>
      <c r="Z32" s="621" t="s">
        <v>446</v>
      </c>
      <c r="AA32" s="621"/>
      <c r="AB32" s="494" t="s">
        <v>1081</v>
      </c>
      <c r="AC32" s="494" t="s">
        <v>949</v>
      </c>
      <c r="AD32" s="625" t="s">
        <v>950</v>
      </c>
      <c r="AE32" s="627">
        <v>73104</v>
      </c>
      <c r="AF32" s="623" t="s">
        <v>952</v>
      </c>
      <c r="AG32" s="627">
        <v>7089987986</v>
      </c>
      <c r="AH32" s="494" t="s">
        <v>953</v>
      </c>
      <c r="AI32" s="625" t="s">
        <v>955</v>
      </c>
      <c r="AJ32" s="627">
        <v>73040</v>
      </c>
      <c r="AK32" s="623" t="s">
        <v>956</v>
      </c>
      <c r="AL32" s="627">
        <v>7087431691</v>
      </c>
      <c r="AM32" s="494" t="s">
        <v>786</v>
      </c>
      <c r="AN32" s="625" t="s">
        <v>901</v>
      </c>
      <c r="AO32" s="627">
        <v>22230</v>
      </c>
      <c r="AP32" s="623" t="s">
        <v>882</v>
      </c>
      <c r="AQ32" s="627">
        <v>7089327433</v>
      </c>
    </row>
    <row r="33" spans="1:43" x14ac:dyDescent="0.25">
      <c r="A33" s="625">
        <v>128</v>
      </c>
      <c r="B33" s="494" t="s">
        <v>944</v>
      </c>
      <c r="C33" s="625">
        <v>1011</v>
      </c>
      <c r="D33" s="494" t="s">
        <v>966</v>
      </c>
      <c r="E33" s="627">
        <v>9504642</v>
      </c>
      <c r="F33" s="627">
        <v>73086</v>
      </c>
      <c r="G33" s="494" t="s">
        <v>969</v>
      </c>
      <c r="S33" s="629">
        <f t="shared" si="0"/>
        <v>0.64583333333333337</v>
      </c>
      <c r="T33" s="629">
        <f t="shared" si="1"/>
        <v>0.66666666666666674</v>
      </c>
      <c r="U33" s="494" t="s">
        <v>921</v>
      </c>
      <c r="V33" s="620" t="str">
        <f>Joliet_table[[#This Row],[TimeSlot_Start_text]]</f>
        <v>1530</v>
      </c>
      <c r="W33" s="621" t="s">
        <v>427</v>
      </c>
      <c r="X33" s="621"/>
      <c r="Y33" s="621" t="s">
        <v>431</v>
      </c>
      <c r="Z33" s="621" t="s">
        <v>446</v>
      </c>
      <c r="AA33" s="621"/>
      <c r="AB33" s="494" t="s">
        <v>1082</v>
      </c>
      <c r="AC33" s="494" t="s">
        <v>949</v>
      </c>
      <c r="AD33" s="625" t="s">
        <v>950</v>
      </c>
      <c r="AE33" s="627">
        <v>73104</v>
      </c>
      <c r="AF33" s="623" t="s">
        <v>952</v>
      </c>
      <c r="AG33" s="627">
        <v>7089987986</v>
      </c>
      <c r="AH33" s="494" t="s">
        <v>953</v>
      </c>
      <c r="AI33" s="625" t="s">
        <v>955</v>
      </c>
      <c r="AJ33" s="627">
        <v>73040</v>
      </c>
      <c r="AK33" s="623" t="s">
        <v>956</v>
      </c>
      <c r="AL33" s="627">
        <v>7087431691</v>
      </c>
      <c r="AM33" s="494" t="s">
        <v>786</v>
      </c>
      <c r="AN33" s="625" t="s">
        <v>901</v>
      </c>
      <c r="AO33" s="627">
        <v>22230</v>
      </c>
      <c r="AP33" s="623" t="s">
        <v>882</v>
      </c>
      <c r="AQ33" s="627">
        <v>7089327433</v>
      </c>
    </row>
    <row r="34" spans="1:43" ht="15" customHeight="1" x14ac:dyDescent="0.25">
      <c r="A34" s="625">
        <v>129</v>
      </c>
      <c r="B34" s="494" t="s">
        <v>944</v>
      </c>
      <c r="C34" s="625">
        <v>1012</v>
      </c>
      <c r="D34" s="494" t="s">
        <v>970</v>
      </c>
      <c r="E34" s="627">
        <v>9504643</v>
      </c>
      <c r="F34" s="627">
        <v>73087</v>
      </c>
      <c r="G34" s="494" t="s">
        <v>975</v>
      </c>
      <c r="S34" s="629">
        <f t="shared" ref="S34:S65" si="2">TIME(LEFT(U34,2),RIGHT(U34,2),"00")</f>
        <v>0.33333333333333331</v>
      </c>
      <c r="T34" s="629">
        <f t="shared" ref="T34:T65" si="3">S34+(TIME("00","30","00"))</f>
        <v>0.35416666666666663</v>
      </c>
      <c r="U34" s="494" t="s">
        <v>906</v>
      </c>
      <c r="V34" s="620" t="str">
        <f>Joliet_table[[#This Row],[TimeSlot_Start_text]]</f>
        <v>0800</v>
      </c>
      <c r="W34" s="621"/>
      <c r="X34" s="621" t="s">
        <v>380</v>
      </c>
      <c r="Y34" s="621" t="s">
        <v>380</v>
      </c>
      <c r="Z34" s="621"/>
      <c r="AA34" s="621"/>
      <c r="AB34" s="494" t="s">
        <v>1083</v>
      </c>
      <c r="AC34" s="494" t="s">
        <v>949</v>
      </c>
      <c r="AD34" s="625" t="s">
        <v>950</v>
      </c>
      <c r="AE34" s="627">
        <v>73104</v>
      </c>
      <c r="AF34" s="623" t="s">
        <v>952</v>
      </c>
      <c r="AG34" s="627">
        <v>7089987986</v>
      </c>
      <c r="AH34" s="494" t="s">
        <v>953</v>
      </c>
      <c r="AI34" s="625" t="s">
        <v>955</v>
      </c>
      <c r="AJ34" s="627">
        <v>73040</v>
      </c>
      <c r="AK34" s="623" t="s">
        <v>956</v>
      </c>
      <c r="AL34" s="627">
        <v>7087431691</v>
      </c>
      <c r="AM34" s="494" t="s">
        <v>786</v>
      </c>
      <c r="AN34" s="625" t="s">
        <v>901</v>
      </c>
      <c r="AO34" s="627">
        <v>22230</v>
      </c>
      <c r="AP34" s="623" t="s">
        <v>882</v>
      </c>
      <c r="AQ34" s="627">
        <v>7089327433</v>
      </c>
    </row>
    <row r="35" spans="1:43" ht="15" customHeight="1" x14ac:dyDescent="0.25">
      <c r="A35" s="625">
        <v>130</v>
      </c>
      <c r="B35" s="494" t="s">
        <v>944</v>
      </c>
      <c r="C35" s="625">
        <v>1012</v>
      </c>
      <c r="D35" s="494" t="s">
        <v>970</v>
      </c>
      <c r="E35" s="627">
        <v>9504643</v>
      </c>
      <c r="F35" s="627">
        <v>73087</v>
      </c>
      <c r="G35" s="494" t="s">
        <v>975</v>
      </c>
      <c r="S35" s="629">
        <f t="shared" si="2"/>
        <v>0.35416666666666669</v>
      </c>
      <c r="T35" s="629">
        <f t="shared" si="3"/>
        <v>0.375</v>
      </c>
      <c r="U35" s="494" t="s">
        <v>907</v>
      </c>
      <c r="V35" s="620" t="str">
        <f>Joliet_table[[#This Row],[TimeSlot_Start_text]]</f>
        <v>0830</v>
      </c>
      <c r="W35" s="621"/>
      <c r="X35" s="621"/>
      <c r="Y35" s="621"/>
      <c r="Z35" s="621"/>
      <c r="AA35" s="621"/>
      <c r="AB35" s="494" t="s">
        <v>1084</v>
      </c>
      <c r="AC35" s="494" t="s">
        <v>949</v>
      </c>
      <c r="AD35" s="625" t="s">
        <v>950</v>
      </c>
      <c r="AE35" s="627">
        <v>73104</v>
      </c>
      <c r="AF35" s="623" t="s">
        <v>952</v>
      </c>
      <c r="AG35" s="627">
        <v>7089987986</v>
      </c>
      <c r="AH35" s="494" t="s">
        <v>953</v>
      </c>
      <c r="AI35" s="625" t="s">
        <v>955</v>
      </c>
      <c r="AJ35" s="627">
        <v>73040</v>
      </c>
      <c r="AK35" s="623" t="s">
        <v>956</v>
      </c>
      <c r="AL35" s="627">
        <v>7087431691</v>
      </c>
      <c r="AM35" s="494" t="s">
        <v>786</v>
      </c>
      <c r="AN35" s="625" t="s">
        <v>901</v>
      </c>
      <c r="AO35" s="627">
        <v>22230</v>
      </c>
      <c r="AP35" s="623" t="s">
        <v>882</v>
      </c>
      <c r="AQ35" s="627">
        <v>7089327433</v>
      </c>
    </row>
    <row r="36" spans="1:43" ht="15" customHeight="1" x14ac:dyDescent="0.25">
      <c r="A36" s="625">
        <v>131</v>
      </c>
      <c r="B36" s="494" t="s">
        <v>944</v>
      </c>
      <c r="C36" s="625">
        <v>1012</v>
      </c>
      <c r="D36" s="494" t="s">
        <v>970</v>
      </c>
      <c r="E36" s="627">
        <v>9504643</v>
      </c>
      <c r="F36" s="627">
        <v>73087</v>
      </c>
      <c r="G36" s="494" t="s">
        <v>975</v>
      </c>
      <c r="S36" s="629">
        <f t="shared" si="2"/>
        <v>0.375</v>
      </c>
      <c r="T36" s="629">
        <f t="shared" si="3"/>
        <v>0.39583333333333331</v>
      </c>
      <c r="U36" s="494" t="s">
        <v>908</v>
      </c>
      <c r="V36" s="620" t="str">
        <f>Joliet_table[[#This Row],[TimeSlot_Start_text]]</f>
        <v>0900</v>
      </c>
      <c r="W36" s="621" t="s">
        <v>432</v>
      </c>
      <c r="X36" s="621"/>
      <c r="Y36" s="621"/>
      <c r="Z36" s="621"/>
      <c r="AA36" s="621" t="s">
        <v>380</v>
      </c>
      <c r="AB36" s="494" t="s">
        <v>1085</v>
      </c>
      <c r="AC36" s="494" t="s">
        <v>949</v>
      </c>
      <c r="AD36" s="625" t="s">
        <v>950</v>
      </c>
      <c r="AE36" s="627">
        <v>73104</v>
      </c>
      <c r="AF36" s="623" t="s">
        <v>952</v>
      </c>
      <c r="AG36" s="627">
        <v>7089987986</v>
      </c>
      <c r="AH36" s="494" t="s">
        <v>953</v>
      </c>
      <c r="AI36" s="625" t="s">
        <v>955</v>
      </c>
      <c r="AJ36" s="627">
        <v>73040</v>
      </c>
      <c r="AK36" s="623" t="s">
        <v>956</v>
      </c>
      <c r="AL36" s="627">
        <v>7087431691</v>
      </c>
      <c r="AM36" s="494" t="s">
        <v>786</v>
      </c>
      <c r="AN36" s="625" t="s">
        <v>901</v>
      </c>
      <c r="AO36" s="627">
        <v>22230</v>
      </c>
      <c r="AP36" s="623" t="s">
        <v>882</v>
      </c>
      <c r="AQ36" s="627">
        <v>7089327433</v>
      </c>
    </row>
    <row r="37" spans="1:43" ht="15" customHeight="1" x14ac:dyDescent="0.25">
      <c r="A37" s="625">
        <v>132</v>
      </c>
      <c r="B37" s="494" t="s">
        <v>944</v>
      </c>
      <c r="C37" s="625">
        <v>1012</v>
      </c>
      <c r="D37" s="494" t="s">
        <v>970</v>
      </c>
      <c r="E37" s="627">
        <v>9504643</v>
      </c>
      <c r="F37" s="627">
        <v>73087</v>
      </c>
      <c r="G37" s="494" t="s">
        <v>975</v>
      </c>
      <c r="S37" s="629">
        <f t="shared" si="2"/>
        <v>0.39583333333333331</v>
      </c>
      <c r="T37" s="629">
        <f t="shared" si="3"/>
        <v>0.41666666666666663</v>
      </c>
      <c r="U37" s="494" t="s">
        <v>909</v>
      </c>
      <c r="V37" s="620" t="str">
        <f>Joliet_table[[#This Row],[TimeSlot_Start_text]]</f>
        <v>0930</v>
      </c>
      <c r="W37" s="621" t="s">
        <v>432</v>
      </c>
      <c r="X37" s="621"/>
      <c r="Y37" s="621"/>
      <c r="Z37" s="621"/>
      <c r="AA37" s="621"/>
      <c r="AB37" s="494" t="s">
        <v>1086</v>
      </c>
      <c r="AC37" s="494" t="s">
        <v>949</v>
      </c>
      <c r="AD37" s="625" t="s">
        <v>950</v>
      </c>
      <c r="AE37" s="627">
        <v>73104</v>
      </c>
      <c r="AF37" s="623" t="s">
        <v>952</v>
      </c>
      <c r="AG37" s="627">
        <v>7089987986</v>
      </c>
      <c r="AH37" s="494" t="s">
        <v>953</v>
      </c>
      <c r="AI37" s="625" t="s">
        <v>955</v>
      </c>
      <c r="AJ37" s="627">
        <v>73040</v>
      </c>
      <c r="AK37" s="623" t="s">
        <v>956</v>
      </c>
      <c r="AL37" s="627">
        <v>7087431691</v>
      </c>
      <c r="AM37" s="494" t="s">
        <v>786</v>
      </c>
      <c r="AN37" s="625" t="s">
        <v>901</v>
      </c>
      <c r="AO37" s="627">
        <v>22230</v>
      </c>
      <c r="AP37" s="623" t="s">
        <v>882</v>
      </c>
      <c r="AQ37" s="627">
        <v>7089327433</v>
      </c>
    </row>
    <row r="38" spans="1:43" x14ac:dyDescent="0.25">
      <c r="A38" s="625">
        <v>133</v>
      </c>
      <c r="B38" s="494" t="s">
        <v>944</v>
      </c>
      <c r="C38" s="625">
        <v>1012</v>
      </c>
      <c r="D38" s="494" t="s">
        <v>970</v>
      </c>
      <c r="E38" s="627">
        <v>9504643</v>
      </c>
      <c r="F38" s="627">
        <v>73087</v>
      </c>
      <c r="G38" s="494" t="s">
        <v>975</v>
      </c>
      <c r="S38" s="629">
        <f t="shared" si="2"/>
        <v>0.41666666666666669</v>
      </c>
      <c r="T38" s="629">
        <f t="shared" si="3"/>
        <v>0.4375</v>
      </c>
      <c r="U38" s="494" t="s">
        <v>910</v>
      </c>
      <c r="V38" s="620" t="str">
        <f>Joliet_table[[#This Row],[TimeSlot_Start_text]]</f>
        <v>1000</v>
      </c>
      <c r="W38" s="621" t="s">
        <v>432</v>
      </c>
      <c r="X38" s="621" t="s">
        <v>380</v>
      </c>
      <c r="Y38" s="621" t="s">
        <v>380</v>
      </c>
      <c r="Z38" s="621" t="s">
        <v>435</v>
      </c>
      <c r="AA38" s="621"/>
      <c r="AB38" s="494" t="s">
        <v>1073</v>
      </c>
      <c r="AC38" s="494" t="s">
        <v>949</v>
      </c>
      <c r="AD38" s="625" t="s">
        <v>950</v>
      </c>
      <c r="AE38" s="627">
        <v>73104</v>
      </c>
      <c r="AF38" s="623" t="s">
        <v>952</v>
      </c>
      <c r="AG38" s="627">
        <v>7089987986</v>
      </c>
      <c r="AH38" s="494" t="s">
        <v>953</v>
      </c>
      <c r="AI38" s="625" t="s">
        <v>955</v>
      </c>
      <c r="AJ38" s="627">
        <v>73040</v>
      </c>
      <c r="AK38" s="623" t="s">
        <v>956</v>
      </c>
      <c r="AL38" s="627">
        <v>7087431691</v>
      </c>
      <c r="AM38" s="494" t="s">
        <v>786</v>
      </c>
      <c r="AN38" s="625" t="s">
        <v>901</v>
      </c>
      <c r="AO38" s="627">
        <v>22230</v>
      </c>
      <c r="AP38" s="623" t="s">
        <v>882</v>
      </c>
      <c r="AQ38" s="627">
        <v>7089327433</v>
      </c>
    </row>
    <row r="39" spans="1:43" x14ac:dyDescent="0.25">
      <c r="A39" s="625">
        <v>134</v>
      </c>
      <c r="B39" s="494" t="s">
        <v>944</v>
      </c>
      <c r="C39" s="625">
        <v>1012</v>
      </c>
      <c r="D39" s="494" t="s">
        <v>970</v>
      </c>
      <c r="E39" s="627">
        <v>9504643</v>
      </c>
      <c r="F39" s="627">
        <v>73087</v>
      </c>
      <c r="G39" s="494" t="s">
        <v>975</v>
      </c>
      <c r="S39" s="629">
        <f t="shared" si="2"/>
        <v>0.4375</v>
      </c>
      <c r="T39" s="629">
        <f t="shared" si="3"/>
        <v>0.45833333333333331</v>
      </c>
      <c r="U39" s="494" t="s">
        <v>911</v>
      </c>
      <c r="V39" s="620" t="str">
        <f>Joliet_table[[#This Row],[TimeSlot_Start_text]]</f>
        <v>1030</v>
      </c>
      <c r="W39" s="621" t="s">
        <v>432</v>
      </c>
      <c r="X39" s="621"/>
      <c r="Y39" s="621"/>
      <c r="Z39" s="621" t="s">
        <v>435</v>
      </c>
      <c r="AA39" s="621"/>
      <c r="AB39" s="494" t="s">
        <v>1074</v>
      </c>
      <c r="AC39" s="494" t="s">
        <v>949</v>
      </c>
      <c r="AD39" s="625" t="s">
        <v>950</v>
      </c>
      <c r="AE39" s="627">
        <v>73104</v>
      </c>
      <c r="AF39" s="623" t="s">
        <v>952</v>
      </c>
      <c r="AG39" s="627">
        <v>7089987986</v>
      </c>
      <c r="AH39" s="494" t="s">
        <v>953</v>
      </c>
      <c r="AI39" s="625" t="s">
        <v>955</v>
      </c>
      <c r="AJ39" s="627">
        <v>73040</v>
      </c>
      <c r="AK39" s="623" t="s">
        <v>956</v>
      </c>
      <c r="AL39" s="627">
        <v>7087431691</v>
      </c>
      <c r="AM39" s="494" t="s">
        <v>786</v>
      </c>
      <c r="AN39" s="625" t="s">
        <v>901</v>
      </c>
      <c r="AO39" s="627">
        <v>22230</v>
      </c>
      <c r="AP39" s="623" t="s">
        <v>882</v>
      </c>
      <c r="AQ39" s="627">
        <v>7089327433</v>
      </c>
    </row>
    <row r="40" spans="1:43" x14ac:dyDescent="0.25">
      <c r="A40" s="625">
        <v>135</v>
      </c>
      <c r="B40" s="494" t="s">
        <v>944</v>
      </c>
      <c r="C40" s="625">
        <v>1012</v>
      </c>
      <c r="D40" s="494" t="s">
        <v>970</v>
      </c>
      <c r="E40" s="627">
        <v>9504643</v>
      </c>
      <c r="F40" s="627">
        <v>73087</v>
      </c>
      <c r="G40" s="494" t="s">
        <v>975</v>
      </c>
      <c r="S40" s="629">
        <f t="shared" si="2"/>
        <v>0.45833333333333331</v>
      </c>
      <c r="T40" s="629">
        <f t="shared" si="3"/>
        <v>0.47916666666666663</v>
      </c>
      <c r="U40" s="494" t="s">
        <v>912</v>
      </c>
      <c r="V40" s="620" t="str">
        <f>Joliet_table[[#This Row],[TimeSlot_Start_text]]</f>
        <v>1100</v>
      </c>
      <c r="W40" s="621" t="s">
        <v>432</v>
      </c>
      <c r="X40" s="621"/>
      <c r="Y40" s="621"/>
      <c r="Z40" s="621" t="s">
        <v>435</v>
      </c>
      <c r="AA40" s="621"/>
      <c r="AB40" s="494" t="s">
        <v>1076</v>
      </c>
      <c r="AC40" s="494" t="s">
        <v>949</v>
      </c>
      <c r="AD40" s="625" t="s">
        <v>950</v>
      </c>
      <c r="AE40" s="627">
        <v>73104</v>
      </c>
      <c r="AF40" s="623" t="s">
        <v>952</v>
      </c>
      <c r="AG40" s="627">
        <v>7089987986</v>
      </c>
      <c r="AH40" s="494" t="s">
        <v>953</v>
      </c>
      <c r="AI40" s="625" t="s">
        <v>955</v>
      </c>
      <c r="AJ40" s="627">
        <v>73040</v>
      </c>
      <c r="AK40" s="623" t="s">
        <v>956</v>
      </c>
      <c r="AL40" s="627">
        <v>7087431691</v>
      </c>
      <c r="AM40" s="494" t="s">
        <v>786</v>
      </c>
      <c r="AN40" s="625" t="s">
        <v>901</v>
      </c>
      <c r="AO40" s="627">
        <v>22230</v>
      </c>
      <c r="AP40" s="623" t="s">
        <v>882</v>
      </c>
      <c r="AQ40" s="627">
        <v>7089327433</v>
      </c>
    </row>
    <row r="41" spans="1:43" x14ac:dyDescent="0.25">
      <c r="A41" s="625">
        <v>136</v>
      </c>
      <c r="B41" s="494" t="s">
        <v>944</v>
      </c>
      <c r="C41" s="625">
        <v>1012</v>
      </c>
      <c r="D41" s="494" t="s">
        <v>970</v>
      </c>
      <c r="E41" s="627">
        <v>9504643</v>
      </c>
      <c r="F41" s="627">
        <v>73087</v>
      </c>
      <c r="G41" s="494" t="s">
        <v>975</v>
      </c>
      <c r="S41" s="629">
        <f t="shared" si="2"/>
        <v>0.47916666666666669</v>
      </c>
      <c r="T41" s="629">
        <f t="shared" si="3"/>
        <v>0.5</v>
      </c>
      <c r="U41" s="494" t="s">
        <v>913</v>
      </c>
      <c r="V41" s="620" t="str">
        <f>Joliet_table[[#This Row],[TimeSlot_Start_text]]</f>
        <v>1130</v>
      </c>
      <c r="W41" s="621" t="s">
        <v>432</v>
      </c>
      <c r="X41" s="621"/>
      <c r="Y41" s="621"/>
      <c r="Z41" s="621" t="s">
        <v>435</v>
      </c>
      <c r="AA41" s="621"/>
      <c r="AB41" s="494" t="s">
        <v>1075</v>
      </c>
      <c r="AC41" s="494" t="s">
        <v>949</v>
      </c>
      <c r="AD41" s="625" t="s">
        <v>950</v>
      </c>
      <c r="AE41" s="627">
        <v>73104</v>
      </c>
      <c r="AF41" s="623" t="s">
        <v>952</v>
      </c>
      <c r="AG41" s="627">
        <v>7089987986</v>
      </c>
      <c r="AH41" s="494" t="s">
        <v>953</v>
      </c>
      <c r="AI41" s="625" t="s">
        <v>955</v>
      </c>
      <c r="AJ41" s="627">
        <v>73040</v>
      </c>
      <c r="AK41" s="623" t="s">
        <v>956</v>
      </c>
      <c r="AL41" s="627">
        <v>7087431691</v>
      </c>
      <c r="AM41" s="494" t="s">
        <v>786</v>
      </c>
      <c r="AN41" s="625" t="s">
        <v>901</v>
      </c>
      <c r="AO41" s="627">
        <v>22230</v>
      </c>
      <c r="AP41" s="623" t="s">
        <v>882</v>
      </c>
      <c r="AQ41" s="627">
        <v>7089327433</v>
      </c>
    </row>
    <row r="42" spans="1:43" ht="15" customHeight="1" x14ac:dyDescent="0.25">
      <c r="A42" s="625">
        <v>137</v>
      </c>
      <c r="B42" s="494" t="s">
        <v>944</v>
      </c>
      <c r="C42" s="625">
        <v>1012</v>
      </c>
      <c r="D42" s="494" t="s">
        <v>970</v>
      </c>
      <c r="E42" s="627">
        <v>9504643</v>
      </c>
      <c r="F42" s="627">
        <v>73087</v>
      </c>
      <c r="G42" s="494" t="s">
        <v>975</v>
      </c>
      <c r="S42" s="629">
        <f t="shared" si="2"/>
        <v>0.5</v>
      </c>
      <c r="T42" s="629">
        <f t="shared" si="3"/>
        <v>0.52083333333333337</v>
      </c>
      <c r="U42" s="494" t="s">
        <v>914</v>
      </c>
      <c r="V42" s="620" t="str">
        <f>Joliet_table[[#This Row],[TimeSlot_Start_text]]</f>
        <v>1200</v>
      </c>
      <c r="W42" s="621" t="s">
        <v>354</v>
      </c>
      <c r="X42" s="621" t="s">
        <v>354</v>
      </c>
      <c r="Y42" s="621" t="s">
        <v>354</v>
      </c>
      <c r="Z42" s="621" t="s">
        <v>354</v>
      </c>
      <c r="AA42" s="621" t="s">
        <v>354</v>
      </c>
      <c r="AB42" s="494" t="s">
        <v>1077</v>
      </c>
      <c r="AC42" s="494" t="s">
        <v>949</v>
      </c>
      <c r="AD42" s="625" t="s">
        <v>950</v>
      </c>
      <c r="AE42" s="627">
        <v>73104</v>
      </c>
      <c r="AF42" s="623" t="s">
        <v>952</v>
      </c>
      <c r="AG42" s="627">
        <v>7089987986</v>
      </c>
      <c r="AH42" s="494" t="s">
        <v>953</v>
      </c>
      <c r="AI42" s="625" t="s">
        <v>955</v>
      </c>
      <c r="AJ42" s="627">
        <v>73040</v>
      </c>
      <c r="AK42" s="623" t="s">
        <v>956</v>
      </c>
      <c r="AL42" s="627">
        <v>7087431691</v>
      </c>
      <c r="AM42" s="494" t="s">
        <v>786</v>
      </c>
      <c r="AN42" s="625" t="s">
        <v>901</v>
      </c>
      <c r="AO42" s="627">
        <v>22230</v>
      </c>
      <c r="AP42" s="623" t="s">
        <v>882</v>
      </c>
      <c r="AQ42" s="627">
        <v>7089327433</v>
      </c>
    </row>
    <row r="43" spans="1:43" ht="15.75" customHeight="1" x14ac:dyDescent="0.25">
      <c r="A43" s="625">
        <v>138</v>
      </c>
      <c r="B43" s="494" t="s">
        <v>944</v>
      </c>
      <c r="C43" s="625">
        <v>1012</v>
      </c>
      <c r="D43" s="494" t="s">
        <v>970</v>
      </c>
      <c r="E43" s="627">
        <v>9504643</v>
      </c>
      <c r="F43" s="627">
        <v>73087</v>
      </c>
      <c r="G43" s="494" t="s">
        <v>975</v>
      </c>
      <c r="S43" s="629">
        <f t="shared" si="2"/>
        <v>0.52083333333333337</v>
      </c>
      <c r="T43" s="629">
        <f t="shared" si="3"/>
        <v>0.54166666666666674</v>
      </c>
      <c r="U43" s="494" t="s">
        <v>915</v>
      </c>
      <c r="V43" s="620" t="str">
        <f>Joliet_table[[#This Row],[TimeSlot_Start_text]]</f>
        <v>1230</v>
      </c>
      <c r="W43" s="621" t="s">
        <v>354</v>
      </c>
      <c r="X43" s="621" t="s">
        <v>354</v>
      </c>
      <c r="Y43" s="621" t="s">
        <v>354</v>
      </c>
      <c r="Z43" s="621" t="s">
        <v>354</v>
      </c>
      <c r="AA43" s="621" t="s">
        <v>354</v>
      </c>
      <c r="AB43" s="494" t="s">
        <v>1078</v>
      </c>
      <c r="AC43" s="494" t="s">
        <v>949</v>
      </c>
      <c r="AD43" s="625" t="s">
        <v>950</v>
      </c>
      <c r="AE43" s="627">
        <v>73104</v>
      </c>
      <c r="AF43" s="623" t="s">
        <v>952</v>
      </c>
      <c r="AG43" s="627">
        <v>7089987986</v>
      </c>
      <c r="AH43" s="494" t="s">
        <v>953</v>
      </c>
      <c r="AI43" s="625" t="s">
        <v>955</v>
      </c>
      <c r="AJ43" s="627">
        <v>73040</v>
      </c>
      <c r="AK43" s="623" t="s">
        <v>956</v>
      </c>
      <c r="AL43" s="627">
        <v>7087431691</v>
      </c>
      <c r="AM43" s="494" t="s">
        <v>786</v>
      </c>
      <c r="AN43" s="625" t="s">
        <v>901</v>
      </c>
      <c r="AO43" s="627">
        <v>22230</v>
      </c>
      <c r="AP43" s="623" t="s">
        <v>882</v>
      </c>
      <c r="AQ43" s="627">
        <v>7089327433</v>
      </c>
    </row>
    <row r="44" spans="1:43" x14ac:dyDescent="0.25">
      <c r="A44" s="625">
        <v>139</v>
      </c>
      <c r="B44" s="494" t="s">
        <v>944</v>
      </c>
      <c r="C44" s="625">
        <v>1012</v>
      </c>
      <c r="D44" s="494" t="s">
        <v>970</v>
      </c>
      <c r="E44" s="627">
        <v>9504643</v>
      </c>
      <c r="F44" s="627">
        <v>73087</v>
      </c>
      <c r="G44" s="494" t="s">
        <v>975</v>
      </c>
      <c r="S44" s="629">
        <f t="shared" si="2"/>
        <v>0.54166666666666663</v>
      </c>
      <c r="T44" s="629">
        <f t="shared" si="3"/>
        <v>0.5625</v>
      </c>
      <c r="U44" s="494" t="s">
        <v>916</v>
      </c>
      <c r="V44" s="620" t="str">
        <f>Joliet_table[[#This Row],[TimeSlot_Start_text]]</f>
        <v>1300</v>
      </c>
      <c r="W44" s="621"/>
      <c r="X44" s="621" t="s">
        <v>380</v>
      </c>
      <c r="Y44" s="621" t="s">
        <v>381</v>
      </c>
      <c r="Z44" s="621"/>
      <c r="AA44" s="621"/>
      <c r="AB44" s="494" t="s">
        <v>1071</v>
      </c>
      <c r="AC44" s="494" t="s">
        <v>949</v>
      </c>
      <c r="AD44" s="625" t="s">
        <v>950</v>
      </c>
      <c r="AE44" s="627">
        <v>73104</v>
      </c>
      <c r="AF44" s="623" t="s">
        <v>952</v>
      </c>
      <c r="AG44" s="627">
        <v>7089987986</v>
      </c>
      <c r="AH44" s="494" t="s">
        <v>953</v>
      </c>
      <c r="AI44" s="625" t="s">
        <v>955</v>
      </c>
      <c r="AJ44" s="627">
        <v>73040</v>
      </c>
      <c r="AK44" s="623" t="s">
        <v>956</v>
      </c>
      <c r="AL44" s="627">
        <v>7087431691</v>
      </c>
      <c r="AM44" s="494" t="s">
        <v>786</v>
      </c>
      <c r="AN44" s="625" t="s">
        <v>901</v>
      </c>
      <c r="AO44" s="627">
        <v>22230</v>
      </c>
      <c r="AP44" s="623" t="s">
        <v>882</v>
      </c>
      <c r="AQ44" s="627">
        <v>7089327433</v>
      </c>
    </row>
    <row r="45" spans="1:43" x14ac:dyDescent="0.25">
      <c r="A45" s="625">
        <v>140</v>
      </c>
      <c r="B45" s="494" t="s">
        <v>944</v>
      </c>
      <c r="C45" s="625">
        <v>1012</v>
      </c>
      <c r="D45" s="494" t="s">
        <v>970</v>
      </c>
      <c r="E45" s="627">
        <v>9504643</v>
      </c>
      <c r="F45" s="627">
        <v>73087</v>
      </c>
      <c r="G45" s="494" t="s">
        <v>975</v>
      </c>
      <c r="S45" s="629">
        <f t="shared" si="2"/>
        <v>0.5625</v>
      </c>
      <c r="T45" s="629">
        <f t="shared" si="3"/>
        <v>0.58333333333333337</v>
      </c>
      <c r="U45" s="494" t="s">
        <v>917</v>
      </c>
      <c r="V45" s="620" t="str">
        <f>Joliet_table[[#This Row],[TimeSlot_Start_text]]</f>
        <v>1330</v>
      </c>
      <c r="W45" s="621"/>
      <c r="X45" s="621"/>
      <c r="Y45" s="621"/>
      <c r="Z45" s="621"/>
      <c r="AA45" s="621"/>
      <c r="AB45" s="494" t="s">
        <v>1072</v>
      </c>
      <c r="AC45" s="494" t="s">
        <v>949</v>
      </c>
      <c r="AD45" s="625" t="s">
        <v>950</v>
      </c>
      <c r="AE45" s="627">
        <v>73104</v>
      </c>
      <c r="AF45" s="623" t="s">
        <v>952</v>
      </c>
      <c r="AG45" s="627">
        <v>7089987986</v>
      </c>
      <c r="AH45" s="494" t="s">
        <v>953</v>
      </c>
      <c r="AI45" s="625" t="s">
        <v>955</v>
      </c>
      <c r="AJ45" s="627">
        <v>73040</v>
      </c>
      <c r="AK45" s="623" t="s">
        <v>956</v>
      </c>
      <c r="AL45" s="627">
        <v>7087431691</v>
      </c>
      <c r="AM45" s="494" t="s">
        <v>786</v>
      </c>
      <c r="AN45" s="625" t="s">
        <v>901</v>
      </c>
      <c r="AO45" s="627">
        <v>22230</v>
      </c>
      <c r="AP45" s="623" t="s">
        <v>882</v>
      </c>
      <c r="AQ45" s="627">
        <v>7089327433</v>
      </c>
    </row>
    <row r="46" spans="1:43" x14ac:dyDescent="0.25">
      <c r="A46" s="625">
        <v>141</v>
      </c>
      <c r="B46" s="494" t="s">
        <v>944</v>
      </c>
      <c r="C46" s="625">
        <v>1012</v>
      </c>
      <c r="D46" s="494" t="s">
        <v>970</v>
      </c>
      <c r="E46" s="627">
        <v>9504643</v>
      </c>
      <c r="F46" s="627">
        <v>73087</v>
      </c>
      <c r="G46" s="494" t="s">
        <v>975</v>
      </c>
      <c r="S46" s="629">
        <f t="shared" si="2"/>
        <v>0.58333333333333337</v>
      </c>
      <c r="T46" s="629">
        <f t="shared" si="3"/>
        <v>0.60416666666666674</v>
      </c>
      <c r="U46" s="494" t="s">
        <v>918</v>
      </c>
      <c r="V46" s="620" t="str">
        <f>Joliet_table[[#This Row],[TimeSlot_Start_text]]</f>
        <v>1400</v>
      </c>
      <c r="W46" s="621" t="s">
        <v>380</v>
      </c>
      <c r="X46" s="621"/>
      <c r="Y46" s="621"/>
      <c r="Z46" s="621"/>
      <c r="AA46" s="621"/>
      <c r="AB46" s="494" t="s">
        <v>1079</v>
      </c>
      <c r="AC46" s="494" t="s">
        <v>949</v>
      </c>
      <c r="AD46" s="625" t="s">
        <v>950</v>
      </c>
      <c r="AE46" s="627">
        <v>73104</v>
      </c>
      <c r="AF46" s="623" t="s">
        <v>952</v>
      </c>
      <c r="AG46" s="627">
        <v>7089987986</v>
      </c>
      <c r="AH46" s="494" t="s">
        <v>953</v>
      </c>
      <c r="AI46" s="625" t="s">
        <v>955</v>
      </c>
      <c r="AJ46" s="627">
        <v>73040</v>
      </c>
      <c r="AK46" s="623" t="s">
        <v>956</v>
      </c>
      <c r="AL46" s="627">
        <v>7087431691</v>
      </c>
      <c r="AM46" s="494" t="s">
        <v>786</v>
      </c>
      <c r="AN46" s="625" t="s">
        <v>901</v>
      </c>
      <c r="AO46" s="627">
        <v>22230</v>
      </c>
      <c r="AP46" s="623" t="s">
        <v>882</v>
      </c>
      <c r="AQ46" s="627">
        <v>7089327433</v>
      </c>
    </row>
    <row r="47" spans="1:43" x14ac:dyDescent="0.25">
      <c r="A47" s="625">
        <v>142</v>
      </c>
      <c r="B47" s="494" t="s">
        <v>944</v>
      </c>
      <c r="C47" s="625">
        <v>1012</v>
      </c>
      <c r="D47" s="494" t="s">
        <v>970</v>
      </c>
      <c r="E47" s="627">
        <v>9504643</v>
      </c>
      <c r="F47" s="627">
        <v>73087</v>
      </c>
      <c r="G47" s="494" t="s">
        <v>975</v>
      </c>
      <c r="S47" s="629">
        <f t="shared" si="2"/>
        <v>0.60416666666666663</v>
      </c>
      <c r="T47" s="629">
        <f t="shared" si="3"/>
        <v>0.625</v>
      </c>
      <c r="U47" s="494" t="s">
        <v>919</v>
      </c>
      <c r="V47" s="620" t="str">
        <f>Joliet_table[[#This Row],[TimeSlot_Start_text]]</f>
        <v>1430</v>
      </c>
      <c r="W47" s="621"/>
      <c r="X47" s="621" t="s">
        <v>446</v>
      </c>
      <c r="Y47" s="621"/>
      <c r="Z47" s="621"/>
      <c r="AA47" s="621" t="s">
        <v>446</v>
      </c>
      <c r="AB47" s="494" t="s">
        <v>1080</v>
      </c>
      <c r="AC47" s="494" t="s">
        <v>949</v>
      </c>
      <c r="AD47" s="625" t="s">
        <v>950</v>
      </c>
      <c r="AE47" s="627">
        <v>73104</v>
      </c>
      <c r="AF47" s="623" t="s">
        <v>952</v>
      </c>
      <c r="AG47" s="627">
        <v>7089987986</v>
      </c>
      <c r="AH47" s="494" t="s">
        <v>953</v>
      </c>
      <c r="AI47" s="625" t="s">
        <v>955</v>
      </c>
      <c r="AJ47" s="627">
        <v>73040</v>
      </c>
      <c r="AK47" s="623" t="s">
        <v>956</v>
      </c>
      <c r="AL47" s="627">
        <v>7087431691</v>
      </c>
      <c r="AM47" s="494" t="s">
        <v>786</v>
      </c>
      <c r="AN47" s="625" t="s">
        <v>901</v>
      </c>
      <c r="AO47" s="627">
        <v>22230</v>
      </c>
      <c r="AP47" s="623" t="s">
        <v>882</v>
      </c>
      <c r="AQ47" s="627">
        <v>7089327433</v>
      </c>
    </row>
    <row r="48" spans="1:43" x14ac:dyDescent="0.25">
      <c r="A48" s="625">
        <v>143</v>
      </c>
      <c r="B48" s="494" t="s">
        <v>944</v>
      </c>
      <c r="C48" s="625">
        <v>1012</v>
      </c>
      <c r="D48" s="494" t="s">
        <v>970</v>
      </c>
      <c r="E48" s="627">
        <v>9504643</v>
      </c>
      <c r="F48" s="627">
        <v>73087</v>
      </c>
      <c r="G48" s="494" t="s">
        <v>975</v>
      </c>
      <c r="S48" s="629">
        <f t="shared" si="2"/>
        <v>0.625</v>
      </c>
      <c r="T48" s="629">
        <f t="shared" si="3"/>
        <v>0.64583333333333337</v>
      </c>
      <c r="U48" s="494" t="s">
        <v>920</v>
      </c>
      <c r="V48" s="620" t="str">
        <f>Joliet_table[[#This Row],[TimeSlot_Start_text]]</f>
        <v>1500</v>
      </c>
      <c r="W48" s="621"/>
      <c r="X48" s="621" t="s">
        <v>446</v>
      </c>
      <c r="Y48" s="621"/>
      <c r="Z48" s="621" t="s">
        <v>380</v>
      </c>
      <c r="AA48" s="621" t="s">
        <v>446</v>
      </c>
      <c r="AB48" s="494" t="s">
        <v>1081</v>
      </c>
      <c r="AC48" s="494" t="s">
        <v>949</v>
      </c>
      <c r="AD48" s="625" t="s">
        <v>950</v>
      </c>
      <c r="AE48" s="627">
        <v>73104</v>
      </c>
      <c r="AF48" s="623" t="s">
        <v>952</v>
      </c>
      <c r="AG48" s="627">
        <v>7089987986</v>
      </c>
      <c r="AH48" s="494" t="s">
        <v>953</v>
      </c>
      <c r="AI48" s="625" t="s">
        <v>955</v>
      </c>
      <c r="AJ48" s="627">
        <v>73040</v>
      </c>
      <c r="AK48" s="623" t="s">
        <v>956</v>
      </c>
      <c r="AL48" s="627">
        <v>7087431691</v>
      </c>
      <c r="AM48" s="494" t="s">
        <v>786</v>
      </c>
      <c r="AN48" s="625" t="s">
        <v>901</v>
      </c>
      <c r="AO48" s="627">
        <v>22230</v>
      </c>
      <c r="AP48" s="623" t="s">
        <v>882</v>
      </c>
      <c r="AQ48" s="627">
        <v>7089327433</v>
      </c>
    </row>
    <row r="49" spans="1:43" x14ac:dyDescent="0.25">
      <c r="A49" s="625">
        <v>144</v>
      </c>
      <c r="B49" s="494" t="s">
        <v>944</v>
      </c>
      <c r="C49" s="625">
        <v>1012</v>
      </c>
      <c r="D49" s="494" t="s">
        <v>970</v>
      </c>
      <c r="E49" s="627">
        <v>9504643</v>
      </c>
      <c r="F49" s="627">
        <v>73087</v>
      </c>
      <c r="G49" s="494" t="s">
        <v>975</v>
      </c>
      <c r="S49" s="629">
        <f t="shared" si="2"/>
        <v>0.64583333333333337</v>
      </c>
      <c r="T49" s="629">
        <f t="shared" si="3"/>
        <v>0.66666666666666674</v>
      </c>
      <c r="U49" s="494" t="s">
        <v>921</v>
      </c>
      <c r="V49" s="620" t="str">
        <f>Joliet_table[[#This Row],[TimeSlot_Start_text]]</f>
        <v>1530</v>
      </c>
      <c r="W49" s="621"/>
      <c r="X49" s="621" t="s">
        <v>446</v>
      </c>
      <c r="Y49" s="621"/>
      <c r="Z49" s="621"/>
      <c r="AA49" s="621" t="s">
        <v>446</v>
      </c>
      <c r="AB49" s="494" t="s">
        <v>1082</v>
      </c>
      <c r="AC49" s="494" t="s">
        <v>949</v>
      </c>
      <c r="AD49" s="625" t="s">
        <v>950</v>
      </c>
      <c r="AE49" s="627">
        <v>73104</v>
      </c>
      <c r="AF49" s="623" t="s">
        <v>952</v>
      </c>
      <c r="AG49" s="627">
        <v>7089987986</v>
      </c>
      <c r="AH49" s="494" t="s">
        <v>953</v>
      </c>
      <c r="AI49" s="625" t="s">
        <v>955</v>
      </c>
      <c r="AJ49" s="627">
        <v>73040</v>
      </c>
      <c r="AK49" s="623" t="s">
        <v>956</v>
      </c>
      <c r="AL49" s="627">
        <v>7087431691</v>
      </c>
      <c r="AM49" s="494" t="s">
        <v>786</v>
      </c>
      <c r="AN49" s="625" t="s">
        <v>901</v>
      </c>
      <c r="AO49" s="627">
        <v>22230</v>
      </c>
      <c r="AP49" s="623" t="s">
        <v>882</v>
      </c>
      <c r="AQ49" s="627">
        <v>7089327433</v>
      </c>
    </row>
    <row r="50" spans="1:43" ht="15" customHeight="1" x14ac:dyDescent="0.25">
      <c r="A50" s="625">
        <v>145</v>
      </c>
      <c r="B50" s="494" t="s">
        <v>944</v>
      </c>
      <c r="C50" s="625">
        <v>1013</v>
      </c>
      <c r="D50" s="494" t="s">
        <v>985</v>
      </c>
      <c r="E50" s="627">
        <v>9504644</v>
      </c>
      <c r="F50" s="627">
        <v>73088</v>
      </c>
      <c r="G50" s="494" t="s">
        <v>989</v>
      </c>
      <c r="S50" s="629">
        <f t="shared" si="2"/>
        <v>0.33333333333333331</v>
      </c>
      <c r="T50" s="629">
        <f t="shared" si="3"/>
        <v>0.35416666666666663</v>
      </c>
      <c r="U50" s="494" t="s">
        <v>906</v>
      </c>
      <c r="V50" s="620" t="str">
        <f>Joliet_table[[#This Row],[TimeSlot_Start_text]]</f>
        <v>0800</v>
      </c>
      <c r="W50" s="621" t="s">
        <v>426</v>
      </c>
      <c r="X50" s="621"/>
      <c r="Y50" s="621" t="s">
        <v>426</v>
      </c>
      <c r="Z50" s="621" t="s">
        <v>427</v>
      </c>
      <c r="AA50" s="621"/>
      <c r="AB50" s="494" t="s">
        <v>1083</v>
      </c>
      <c r="AC50" s="494" t="s">
        <v>949</v>
      </c>
      <c r="AD50" s="625" t="s">
        <v>950</v>
      </c>
      <c r="AE50" s="627">
        <v>73104</v>
      </c>
      <c r="AF50" s="623" t="s">
        <v>952</v>
      </c>
      <c r="AG50" s="627">
        <v>7089987986</v>
      </c>
      <c r="AH50" s="494" t="s">
        <v>953</v>
      </c>
      <c r="AI50" s="625" t="s">
        <v>955</v>
      </c>
      <c r="AJ50" s="627">
        <v>73040</v>
      </c>
      <c r="AK50" s="623" t="s">
        <v>956</v>
      </c>
      <c r="AL50" s="627">
        <v>7087431691</v>
      </c>
      <c r="AM50" s="494" t="s">
        <v>786</v>
      </c>
      <c r="AN50" s="625" t="s">
        <v>901</v>
      </c>
      <c r="AO50" s="627">
        <v>22230</v>
      </c>
      <c r="AP50" s="623" t="s">
        <v>882</v>
      </c>
      <c r="AQ50" s="627">
        <v>7089327433</v>
      </c>
    </row>
    <row r="51" spans="1:43" ht="15" customHeight="1" x14ac:dyDescent="0.25">
      <c r="A51" s="625">
        <v>146</v>
      </c>
      <c r="B51" s="494" t="s">
        <v>944</v>
      </c>
      <c r="C51" s="625">
        <v>1013</v>
      </c>
      <c r="D51" s="494" t="s">
        <v>985</v>
      </c>
      <c r="E51" s="627">
        <v>9504644</v>
      </c>
      <c r="F51" s="627">
        <v>73088</v>
      </c>
      <c r="G51" s="494" t="s">
        <v>989</v>
      </c>
      <c r="S51" s="629">
        <f t="shared" si="2"/>
        <v>0.35416666666666669</v>
      </c>
      <c r="T51" s="629">
        <f t="shared" si="3"/>
        <v>0.375</v>
      </c>
      <c r="U51" s="494" t="s">
        <v>907</v>
      </c>
      <c r="V51" s="620" t="str">
        <f>Joliet_table[[#This Row],[TimeSlot_Start_text]]</f>
        <v>0830</v>
      </c>
      <c r="W51" s="621" t="s">
        <v>426</v>
      </c>
      <c r="X51" s="621"/>
      <c r="Y51" s="621" t="s">
        <v>426</v>
      </c>
      <c r="Z51" s="621" t="s">
        <v>427</v>
      </c>
      <c r="AA51" s="621" t="s">
        <v>427</v>
      </c>
      <c r="AB51" s="494" t="s">
        <v>1084</v>
      </c>
      <c r="AC51" s="494" t="s">
        <v>949</v>
      </c>
      <c r="AD51" s="625" t="s">
        <v>950</v>
      </c>
      <c r="AE51" s="627">
        <v>73104</v>
      </c>
      <c r="AF51" s="623" t="s">
        <v>952</v>
      </c>
      <c r="AG51" s="627">
        <v>7089987986</v>
      </c>
      <c r="AH51" s="494" t="s">
        <v>953</v>
      </c>
      <c r="AI51" s="625" t="s">
        <v>955</v>
      </c>
      <c r="AJ51" s="627">
        <v>73040</v>
      </c>
      <c r="AK51" s="623" t="s">
        <v>956</v>
      </c>
      <c r="AL51" s="627">
        <v>7087431691</v>
      </c>
      <c r="AM51" s="494" t="s">
        <v>786</v>
      </c>
      <c r="AN51" s="625" t="s">
        <v>901</v>
      </c>
      <c r="AO51" s="627">
        <v>22230</v>
      </c>
      <c r="AP51" s="623" t="s">
        <v>882</v>
      </c>
      <c r="AQ51" s="627">
        <v>7089327433</v>
      </c>
    </row>
    <row r="52" spans="1:43" ht="15" customHeight="1" x14ac:dyDescent="0.25">
      <c r="A52" s="625">
        <v>147</v>
      </c>
      <c r="B52" s="494" t="s">
        <v>944</v>
      </c>
      <c r="C52" s="625">
        <v>1013</v>
      </c>
      <c r="D52" s="494" t="s">
        <v>985</v>
      </c>
      <c r="E52" s="627">
        <v>9504644</v>
      </c>
      <c r="F52" s="627">
        <v>73088</v>
      </c>
      <c r="G52" s="494" t="s">
        <v>989</v>
      </c>
      <c r="S52" s="629">
        <f t="shared" si="2"/>
        <v>0.375</v>
      </c>
      <c r="T52" s="629">
        <f t="shared" si="3"/>
        <v>0.39583333333333331</v>
      </c>
      <c r="U52" s="494" t="s">
        <v>908</v>
      </c>
      <c r="V52" s="620" t="str">
        <f>Joliet_table[[#This Row],[TimeSlot_Start_text]]</f>
        <v>0900</v>
      </c>
      <c r="W52" s="621" t="s">
        <v>426</v>
      </c>
      <c r="X52" s="621"/>
      <c r="Y52" s="621" t="s">
        <v>426</v>
      </c>
      <c r="Z52" s="621" t="s">
        <v>427</v>
      </c>
      <c r="AA52" s="621" t="s">
        <v>427</v>
      </c>
      <c r="AB52" s="494" t="s">
        <v>1085</v>
      </c>
      <c r="AC52" s="494" t="s">
        <v>949</v>
      </c>
      <c r="AD52" s="625" t="s">
        <v>950</v>
      </c>
      <c r="AE52" s="627">
        <v>73104</v>
      </c>
      <c r="AF52" s="623" t="s">
        <v>952</v>
      </c>
      <c r="AG52" s="627">
        <v>7089987986</v>
      </c>
      <c r="AH52" s="494" t="s">
        <v>953</v>
      </c>
      <c r="AI52" s="625" t="s">
        <v>955</v>
      </c>
      <c r="AJ52" s="627">
        <v>73040</v>
      </c>
      <c r="AK52" s="623" t="s">
        <v>956</v>
      </c>
      <c r="AL52" s="627">
        <v>7087431691</v>
      </c>
      <c r="AM52" s="494" t="s">
        <v>786</v>
      </c>
      <c r="AN52" s="625" t="s">
        <v>901</v>
      </c>
      <c r="AO52" s="627">
        <v>22230</v>
      </c>
      <c r="AP52" s="623" t="s">
        <v>882</v>
      </c>
      <c r="AQ52" s="627">
        <v>7089327433</v>
      </c>
    </row>
    <row r="53" spans="1:43" ht="15" customHeight="1" x14ac:dyDescent="0.25">
      <c r="A53" s="625">
        <v>148</v>
      </c>
      <c r="B53" s="494" t="s">
        <v>944</v>
      </c>
      <c r="C53" s="625">
        <v>1013</v>
      </c>
      <c r="D53" s="494" t="s">
        <v>985</v>
      </c>
      <c r="E53" s="627">
        <v>9504644</v>
      </c>
      <c r="F53" s="627">
        <v>73088</v>
      </c>
      <c r="G53" s="494" t="s">
        <v>989</v>
      </c>
      <c r="S53" s="629">
        <f t="shared" si="2"/>
        <v>0.39583333333333331</v>
      </c>
      <c r="T53" s="629">
        <f t="shared" si="3"/>
        <v>0.41666666666666663</v>
      </c>
      <c r="U53" s="494" t="s">
        <v>909</v>
      </c>
      <c r="V53" s="620" t="str">
        <f>Joliet_table[[#This Row],[TimeSlot_Start_text]]</f>
        <v>0930</v>
      </c>
      <c r="W53" s="621" t="s">
        <v>426</v>
      </c>
      <c r="X53" s="621"/>
      <c r="Y53" s="621" t="s">
        <v>426</v>
      </c>
      <c r="Z53" s="621" t="s">
        <v>427</v>
      </c>
      <c r="AA53" s="621" t="s">
        <v>427</v>
      </c>
      <c r="AB53" s="494" t="s">
        <v>1086</v>
      </c>
      <c r="AC53" s="494" t="s">
        <v>949</v>
      </c>
      <c r="AD53" s="625" t="s">
        <v>950</v>
      </c>
      <c r="AE53" s="627">
        <v>73104</v>
      </c>
      <c r="AF53" s="623" t="s">
        <v>952</v>
      </c>
      <c r="AG53" s="627">
        <v>7089987986</v>
      </c>
      <c r="AH53" s="494" t="s">
        <v>953</v>
      </c>
      <c r="AI53" s="625" t="s">
        <v>955</v>
      </c>
      <c r="AJ53" s="627">
        <v>73040</v>
      </c>
      <c r="AK53" s="623" t="s">
        <v>956</v>
      </c>
      <c r="AL53" s="627">
        <v>7087431691</v>
      </c>
      <c r="AM53" s="494" t="s">
        <v>786</v>
      </c>
      <c r="AN53" s="625" t="s">
        <v>901</v>
      </c>
      <c r="AO53" s="627">
        <v>22230</v>
      </c>
      <c r="AP53" s="623" t="s">
        <v>882</v>
      </c>
      <c r="AQ53" s="627">
        <v>7089327433</v>
      </c>
    </row>
    <row r="54" spans="1:43" x14ac:dyDescent="0.25">
      <c r="A54" s="625">
        <v>149</v>
      </c>
      <c r="B54" s="494" t="s">
        <v>944</v>
      </c>
      <c r="C54" s="625">
        <v>1013</v>
      </c>
      <c r="D54" s="494" t="s">
        <v>985</v>
      </c>
      <c r="E54" s="627">
        <v>9504644</v>
      </c>
      <c r="F54" s="627">
        <v>73088</v>
      </c>
      <c r="G54" s="494" t="s">
        <v>989</v>
      </c>
      <c r="S54" s="629">
        <f t="shared" si="2"/>
        <v>0.41666666666666669</v>
      </c>
      <c r="T54" s="629">
        <f t="shared" si="3"/>
        <v>0.4375</v>
      </c>
      <c r="U54" s="494" t="s">
        <v>910</v>
      </c>
      <c r="V54" s="620" t="str">
        <f>Joliet_table[[#This Row],[TimeSlot_Start_text]]</f>
        <v>1000</v>
      </c>
      <c r="W54" s="621" t="s">
        <v>426</v>
      </c>
      <c r="X54" s="621"/>
      <c r="Y54" s="621" t="s">
        <v>426</v>
      </c>
      <c r="Z54" s="621"/>
      <c r="AA54" s="621"/>
      <c r="AB54" s="494" t="s">
        <v>1073</v>
      </c>
      <c r="AC54" s="494" t="s">
        <v>949</v>
      </c>
      <c r="AD54" s="625" t="s">
        <v>950</v>
      </c>
      <c r="AE54" s="627">
        <v>73104</v>
      </c>
      <c r="AF54" s="623" t="s">
        <v>952</v>
      </c>
      <c r="AG54" s="627">
        <v>7089987986</v>
      </c>
      <c r="AH54" s="494" t="s">
        <v>953</v>
      </c>
      <c r="AI54" s="625" t="s">
        <v>955</v>
      </c>
      <c r="AJ54" s="627">
        <v>73040</v>
      </c>
      <c r="AK54" s="623" t="s">
        <v>956</v>
      </c>
      <c r="AL54" s="627">
        <v>7087431691</v>
      </c>
      <c r="AM54" s="494" t="s">
        <v>786</v>
      </c>
      <c r="AN54" s="625" t="s">
        <v>901</v>
      </c>
      <c r="AO54" s="627">
        <v>22230</v>
      </c>
      <c r="AP54" s="623" t="s">
        <v>882</v>
      </c>
      <c r="AQ54" s="627">
        <v>7089327433</v>
      </c>
    </row>
    <row r="55" spans="1:43" x14ac:dyDescent="0.25">
      <c r="A55" s="625">
        <v>150</v>
      </c>
      <c r="B55" s="494" t="s">
        <v>944</v>
      </c>
      <c r="C55" s="625">
        <v>1013</v>
      </c>
      <c r="D55" s="494" t="s">
        <v>985</v>
      </c>
      <c r="E55" s="627">
        <v>9504644</v>
      </c>
      <c r="F55" s="627">
        <v>73088</v>
      </c>
      <c r="G55" s="494" t="s">
        <v>989</v>
      </c>
      <c r="S55" s="629">
        <f t="shared" si="2"/>
        <v>0.4375</v>
      </c>
      <c r="T55" s="629">
        <f t="shared" si="3"/>
        <v>0.45833333333333331</v>
      </c>
      <c r="U55" s="494" t="s">
        <v>911</v>
      </c>
      <c r="V55" s="620" t="str">
        <f>Joliet_table[[#This Row],[TimeSlot_Start_text]]</f>
        <v>1030</v>
      </c>
      <c r="W55" s="621" t="s">
        <v>426</v>
      </c>
      <c r="X55" s="621"/>
      <c r="Y55" s="621" t="s">
        <v>426</v>
      </c>
      <c r="Z55" s="621" t="s">
        <v>427</v>
      </c>
      <c r="AA55" s="621" t="s">
        <v>427</v>
      </c>
      <c r="AB55" s="494" t="s">
        <v>1074</v>
      </c>
      <c r="AC55" s="494" t="s">
        <v>949</v>
      </c>
      <c r="AD55" s="625" t="s">
        <v>950</v>
      </c>
      <c r="AE55" s="627">
        <v>73104</v>
      </c>
      <c r="AF55" s="623" t="s">
        <v>952</v>
      </c>
      <c r="AG55" s="627">
        <v>7089987986</v>
      </c>
      <c r="AH55" s="494" t="s">
        <v>953</v>
      </c>
      <c r="AI55" s="625" t="s">
        <v>955</v>
      </c>
      <c r="AJ55" s="627">
        <v>73040</v>
      </c>
      <c r="AK55" s="623" t="s">
        <v>956</v>
      </c>
      <c r="AL55" s="627">
        <v>7087431691</v>
      </c>
      <c r="AM55" s="494" t="s">
        <v>786</v>
      </c>
      <c r="AN55" s="625" t="s">
        <v>901</v>
      </c>
      <c r="AO55" s="627">
        <v>22230</v>
      </c>
      <c r="AP55" s="623" t="s">
        <v>882</v>
      </c>
      <c r="AQ55" s="627">
        <v>7089327433</v>
      </c>
    </row>
    <row r="56" spans="1:43" x14ac:dyDescent="0.25">
      <c r="A56" s="625">
        <v>151</v>
      </c>
      <c r="B56" s="494" t="s">
        <v>944</v>
      </c>
      <c r="C56" s="625">
        <v>1013</v>
      </c>
      <c r="D56" s="494" t="s">
        <v>985</v>
      </c>
      <c r="E56" s="627">
        <v>9504644</v>
      </c>
      <c r="F56" s="627">
        <v>73088</v>
      </c>
      <c r="G56" s="494" t="s">
        <v>989</v>
      </c>
      <c r="S56" s="629">
        <f t="shared" si="2"/>
        <v>0.45833333333333331</v>
      </c>
      <c r="T56" s="629">
        <f t="shared" si="3"/>
        <v>0.47916666666666663</v>
      </c>
      <c r="U56" s="494" t="s">
        <v>912</v>
      </c>
      <c r="V56" s="620" t="str">
        <f>Joliet_table[[#This Row],[TimeSlot_Start_text]]</f>
        <v>1100</v>
      </c>
      <c r="W56" s="621"/>
      <c r="X56" s="621"/>
      <c r="Y56" s="621"/>
      <c r="Z56" s="621" t="s">
        <v>427</v>
      </c>
      <c r="AA56" s="621" t="s">
        <v>427</v>
      </c>
      <c r="AB56" s="494" t="s">
        <v>1076</v>
      </c>
      <c r="AC56" s="494" t="s">
        <v>949</v>
      </c>
      <c r="AD56" s="625" t="s">
        <v>950</v>
      </c>
      <c r="AE56" s="627">
        <v>73104</v>
      </c>
      <c r="AF56" s="623" t="s">
        <v>952</v>
      </c>
      <c r="AG56" s="627">
        <v>7089987986</v>
      </c>
      <c r="AH56" s="494" t="s">
        <v>953</v>
      </c>
      <c r="AI56" s="625" t="s">
        <v>955</v>
      </c>
      <c r="AJ56" s="627">
        <v>73040</v>
      </c>
      <c r="AK56" s="623" t="s">
        <v>956</v>
      </c>
      <c r="AL56" s="627">
        <v>7087431691</v>
      </c>
      <c r="AM56" s="494" t="s">
        <v>786</v>
      </c>
      <c r="AN56" s="625" t="s">
        <v>901</v>
      </c>
      <c r="AO56" s="627">
        <v>22230</v>
      </c>
      <c r="AP56" s="623" t="s">
        <v>882</v>
      </c>
      <c r="AQ56" s="627">
        <v>7089327433</v>
      </c>
    </row>
    <row r="57" spans="1:43" x14ac:dyDescent="0.25">
      <c r="A57" s="625">
        <v>152</v>
      </c>
      <c r="B57" s="494" t="s">
        <v>944</v>
      </c>
      <c r="C57" s="625">
        <v>1013</v>
      </c>
      <c r="D57" s="494" t="s">
        <v>985</v>
      </c>
      <c r="E57" s="627">
        <v>9504644</v>
      </c>
      <c r="F57" s="627">
        <v>73088</v>
      </c>
      <c r="G57" s="494" t="s">
        <v>989</v>
      </c>
      <c r="S57" s="629">
        <f t="shared" si="2"/>
        <v>0.47916666666666669</v>
      </c>
      <c r="T57" s="629">
        <f t="shared" si="3"/>
        <v>0.5</v>
      </c>
      <c r="U57" s="494" t="s">
        <v>913</v>
      </c>
      <c r="V57" s="620" t="str">
        <f>Joliet_table[[#This Row],[TimeSlot_Start_text]]</f>
        <v>1130</v>
      </c>
      <c r="W57" s="621"/>
      <c r="X57" s="621"/>
      <c r="Y57" s="621"/>
      <c r="Z57" s="621" t="s">
        <v>427</v>
      </c>
      <c r="AA57" s="621" t="s">
        <v>427</v>
      </c>
      <c r="AB57" s="494" t="s">
        <v>1075</v>
      </c>
      <c r="AC57" s="494" t="s">
        <v>949</v>
      </c>
      <c r="AD57" s="625" t="s">
        <v>950</v>
      </c>
      <c r="AE57" s="627">
        <v>73104</v>
      </c>
      <c r="AF57" s="623" t="s">
        <v>952</v>
      </c>
      <c r="AG57" s="627">
        <v>7089987986</v>
      </c>
      <c r="AH57" s="494" t="s">
        <v>953</v>
      </c>
      <c r="AI57" s="625" t="s">
        <v>955</v>
      </c>
      <c r="AJ57" s="627">
        <v>73040</v>
      </c>
      <c r="AK57" s="623" t="s">
        <v>956</v>
      </c>
      <c r="AL57" s="627">
        <v>7087431691</v>
      </c>
      <c r="AM57" s="494" t="s">
        <v>786</v>
      </c>
      <c r="AN57" s="625" t="s">
        <v>901</v>
      </c>
      <c r="AO57" s="627">
        <v>22230</v>
      </c>
      <c r="AP57" s="623" t="s">
        <v>882</v>
      </c>
      <c r="AQ57" s="627">
        <v>7089327433</v>
      </c>
    </row>
    <row r="58" spans="1:43" ht="15" customHeight="1" x14ac:dyDescent="0.25">
      <c r="A58" s="625">
        <v>153</v>
      </c>
      <c r="B58" s="494" t="s">
        <v>944</v>
      </c>
      <c r="C58" s="625">
        <v>1013</v>
      </c>
      <c r="D58" s="494" t="s">
        <v>985</v>
      </c>
      <c r="E58" s="627">
        <v>9504644</v>
      </c>
      <c r="F58" s="627">
        <v>73088</v>
      </c>
      <c r="G58" s="494" t="s">
        <v>989</v>
      </c>
      <c r="S58" s="629">
        <f t="shared" si="2"/>
        <v>0.5</v>
      </c>
      <c r="T58" s="629">
        <f t="shared" si="3"/>
        <v>0.52083333333333337</v>
      </c>
      <c r="U58" s="494" t="s">
        <v>914</v>
      </c>
      <c r="V58" s="620" t="str">
        <f>Joliet_table[[#This Row],[TimeSlot_Start_text]]</f>
        <v>1200</v>
      </c>
      <c r="W58" s="621" t="s">
        <v>354</v>
      </c>
      <c r="X58" s="621" t="s">
        <v>354</v>
      </c>
      <c r="Y58" s="621" t="s">
        <v>354</v>
      </c>
      <c r="Z58" s="621" t="s">
        <v>354</v>
      </c>
      <c r="AA58" s="621" t="s">
        <v>354</v>
      </c>
      <c r="AB58" s="494" t="s">
        <v>1077</v>
      </c>
      <c r="AC58" s="494" t="s">
        <v>949</v>
      </c>
      <c r="AD58" s="625" t="s">
        <v>950</v>
      </c>
      <c r="AE58" s="627">
        <v>73104</v>
      </c>
      <c r="AF58" s="623" t="s">
        <v>952</v>
      </c>
      <c r="AG58" s="627">
        <v>7089987986</v>
      </c>
      <c r="AH58" s="494" t="s">
        <v>953</v>
      </c>
      <c r="AI58" s="625" t="s">
        <v>955</v>
      </c>
      <c r="AJ58" s="627">
        <v>73040</v>
      </c>
      <c r="AK58" s="623" t="s">
        <v>956</v>
      </c>
      <c r="AL58" s="627">
        <v>7087431691</v>
      </c>
      <c r="AM58" s="494" t="s">
        <v>786</v>
      </c>
      <c r="AN58" s="625" t="s">
        <v>901</v>
      </c>
      <c r="AO58" s="627">
        <v>22230</v>
      </c>
      <c r="AP58" s="623" t="s">
        <v>882</v>
      </c>
      <c r="AQ58" s="627">
        <v>7089327433</v>
      </c>
    </row>
    <row r="59" spans="1:43" ht="15.75" customHeight="1" x14ac:dyDescent="0.25">
      <c r="A59" s="625">
        <v>154</v>
      </c>
      <c r="B59" s="494" t="s">
        <v>944</v>
      </c>
      <c r="C59" s="625">
        <v>1013</v>
      </c>
      <c r="D59" s="494" t="s">
        <v>985</v>
      </c>
      <c r="E59" s="627">
        <v>9504644</v>
      </c>
      <c r="F59" s="627">
        <v>73088</v>
      </c>
      <c r="G59" s="494" t="s">
        <v>989</v>
      </c>
      <c r="S59" s="629">
        <f t="shared" si="2"/>
        <v>0.52083333333333337</v>
      </c>
      <c r="T59" s="629">
        <f t="shared" si="3"/>
        <v>0.54166666666666674</v>
      </c>
      <c r="U59" s="494" t="s">
        <v>915</v>
      </c>
      <c r="V59" s="620" t="str">
        <f>Joliet_table[[#This Row],[TimeSlot_Start_text]]</f>
        <v>1230</v>
      </c>
      <c r="W59" s="621" t="s">
        <v>354</v>
      </c>
      <c r="X59" s="621" t="s">
        <v>354</v>
      </c>
      <c r="Y59" s="621" t="s">
        <v>354</v>
      </c>
      <c r="Z59" s="621" t="s">
        <v>354</v>
      </c>
      <c r="AA59" s="621" t="s">
        <v>354</v>
      </c>
      <c r="AB59" s="494" t="s">
        <v>1078</v>
      </c>
      <c r="AC59" s="494" t="s">
        <v>949</v>
      </c>
      <c r="AD59" s="625" t="s">
        <v>950</v>
      </c>
      <c r="AE59" s="627">
        <v>73104</v>
      </c>
      <c r="AF59" s="623" t="s">
        <v>952</v>
      </c>
      <c r="AG59" s="627">
        <v>7089987986</v>
      </c>
      <c r="AH59" s="494" t="s">
        <v>953</v>
      </c>
      <c r="AI59" s="625" t="s">
        <v>955</v>
      </c>
      <c r="AJ59" s="627">
        <v>73040</v>
      </c>
      <c r="AK59" s="623" t="s">
        <v>956</v>
      </c>
      <c r="AL59" s="627">
        <v>7087431691</v>
      </c>
      <c r="AM59" s="494" t="s">
        <v>786</v>
      </c>
      <c r="AN59" s="625" t="s">
        <v>901</v>
      </c>
      <c r="AO59" s="627">
        <v>22230</v>
      </c>
      <c r="AP59" s="623" t="s">
        <v>882</v>
      </c>
      <c r="AQ59" s="627">
        <v>7089327433</v>
      </c>
    </row>
    <row r="60" spans="1:43" x14ac:dyDescent="0.25">
      <c r="A60" s="625">
        <v>155</v>
      </c>
      <c r="B60" s="494" t="s">
        <v>944</v>
      </c>
      <c r="C60" s="625">
        <v>1013</v>
      </c>
      <c r="D60" s="494" t="s">
        <v>985</v>
      </c>
      <c r="E60" s="627">
        <v>9504644</v>
      </c>
      <c r="F60" s="627">
        <v>73088</v>
      </c>
      <c r="G60" s="494" t="s">
        <v>989</v>
      </c>
      <c r="S60" s="629">
        <f t="shared" si="2"/>
        <v>0.54166666666666663</v>
      </c>
      <c r="T60" s="629">
        <f t="shared" si="3"/>
        <v>0.5625</v>
      </c>
      <c r="U60" s="494" t="s">
        <v>916</v>
      </c>
      <c r="V60" s="620" t="str">
        <f>Joliet_table[[#This Row],[TimeSlot_Start_text]]</f>
        <v>1300</v>
      </c>
      <c r="W60" s="621" t="s">
        <v>426</v>
      </c>
      <c r="X60" s="621" t="s">
        <v>442</v>
      </c>
      <c r="Y60" s="621" t="s">
        <v>442</v>
      </c>
      <c r="Z60" s="621" t="s">
        <v>427</v>
      </c>
      <c r="AA60" s="621" t="s">
        <v>427</v>
      </c>
      <c r="AB60" s="494" t="s">
        <v>1071</v>
      </c>
      <c r="AC60" s="494" t="s">
        <v>949</v>
      </c>
      <c r="AD60" s="625" t="s">
        <v>950</v>
      </c>
      <c r="AE60" s="627">
        <v>73104</v>
      </c>
      <c r="AF60" s="623" t="s">
        <v>952</v>
      </c>
      <c r="AG60" s="627">
        <v>7089987986</v>
      </c>
      <c r="AH60" s="494" t="s">
        <v>953</v>
      </c>
      <c r="AI60" s="625" t="s">
        <v>955</v>
      </c>
      <c r="AJ60" s="627">
        <v>73040</v>
      </c>
      <c r="AK60" s="623" t="s">
        <v>956</v>
      </c>
      <c r="AL60" s="627">
        <v>7087431691</v>
      </c>
      <c r="AM60" s="494" t="s">
        <v>786</v>
      </c>
      <c r="AN60" s="625" t="s">
        <v>901</v>
      </c>
      <c r="AO60" s="627">
        <v>22230</v>
      </c>
      <c r="AP60" s="623" t="s">
        <v>882</v>
      </c>
      <c r="AQ60" s="627">
        <v>7089327433</v>
      </c>
    </row>
    <row r="61" spans="1:43" x14ac:dyDescent="0.25">
      <c r="A61" s="625">
        <v>156</v>
      </c>
      <c r="B61" s="494" t="s">
        <v>944</v>
      </c>
      <c r="C61" s="625">
        <v>1013</v>
      </c>
      <c r="D61" s="494" t="s">
        <v>985</v>
      </c>
      <c r="E61" s="627">
        <v>9504644</v>
      </c>
      <c r="F61" s="627">
        <v>73088</v>
      </c>
      <c r="G61" s="494" t="s">
        <v>989</v>
      </c>
      <c r="S61" s="629">
        <f t="shared" si="2"/>
        <v>0.5625</v>
      </c>
      <c r="T61" s="629">
        <f t="shared" si="3"/>
        <v>0.58333333333333337</v>
      </c>
      <c r="U61" s="494" t="s">
        <v>917</v>
      </c>
      <c r="V61" s="620" t="str">
        <f>Joliet_table[[#This Row],[TimeSlot_Start_text]]</f>
        <v>1330</v>
      </c>
      <c r="W61" s="621" t="s">
        <v>426</v>
      </c>
      <c r="X61" s="621" t="s">
        <v>442</v>
      </c>
      <c r="Y61" s="621" t="s">
        <v>442</v>
      </c>
      <c r="Z61" s="621" t="s">
        <v>427</v>
      </c>
      <c r="AA61" s="621" t="s">
        <v>427</v>
      </c>
      <c r="AB61" s="494" t="s">
        <v>1072</v>
      </c>
      <c r="AC61" s="494" t="s">
        <v>949</v>
      </c>
      <c r="AD61" s="625" t="s">
        <v>950</v>
      </c>
      <c r="AE61" s="627">
        <v>73104</v>
      </c>
      <c r="AF61" s="623" t="s">
        <v>952</v>
      </c>
      <c r="AG61" s="627">
        <v>7089987986</v>
      </c>
      <c r="AH61" s="494" t="s">
        <v>953</v>
      </c>
      <c r="AI61" s="625" t="s">
        <v>955</v>
      </c>
      <c r="AJ61" s="627">
        <v>73040</v>
      </c>
      <c r="AK61" s="623" t="s">
        <v>956</v>
      </c>
      <c r="AL61" s="627">
        <v>7087431691</v>
      </c>
      <c r="AM61" s="494" t="s">
        <v>786</v>
      </c>
      <c r="AN61" s="625" t="s">
        <v>901</v>
      </c>
      <c r="AO61" s="627">
        <v>22230</v>
      </c>
      <c r="AP61" s="623" t="s">
        <v>882</v>
      </c>
      <c r="AQ61" s="627">
        <v>7089327433</v>
      </c>
    </row>
    <row r="62" spans="1:43" x14ac:dyDescent="0.25">
      <c r="A62" s="625">
        <v>157</v>
      </c>
      <c r="B62" s="494" t="s">
        <v>944</v>
      </c>
      <c r="C62" s="625">
        <v>1013</v>
      </c>
      <c r="D62" s="494" t="s">
        <v>985</v>
      </c>
      <c r="E62" s="627">
        <v>9504644</v>
      </c>
      <c r="F62" s="627">
        <v>73088</v>
      </c>
      <c r="G62" s="494" t="s">
        <v>989</v>
      </c>
      <c r="S62" s="629">
        <f t="shared" si="2"/>
        <v>0.58333333333333337</v>
      </c>
      <c r="T62" s="629">
        <f t="shared" si="3"/>
        <v>0.60416666666666674</v>
      </c>
      <c r="U62" s="494" t="s">
        <v>918</v>
      </c>
      <c r="V62" s="620" t="str">
        <f>Joliet_table[[#This Row],[TimeSlot_Start_text]]</f>
        <v>1400</v>
      </c>
      <c r="W62" s="621" t="s">
        <v>426</v>
      </c>
      <c r="X62" s="621"/>
      <c r="Y62" s="621"/>
      <c r="Z62" s="621" t="s">
        <v>427</v>
      </c>
      <c r="AA62" s="621" t="s">
        <v>427</v>
      </c>
      <c r="AB62" s="494" t="s">
        <v>1079</v>
      </c>
      <c r="AC62" s="494" t="s">
        <v>949</v>
      </c>
      <c r="AD62" s="625" t="s">
        <v>950</v>
      </c>
      <c r="AE62" s="627">
        <v>73104</v>
      </c>
      <c r="AF62" s="623" t="s">
        <v>952</v>
      </c>
      <c r="AG62" s="627">
        <v>7089987986</v>
      </c>
      <c r="AH62" s="494" t="s">
        <v>953</v>
      </c>
      <c r="AI62" s="625" t="s">
        <v>955</v>
      </c>
      <c r="AJ62" s="627">
        <v>73040</v>
      </c>
      <c r="AK62" s="623" t="s">
        <v>956</v>
      </c>
      <c r="AL62" s="627">
        <v>7087431691</v>
      </c>
      <c r="AM62" s="494" t="s">
        <v>786</v>
      </c>
      <c r="AN62" s="625" t="s">
        <v>901</v>
      </c>
      <c r="AO62" s="627">
        <v>22230</v>
      </c>
      <c r="AP62" s="623" t="s">
        <v>882</v>
      </c>
      <c r="AQ62" s="627">
        <v>7089327433</v>
      </c>
    </row>
    <row r="63" spans="1:43" x14ac:dyDescent="0.25">
      <c r="A63" s="625">
        <v>158</v>
      </c>
      <c r="B63" s="494" t="s">
        <v>944</v>
      </c>
      <c r="C63" s="625">
        <v>1013</v>
      </c>
      <c r="D63" s="494" t="s">
        <v>985</v>
      </c>
      <c r="E63" s="627">
        <v>9504644</v>
      </c>
      <c r="F63" s="627">
        <v>73088</v>
      </c>
      <c r="G63" s="494" t="s">
        <v>989</v>
      </c>
      <c r="S63" s="629">
        <f t="shared" si="2"/>
        <v>0.60416666666666663</v>
      </c>
      <c r="T63" s="629">
        <f t="shared" si="3"/>
        <v>0.625</v>
      </c>
      <c r="U63" s="494" t="s">
        <v>919</v>
      </c>
      <c r="V63" s="620" t="str">
        <f>Joliet_table[[#This Row],[TimeSlot_Start_text]]</f>
        <v>1430</v>
      </c>
      <c r="W63" s="621" t="s">
        <v>426</v>
      </c>
      <c r="X63" s="621"/>
      <c r="Y63" s="621"/>
      <c r="Z63" s="621" t="s">
        <v>427</v>
      </c>
      <c r="AA63" s="621" t="s">
        <v>427</v>
      </c>
      <c r="AB63" s="494" t="s">
        <v>1080</v>
      </c>
      <c r="AC63" s="494" t="s">
        <v>949</v>
      </c>
      <c r="AD63" s="625" t="s">
        <v>950</v>
      </c>
      <c r="AE63" s="627">
        <v>73104</v>
      </c>
      <c r="AF63" s="623" t="s">
        <v>952</v>
      </c>
      <c r="AG63" s="627">
        <v>7089987986</v>
      </c>
      <c r="AH63" s="494" t="s">
        <v>953</v>
      </c>
      <c r="AI63" s="625" t="s">
        <v>955</v>
      </c>
      <c r="AJ63" s="627">
        <v>73040</v>
      </c>
      <c r="AK63" s="623" t="s">
        <v>956</v>
      </c>
      <c r="AL63" s="627">
        <v>7087431691</v>
      </c>
      <c r="AM63" s="494" t="s">
        <v>786</v>
      </c>
      <c r="AN63" s="625" t="s">
        <v>901</v>
      </c>
      <c r="AO63" s="627">
        <v>22230</v>
      </c>
      <c r="AP63" s="623" t="s">
        <v>882</v>
      </c>
      <c r="AQ63" s="627">
        <v>7089327433</v>
      </c>
    </row>
    <row r="64" spans="1:43" x14ac:dyDescent="0.25">
      <c r="A64" s="625">
        <v>159</v>
      </c>
      <c r="B64" s="494" t="s">
        <v>944</v>
      </c>
      <c r="C64" s="625">
        <v>1013</v>
      </c>
      <c r="D64" s="494" t="s">
        <v>985</v>
      </c>
      <c r="E64" s="627">
        <v>9504644</v>
      </c>
      <c r="F64" s="627">
        <v>73088</v>
      </c>
      <c r="G64" s="494" t="s">
        <v>989</v>
      </c>
      <c r="S64" s="629">
        <f t="shared" si="2"/>
        <v>0.625</v>
      </c>
      <c r="T64" s="629">
        <f t="shared" si="3"/>
        <v>0.64583333333333337</v>
      </c>
      <c r="U64" s="494" t="s">
        <v>920</v>
      </c>
      <c r="V64" s="620" t="str">
        <f>Joliet_table[[#This Row],[TimeSlot_Start_text]]</f>
        <v>1500</v>
      </c>
      <c r="W64" s="621" t="s">
        <v>426</v>
      </c>
      <c r="X64" s="621"/>
      <c r="Y64" s="621"/>
      <c r="Z64" s="621" t="s">
        <v>427</v>
      </c>
      <c r="AA64" s="621" t="s">
        <v>427</v>
      </c>
      <c r="AB64" s="494" t="s">
        <v>1081</v>
      </c>
      <c r="AC64" s="494" t="s">
        <v>949</v>
      </c>
      <c r="AD64" s="625" t="s">
        <v>950</v>
      </c>
      <c r="AE64" s="627">
        <v>73104</v>
      </c>
      <c r="AF64" s="623" t="s">
        <v>952</v>
      </c>
      <c r="AG64" s="627">
        <v>7089987986</v>
      </c>
      <c r="AH64" s="494" t="s">
        <v>953</v>
      </c>
      <c r="AI64" s="625" t="s">
        <v>955</v>
      </c>
      <c r="AJ64" s="627">
        <v>73040</v>
      </c>
      <c r="AK64" s="623" t="s">
        <v>956</v>
      </c>
      <c r="AL64" s="627">
        <v>7087431691</v>
      </c>
      <c r="AM64" s="494" t="s">
        <v>786</v>
      </c>
      <c r="AN64" s="625" t="s">
        <v>901</v>
      </c>
      <c r="AO64" s="627">
        <v>22230</v>
      </c>
      <c r="AP64" s="623" t="s">
        <v>882</v>
      </c>
      <c r="AQ64" s="627">
        <v>7089327433</v>
      </c>
    </row>
    <row r="65" spans="1:43" x14ac:dyDescent="0.25">
      <c r="A65" s="625">
        <v>160</v>
      </c>
      <c r="B65" s="494" t="s">
        <v>944</v>
      </c>
      <c r="C65" s="625">
        <v>1013</v>
      </c>
      <c r="D65" s="494" t="s">
        <v>985</v>
      </c>
      <c r="E65" s="627">
        <v>9504644</v>
      </c>
      <c r="F65" s="627">
        <v>73088</v>
      </c>
      <c r="G65" s="494" t="s">
        <v>989</v>
      </c>
      <c r="S65" s="629">
        <f t="shared" si="2"/>
        <v>0.64583333333333337</v>
      </c>
      <c r="T65" s="629">
        <f t="shared" si="3"/>
        <v>0.66666666666666674</v>
      </c>
      <c r="U65" s="494" t="s">
        <v>921</v>
      </c>
      <c r="V65" s="620" t="str">
        <f>Joliet_table[[#This Row],[TimeSlot_Start_text]]</f>
        <v>1530</v>
      </c>
      <c r="W65" s="621"/>
      <c r="X65" s="621"/>
      <c r="Y65" s="621"/>
      <c r="Z65" s="621" t="s">
        <v>427</v>
      </c>
      <c r="AA65" s="621" t="s">
        <v>427</v>
      </c>
      <c r="AB65" s="494" t="s">
        <v>1082</v>
      </c>
      <c r="AC65" s="494" t="s">
        <v>949</v>
      </c>
      <c r="AD65" s="625" t="s">
        <v>950</v>
      </c>
      <c r="AE65" s="627">
        <v>73104</v>
      </c>
      <c r="AF65" s="623" t="s">
        <v>952</v>
      </c>
      <c r="AG65" s="627">
        <v>7089987986</v>
      </c>
      <c r="AH65" s="494" t="s">
        <v>953</v>
      </c>
      <c r="AI65" s="625" t="s">
        <v>955</v>
      </c>
      <c r="AJ65" s="627">
        <v>73040</v>
      </c>
      <c r="AK65" s="623" t="s">
        <v>956</v>
      </c>
      <c r="AL65" s="627">
        <v>7087431691</v>
      </c>
      <c r="AM65" s="494" t="s">
        <v>786</v>
      </c>
      <c r="AN65" s="625" t="s">
        <v>901</v>
      </c>
      <c r="AO65" s="627">
        <v>22230</v>
      </c>
      <c r="AP65" s="623" t="s">
        <v>882</v>
      </c>
      <c r="AQ65" s="627">
        <v>7089327433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36DE9-E245-4E13-9C53-79E4D154287C}">
  <dimension ref="A1:AQ81"/>
  <sheetViews>
    <sheetView workbookViewId="0">
      <pane ySplit="1" topLeftCell="A2" activePane="bottomLeft" state="frozen"/>
      <selection pane="bottomLeft" activeCell="D13" sqref="D13"/>
    </sheetView>
  </sheetViews>
  <sheetFormatPr defaultRowHeight="15" x14ac:dyDescent="0.25"/>
  <cols>
    <col min="1" max="1" width="9.7109375" style="620" bestFit="1" customWidth="1"/>
    <col min="2" max="2" width="20.5703125" style="494" bestFit="1" customWidth="1"/>
    <col min="3" max="3" width="18" style="494" bestFit="1" customWidth="1"/>
    <col min="4" max="4" width="21.140625" style="494" bestFit="1" customWidth="1"/>
    <col min="5" max="5" width="24" style="627" bestFit="1" customWidth="1"/>
    <col min="6" max="6" width="29" style="627" bestFit="1" customWidth="1"/>
    <col min="7" max="7" width="24.85546875" style="494" bestFit="1" customWidth="1"/>
    <col min="8" max="8" width="18.140625" style="494" bestFit="1" customWidth="1"/>
    <col min="9" max="9" width="30.42578125" style="628" bestFit="1" customWidth="1"/>
    <col min="10" max="10" width="25.140625" style="494" bestFit="1" customWidth="1"/>
    <col min="11" max="11" width="34.7109375" style="632" bestFit="1" customWidth="1"/>
    <col min="12" max="12" width="34.140625" style="632" bestFit="1" customWidth="1"/>
    <col min="13" max="13" width="38.42578125" style="494" bestFit="1" customWidth="1"/>
    <col min="14" max="14" width="33.42578125" style="494" bestFit="1" customWidth="1"/>
    <col min="15" max="15" width="33.5703125" style="494" bestFit="1" customWidth="1"/>
    <col min="16" max="16" width="34.42578125" style="494" bestFit="1" customWidth="1"/>
    <col min="17" max="17" width="30.28515625" style="628" bestFit="1" customWidth="1"/>
    <col min="18" max="18" width="30" style="628" bestFit="1" customWidth="1"/>
    <col min="19" max="19" width="23.85546875" style="629" bestFit="1" customWidth="1"/>
    <col min="20" max="20" width="22.5703125" style="629" bestFit="1" customWidth="1"/>
    <col min="21" max="21" width="23.140625" style="494" bestFit="1" customWidth="1"/>
    <col min="22" max="22" width="27.140625" style="494" bestFit="1" customWidth="1"/>
    <col min="23" max="23" width="27.7109375" style="494" bestFit="1" customWidth="1"/>
    <col min="24" max="24" width="21.85546875" style="494" bestFit="1" customWidth="1"/>
    <col min="25" max="25" width="25" style="494" bestFit="1" customWidth="1"/>
    <col min="26" max="26" width="22.42578125" style="494" bestFit="1" customWidth="1"/>
    <col min="27" max="27" width="21.85546875" style="494" bestFit="1" customWidth="1"/>
    <col min="28" max="28" width="17.7109375" style="494" bestFit="1" customWidth="1"/>
    <col min="29" max="29" width="18.7109375" style="494" bestFit="1" customWidth="1"/>
    <col min="30" max="30" width="23.28515625" style="625" bestFit="1" customWidth="1"/>
    <col min="31" max="31" width="23.28515625" style="627" bestFit="1" customWidth="1"/>
    <col min="32" max="32" width="16.42578125" style="623" bestFit="1" customWidth="1"/>
    <col min="33" max="33" width="20.42578125" style="494" bestFit="1" customWidth="1"/>
    <col min="34" max="34" width="20.140625" style="494" bestFit="1" customWidth="1"/>
    <col min="35" max="35" width="25.5703125" style="625" bestFit="1" customWidth="1"/>
    <col min="36" max="36" width="24.7109375" style="627" bestFit="1" customWidth="1"/>
    <col min="37" max="37" width="17.7109375" style="623" bestFit="1" customWidth="1"/>
    <col min="38" max="38" width="21.7109375" style="627" bestFit="1" customWidth="1"/>
    <col min="39" max="39" width="18.5703125" style="494" bestFit="1" customWidth="1"/>
    <col min="40" max="40" width="21.7109375" style="625" bestFit="1" customWidth="1"/>
    <col min="41" max="41" width="23.140625" style="627" bestFit="1" customWidth="1"/>
    <col min="42" max="42" width="17.42578125" style="623" bestFit="1" customWidth="1"/>
    <col min="43" max="43" width="20.28515625" style="627" bestFit="1" customWidth="1"/>
    <col min="44" max="16384" width="9.140625" style="494"/>
  </cols>
  <sheetData>
    <row r="1" spans="1:43" s="495" customFormat="1" ht="15.75" x14ac:dyDescent="0.25">
      <c r="A1" s="619" t="s">
        <v>1093</v>
      </c>
      <c r="B1" s="495" t="s">
        <v>872</v>
      </c>
      <c r="C1" s="495" t="s">
        <v>971</v>
      </c>
      <c r="D1" s="495" t="s">
        <v>978</v>
      </c>
      <c r="E1" s="626" t="s">
        <v>1088</v>
      </c>
      <c r="F1" s="626" t="s">
        <v>1089</v>
      </c>
      <c r="G1" s="495" t="s">
        <v>886</v>
      </c>
      <c r="H1" s="495" t="s">
        <v>1094</v>
      </c>
      <c r="I1" s="633" t="s">
        <v>1103</v>
      </c>
      <c r="J1" s="495" t="s">
        <v>1104</v>
      </c>
      <c r="K1" s="631" t="s">
        <v>1100</v>
      </c>
      <c r="L1" s="631" t="s">
        <v>1097</v>
      </c>
      <c r="M1" s="495" t="s">
        <v>1098</v>
      </c>
      <c r="N1" s="495" t="s">
        <v>1101</v>
      </c>
      <c r="O1" s="495" t="s">
        <v>1099</v>
      </c>
      <c r="P1" s="495" t="s">
        <v>1102</v>
      </c>
      <c r="Q1" s="633" t="s">
        <v>1095</v>
      </c>
      <c r="R1" s="633" t="s">
        <v>1096</v>
      </c>
      <c r="S1" s="630" t="s">
        <v>1069</v>
      </c>
      <c r="T1" s="630" t="s">
        <v>1070</v>
      </c>
      <c r="U1" s="495" t="s">
        <v>905</v>
      </c>
      <c r="V1" s="619" t="s">
        <v>1087</v>
      </c>
      <c r="W1" s="495" t="s">
        <v>874</v>
      </c>
      <c r="X1" s="495" t="s">
        <v>875</v>
      </c>
      <c r="Y1" s="495" t="s">
        <v>876</v>
      </c>
      <c r="Z1" s="495" t="s">
        <v>877</v>
      </c>
      <c r="AA1" s="495" t="s">
        <v>878</v>
      </c>
      <c r="AB1" s="495" t="s">
        <v>873</v>
      </c>
      <c r="AC1" s="495" t="s">
        <v>888</v>
      </c>
      <c r="AD1" s="624" t="s">
        <v>889</v>
      </c>
      <c r="AE1" s="626" t="s">
        <v>1090</v>
      </c>
      <c r="AF1" s="622" t="s">
        <v>891</v>
      </c>
      <c r="AG1" s="495" t="s">
        <v>959</v>
      </c>
      <c r="AH1" s="495" t="s">
        <v>892</v>
      </c>
      <c r="AI1" s="624" t="s">
        <v>893</v>
      </c>
      <c r="AJ1" s="626" t="s">
        <v>1092</v>
      </c>
      <c r="AK1" s="622" t="s">
        <v>897</v>
      </c>
      <c r="AL1" s="626" t="s">
        <v>958</v>
      </c>
      <c r="AM1" s="495" t="s">
        <v>898</v>
      </c>
      <c r="AN1" s="624" t="s">
        <v>900</v>
      </c>
      <c r="AO1" s="626" t="s">
        <v>1091</v>
      </c>
      <c r="AP1" s="622" t="s">
        <v>940</v>
      </c>
      <c r="AQ1" s="619" t="s">
        <v>957</v>
      </c>
    </row>
    <row r="2" spans="1:43" ht="15" customHeight="1" x14ac:dyDescent="0.25">
      <c r="A2" s="625">
        <v>161</v>
      </c>
      <c r="B2" s="494" t="s">
        <v>589</v>
      </c>
      <c r="C2" s="625">
        <v>101</v>
      </c>
      <c r="D2" s="494" t="s">
        <v>1014</v>
      </c>
      <c r="E2" s="627">
        <v>9504579</v>
      </c>
      <c r="F2" s="627">
        <v>29331</v>
      </c>
      <c r="G2" s="494" t="s">
        <v>1018</v>
      </c>
      <c r="S2" s="629">
        <f t="shared" ref="S2:S33" si="0">TIME(LEFT(U2,2),RIGHT(U2,2),"00")</f>
        <v>0.33333333333333331</v>
      </c>
      <c r="T2" s="629">
        <f t="shared" ref="T2:T33" si="1">S2+(TIME("00","30","00"))</f>
        <v>0.35416666666666663</v>
      </c>
      <c r="U2" s="494" t="s">
        <v>906</v>
      </c>
      <c r="V2" s="620" t="str">
        <f>Kankakee_table[[#This Row],[TimeSlot_Start_text]]</f>
        <v>0800</v>
      </c>
      <c r="W2" s="621"/>
      <c r="X2" s="621"/>
      <c r="Y2" s="621" t="s">
        <v>381</v>
      </c>
      <c r="Z2" s="621"/>
      <c r="AA2" s="621"/>
      <c r="AB2" s="494" t="s">
        <v>1083</v>
      </c>
      <c r="AD2" s="625" t="s">
        <v>1020</v>
      </c>
      <c r="AG2" s="627"/>
      <c r="AH2" s="494" t="s">
        <v>1021</v>
      </c>
      <c r="AI2" s="625" t="s">
        <v>1022</v>
      </c>
      <c r="AJ2" s="627">
        <v>25092</v>
      </c>
      <c r="AK2" s="623" t="s">
        <v>1024</v>
      </c>
      <c r="AL2" s="627">
        <v>7089287239</v>
      </c>
      <c r="AM2" s="494" t="s">
        <v>786</v>
      </c>
      <c r="AN2" s="625" t="s">
        <v>901</v>
      </c>
      <c r="AO2" s="627">
        <v>22230</v>
      </c>
      <c r="AP2" s="623" t="s">
        <v>882</v>
      </c>
      <c r="AQ2" s="627">
        <v>7089327433</v>
      </c>
    </row>
    <row r="3" spans="1:43" ht="15" customHeight="1" x14ac:dyDescent="0.25">
      <c r="A3" s="625">
        <v>162</v>
      </c>
      <c r="B3" s="494" t="s">
        <v>589</v>
      </c>
      <c r="C3" s="625">
        <v>101</v>
      </c>
      <c r="D3" s="494" t="s">
        <v>1014</v>
      </c>
      <c r="E3" s="627">
        <v>9504579</v>
      </c>
      <c r="F3" s="627">
        <v>29331</v>
      </c>
      <c r="G3" s="494" t="s">
        <v>1018</v>
      </c>
      <c r="S3" s="629">
        <f t="shared" si="0"/>
        <v>0.35416666666666669</v>
      </c>
      <c r="T3" s="629">
        <f t="shared" si="1"/>
        <v>0.375</v>
      </c>
      <c r="U3" s="494" t="s">
        <v>907</v>
      </c>
      <c r="V3" s="620" t="str">
        <f>Kankakee_table[[#This Row],[TimeSlot_Start_text]]</f>
        <v>0830</v>
      </c>
      <c r="W3" s="621" t="s">
        <v>618</v>
      </c>
      <c r="X3" s="621"/>
      <c r="Y3" s="621"/>
      <c r="Z3" s="621"/>
      <c r="AA3" s="621"/>
      <c r="AB3" s="494" t="s">
        <v>1084</v>
      </c>
      <c r="AD3" s="625" t="s">
        <v>1020</v>
      </c>
      <c r="AG3" s="627"/>
      <c r="AH3" s="494" t="s">
        <v>1021</v>
      </c>
      <c r="AI3" s="625" t="s">
        <v>1022</v>
      </c>
      <c r="AJ3" s="627">
        <v>25092</v>
      </c>
      <c r="AK3" s="623" t="s">
        <v>1024</v>
      </c>
      <c r="AL3" s="627">
        <v>7089287239</v>
      </c>
      <c r="AM3" s="494" t="s">
        <v>786</v>
      </c>
      <c r="AN3" s="625" t="s">
        <v>901</v>
      </c>
      <c r="AO3" s="627">
        <v>22230</v>
      </c>
      <c r="AP3" s="623" t="s">
        <v>882</v>
      </c>
      <c r="AQ3" s="627">
        <v>7089327433</v>
      </c>
    </row>
    <row r="4" spans="1:43" ht="15" customHeight="1" x14ac:dyDescent="0.25">
      <c r="A4" s="625">
        <v>163</v>
      </c>
      <c r="B4" s="494" t="s">
        <v>589</v>
      </c>
      <c r="C4" s="625">
        <v>101</v>
      </c>
      <c r="D4" s="494" t="s">
        <v>1014</v>
      </c>
      <c r="E4" s="627">
        <v>9504579</v>
      </c>
      <c r="F4" s="627">
        <v>29331</v>
      </c>
      <c r="G4" s="494" t="s">
        <v>1018</v>
      </c>
      <c r="S4" s="629">
        <f t="shared" si="0"/>
        <v>0.375</v>
      </c>
      <c r="T4" s="629">
        <f t="shared" si="1"/>
        <v>0.39583333333333331</v>
      </c>
      <c r="U4" s="494" t="s">
        <v>908</v>
      </c>
      <c r="V4" s="620" t="str">
        <f>Kankakee_table[[#This Row],[TimeSlot_Start_text]]</f>
        <v>0900</v>
      </c>
      <c r="W4" s="621" t="s">
        <v>618</v>
      </c>
      <c r="X4" s="621"/>
      <c r="Y4" s="621"/>
      <c r="Z4" s="621"/>
      <c r="AA4" s="621"/>
      <c r="AB4" s="494" t="s">
        <v>1085</v>
      </c>
      <c r="AD4" s="625" t="s">
        <v>1020</v>
      </c>
      <c r="AG4" s="627"/>
      <c r="AH4" s="494" t="s">
        <v>1021</v>
      </c>
      <c r="AI4" s="625" t="s">
        <v>1022</v>
      </c>
      <c r="AJ4" s="627">
        <v>25092</v>
      </c>
      <c r="AK4" s="623" t="s">
        <v>1024</v>
      </c>
      <c r="AL4" s="627">
        <v>7089287239</v>
      </c>
      <c r="AM4" s="494" t="s">
        <v>786</v>
      </c>
      <c r="AN4" s="625" t="s">
        <v>901</v>
      </c>
      <c r="AO4" s="627">
        <v>22230</v>
      </c>
      <c r="AP4" s="623" t="s">
        <v>882</v>
      </c>
      <c r="AQ4" s="627">
        <v>7089327433</v>
      </c>
    </row>
    <row r="5" spans="1:43" ht="15" customHeight="1" x14ac:dyDescent="0.25">
      <c r="A5" s="625">
        <v>164</v>
      </c>
      <c r="B5" s="494" t="s">
        <v>589</v>
      </c>
      <c r="C5" s="625">
        <v>101</v>
      </c>
      <c r="D5" s="494" t="s">
        <v>1014</v>
      </c>
      <c r="E5" s="627">
        <v>9504579</v>
      </c>
      <c r="F5" s="627">
        <v>29331</v>
      </c>
      <c r="G5" s="494" t="s">
        <v>1018</v>
      </c>
      <c r="S5" s="629">
        <f t="shared" si="0"/>
        <v>0.39583333333333331</v>
      </c>
      <c r="T5" s="629">
        <f t="shared" si="1"/>
        <v>0.41666666666666663</v>
      </c>
      <c r="U5" s="494" t="s">
        <v>909</v>
      </c>
      <c r="V5" s="620" t="str">
        <f>Kankakee_table[[#This Row],[TimeSlot_Start_text]]</f>
        <v>0930</v>
      </c>
      <c r="W5" s="621" t="s">
        <v>618</v>
      </c>
      <c r="X5" s="621"/>
      <c r="Y5" s="621"/>
      <c r="Z5" s="621"/>
      <c r="AA5" s="621"/>
      <c r="AB5" s="494" t="s">
        <v>1086</v>
      </c>
      <c r="AD5" s="625" t="s">
        <v>1020</v>
      </c>
      <c r="AG5" s="627"/>
      <c r="AH5" s="494" t="s">
        <v>1021</v>
      </c>
      <c r="AI5" s="625" t="s">
        <v>1022</v>
      </c>
      <c r="AJ5" s="627">
        <v>25092</v>
      </c>
      <c r="AK5" s="623" t="s">
        <v>1024</v>
      </c>
      <c r="AL5" s="627">
        <v>7089287239</v>
      </c>
      <c r="AM5" s="494" t="s">
        <v>786</v>
      </c>
      <c r="AN5" s="625" t="s">
        <v>901</v>
      </c>
      <c r="AO5" s="627">
        <v>22230</v>
      </c>
      <c r="AP5" s="623" t="s">
        <v>882</v>
      </c>
      <c r="AQ5" s="627">
        <v>7089327433</v>
      </c>
    </row>
    <row r="6" spans="1:43" x14ac:dyDescent="0.25">
      <c r="A6" s="625">
        <v>165</v>
      </c>
      <c r="B6" s="494" t="s">
        <v>589</v>
      </c>
      <c r="C6" s="625">
        <v>101</v>
      </c>
      <c r="D6" s="494" t="s">
        <v>1014</v>
      </c>
      <c r="E6" s="627">
        <v>9504579</v>
      </c>
      <c r="F6" s="627">
        <v>29331</v>
      </c>
      <c r="G6" s="494" t="s">
        <v>1018</v>
      </c>
      <c r="S6" s="629">
        <f t="shared" si="0"/>
        <v>0.41666666666666669</v>
      </c>
      <c r="T6" s="629">
        <f t="shared" si="1"/>
        <v>0.4375</v>
      </c>
      <c r="U6" s="494" t="s">
        <v>910</v>
      </c>
      <c r="V6" s="620" t="str">
        <f>Kankakee_table[[#This Row],[TimeSlot_Start_text]]</f>
        <v>1000</v>
      </c>
      <c r="W6" s="621" t="s">
        <v>618</v>
      </c>
      <c r="X6" s="621"/>
      <c r="Y6" s="621"/>
      <c r="Z6" s="621" t="s">
        <v>380</v>
      </c>
      <c r="AA6" s="621"/>
      <c r="AB6" s="494" t="s">
        <v>1073</v>
      </c>
      <c r="AD6" s="625" t="s">
        <v>1020</v>
      </c>
      <c r="AG6" s="627"/>
      <c r="AH6" s="494" t="s">
        <v>1021</v>
      </c>
      <c r="AI6" s="625" t="s">
        <v>1022</v>
      </c>
      <c r="AJ6" s="627">
        <v>25092</v>
      </c>
      <c r="AK6" s="623" t="s">
        <v>1024</v>
      </c>
      <c r="AL6" s="627">
        <v>7089287239</v>
      </c>
      <c r="AM6" s="494" t="s">
        <v>786</v>
      </c>
      <c r="AN6" s="625" t="s">
        <v>901</v>
      </c>
      <c r="AO6" s="627">
        <v>22230</v>
      </c>
      <c r="AP6" s="623" t="s">
        <v>882</v>
      </c>
      <c r="AQ6" s="627">
        <v>7089327433</v>
      </c>
    </row>
    <row r="7" spans="1:43" x14ac:dyDescent="0.25">
      <c r="A7" s="625">
        <v>166</v>
      </c>
      <c r="B7" s="494" t="s">
        <v>589</v>
      </c>
      <c r="C7" s="625">
        <v>101</v>
      </c>
      <c r="D7" s="494" t="s">
        <v>1014</v>
      </c>
      <c r="E7" s="627">
        <v>9504579</v>
      </c>
      <c r="F7" s="627">
        <v>29331</v>
      </c>
      <c r="G7" s="494" t="s">
        <v>1018</v>
      </c>
      <c r="S7" s="629">
        <f t="shared" si="0"/>
        <v>0.4375</v>
      </c>
      <c r="T7" s="629">
        <f t="shared" si="1"/>
        <v>0.45833333333333331</v>
      </c>
      <c r="U7" s="494" t="s">
        <v>911</v>
      </c>
      <c r="V7" s="620" t="str">
        <f>Kankakee_table[[#This Row],[TimeSlot_Start_text]]</f>
        <v>1030</v>
      </c>
      <c r="W7" s="621" t="s">
        <v>618</v>
      </c>
      <c r="X7" s="621"/>
      <c r="Y7" s="621"/>
      <c r="Z7" s="621"/>
      <c r="AA7" s="621"/>
      <c r="AB7" s="494" t="s">
        <v>1074</v>
      </c>
      <c r="AD7" s="625" t="s">
        <v>1020</v>
      </c>
      <c r="AG7" s="627"/>
      <c r="AH7" s="494" t="s">
        <v>1021</v>
      </c>
      <c r="AI7" s="625" t="s">
        <v>1022</v>
      </c>
      <c r="AJ7" s="627">
        <v>25092</v>
      </c>
      <c r="AK7" s="623" t="s">
        <v>1024</v>
      </c>
      <c r="AL7" s="627">
        <v>7089287239</v>
      </c>
      <c r="AM7" s="494" t="s">
        <v>786</v>
      </c>
      <c r="AN7" s="625" t="s">
        <v>901</v>
      </c>
      <c r="AO7" s="627">
        <v>22230</v>
      </c>
      <c r="AP7" s="623" t="s">
        <v>882</v>
      </c>
      <c r="AQ7" s="627">
        <v>7089327433</v>
      </c>
    </row>
    <row r="8" spans="1:43" x14ac:dyDescent="0.25">
      <c r="A8" s="625">
        <v>167</v>
      </c>
      <c r="B8" s="494" t="s">
        <v>589</v>
      </c>
      <c r="C8" s="625">
        <v>101</v>
      </c>
      <c r="D8" s="494" t="s">
        <v>1014</v>
      </c>
      <c r="E8" s="627">
        <v>9504579</v>
      </c>
      <c r="F8" s="627">
        <v>29331</v>
      </c>
      <c r="G8" s="494" t="s">
        <v>1018</v>
      </c>
      <c r="S8" s="629">
        <f t="shared" si="0"/>
        <v>0.45833333333333331</v>
      </c>
      <c r="T8" s="629">
        <f t="shared" si="1"/>
        <v>0.47916666666666663</v>
      </c>
      <c r="U8" s="494" t="s">
        <v>912</v>
      </c>
      <c r="V8" s="620" t="str">
        <f>Kankakee_table[[#This Row],[TimeSlot_Start_text]]</f>
        <v>1100</v>
      </c>
      <c r="W8" s="621" t="s">
        <v>618</v>
      </c>
      <c r="X8" s="621"/>
      <c r="Y8" s="621"/>
      <c r="Z8" s="621"/>
      <c r="AA8" s="621"/>
      <c r="AB8" s="494" t="s">
        <v>1076</v>
      </c>
      <c r="AD8" s="625" t="s">
        <v>1020</v>
      </c>
      <c r="AG8" s="627"/>
      <c r="AH8" s="494" t="s">
        <v>1021</v>
      </c>
      <c r="AI8" s="625" t="s">
        <v>1022</v>
      </c>
      <c r="AJ8" s="627">
        <v>25092</v>
      </c>
      <c r="AK8" s="623" t="s">
        <v>1024</v>
      </c>
      <c r="AL8" s="627">
        <v>7089287239</v>
      </c>
      <c r="AM8" s="494" t="s">
        <v>786</v>
      </c>
      <c r="AN8" s="625" t="s">
        <v>901</v>
      </c>
      <c r="AO8" s="627">
        <v>22230</v>
      </c>
      <c r="AP8" s="623" t="s">
        <v>882</v>
      </c>
      <c r="AQ8" s="627">
        <v>7089327433</v>
      </c>
    </row>
    <row r="9" spans="1:43" x14ac:dyDescent="0.25">
      <c r="A9" s="625">
        <v>168</v>
      </c>
      <c r="B9" s="494" t="s">
        <v>589</v>
      </c>
      <c r="C9" s="625">
        <v>101</v>
      </c>
      <c r="D9" s="494" t="s">
        <v>1014</v>
      </c>
      <c r="E9" s="627">
        <v>9504579</v>
      </c>
      <c r="F9" s="627">
        <v>29331</v>
      </c>
      <c r="G9" s="494" t="s">
        <v>1018</v>
      </c>
      <c r="S9" s="629">
        <f t="shared" si="0"/>
        <v>0.47916666666666669</v>
      </c>
      <c r="T9" s="629">
        <f t="shared" si="1"/>
        <v>0.5</v>
      </c>
      <c r="U9" s="494" t="s">
        <v>913</v>
      </c>
      <c r="V9" s="620" t="str">
        <f>Kankakee_table[[#This Row],[TimeSlot_Start_text]]</f>
        <v>1130</v>
      </c>
      <c r="W9" s="621" t="s">
        <v>618</v>
      </c>
      <c r="X9" s="621"/>
      <c r="Y9" s="621"/>
      <c r="Z9" s="621"/>
      <c r="AA9" s="621"/>
      <c r="AB9" s="494" t="s">
        <v>1075</v>
      </c>
      <c r="AD9" s="625" t="s">
        <v>1020</v>
      </c>
      <c r="AG9" s="627"/>
      <c r="AH9" s="494" t="s">
        <v>1021</v>
      </c>
      <c r="AI9" s="625" t="s">
        <v>1022</v>
      </c>
      <c r="AJ9" s="627">
        <v>25092</v>
      </c>
      <c r="AK9" s="623" t="s">
        <v>1024</v>
      </c>
      <c r="AL9" s="627">
        <v>7089287239</v>
      </c>
      <c r="AM9" s="494" t="s">
        <v>786</v>
      </c>
      <c r="AN9" s="625" t="s">
        <v>901</v>
      </c>
      <c r="AO9" s="627">
        <v>22230</v>
      </c>
      <c r="AP9" s="623" t="s">
        <v>882</v>
      </c>
      <c r="AQ9" s="627">
        <v>7089327433</v>
      </c>
    </row>
    <row r="10" spans="1:43" ht="15" customHeight="1" x14ac:dyDescent="0.25">
      <c r="A10" s="625">
        <v>169</v>
      </c>
      <c r="B10" s="494" t="s">
        <v>589</v>
      </c>
      <c r="C10" s="625">
        <v>101</v>
      </c>
      <c r="D10" s="494" t="s">
        <v>1014</v>
      </c>
      <c r="E10" s="627">
        <v>9504579</v>
      </c>
      <c r="F10" s="627">
        <v>29331</v>
      </c>
      <c r="G10" s="494" t="s">
        <v>1018</v>
      </c>
      <c r="S10" s="629">
        <f t="shared" si="0"/>
        <v>0.5</v>
      </c>
      <c r="T10" s="629">
        <f t="shared" si="1"/>
        <v>0.52083333333333337</v>
      </c>
      <c r="U10" s="494" t="s">
        <v>914</v>
      </c>
      <c r="V10" s="620" t="str">
        <f>Kankakee_table[[#This Row],[TimeSlot_Start_text]]</f>
        <v>1200</v>
      </c>
      <c r="W10" s="621" t="s">
        <v>354</v>
      </c>
      <c r="X10" s="621" t="s">
        <v>354</v>
      </c>
      <c r="Y10" s="621" t="s">
        <v>354</v>
      </c>
      <c r="Z10" s="621" t="s">
        <v>354</v>
      </c>
      <c r="AA10" s="621" t="s">
        <v>354</v>
      </c>
      <c r="AB10" s="494" t="s">
        <v>1077</v>
      </c>
      <c r="AD10" s="625" t="s">
        <v>1020</v>
      </c>
      <c r="AG10" s="627"/>
      <c r="AH10" s="494" t="s">
        <v>1021</v>
      </c>
      <c r="AI10" s="625" t="s">
        <v>1022</v>
      </c>
      <c r="AJ10" s="627">
        <v>25092</v>
      </c>
      <c r="AK10" s="623" t="s">
        <v>1024</v>
      </c>
      <c r="AL10" s="627">
        <v>7089287239</v>
      </c>
      <c r="AM10" s="494" t="s">
        <v>786</v>
      </c>
      <c r="AN10" s="625" t="s">
        <v>901</v>
      </c>
      <c r="AO10" s="627">
        <v>22230</v>
      </c>
      <c r="AP10" s="623" t="s">
        <v>882</v>
      </c>
      <c r="AQ10" s="627">
        <v>7089327433</v>
      </c>
    </row>
    <row r="11" spans="1:43" ht="15.75" customHeight="1" x14ac:dyDescent="0.25">
      <c r="A11" s="625">
        <v>170</v>
      </c>
      <c r="B11" s="494" t="s">
        <v>589</v>
      </c>
      <c r="C11" s="625">
        <v>101</v>
      </c>
      <c r="D11" s="494" t="s">
        <v>1014</v>
      </c>
      <c r="E11" s="627">
        <v>9504579</v>
      </c>
      <c r="F11" s="627">
        <v>29331</v>
      </c>
      <c r="G11" s="494" t="s">
        <v>1018</v>
      </c>
      <c r="S11" s="629">
        <f t="shared" si="0"/>
        <v>0.52083333333333337</v>
      </c>
      <c r="T11" s="629">
        <f t="shared" si="1"/>
        <v>0.54166666666666674</v>
      </c>
      <c r="U11" s="494" t="s">
        <v>915</v>
      </c>
      <c r="V11" s="620" t="str">
        <f>Kankakee_table[[#This Row],[TimeSlot_Start_text]]</f>
        <v>1230</v>
      </c>
      <c r="W11" s="621" t="s">
        <v>354</v>
      </c>
      <c r="X11" s="621" t="s">
        <v>354</v>
      </c>
      <c r="Y11" s="621" t="s">
        <v>354</v>
      </c>
      <c r="Z11" s="621" t="s">
        <v>354</v>
      </c>
      <c r="AA11" s="621" t="s">
        <v>354</v>
      </c>
      <c r="AB11" s="494" t="s">
        <v>1078</v>
      </c>
      <c r="AD11" s="625" t="s">
        <v>1020</v>
      </c>
      <c r="AG11" s="627"/>
      <c r="AH11" s="494" t="s">
        <v>1021</v>
      </c>
      <c r="AI11" s="625" t="s">
        <v>1022</v>
      </c>
      <c r="AJ11" s="627">
        <v>25092</v>
      </c>
      <c r="AK11" s="623" t="s">
        <v>1024</v>
      </c>
      <c r="AL11" s="627">
        <v>7089287239</v>
      </c>
      <c r="AM11" s="494" t="s">
        <v>786</v>
      </c>
      <c r="AN11" s="625" t="s">
        <v>901</v>
      </c>
      <c r="AO11" s="627">
        <v>22230</v>
      </c>
      <c r="AP11" s="623" t="s">
        <v>882</v>
      </c>
      <c r="AQ11" s="627">
        <v>7089327433</v>
      </c>
    </row>
    <row r="12" spans="1:43" x14ac:dyDescent="0.25">
      <c r="A12" s="625">
        <v>171</v>
      </c>
      <c r="B12" s="494" t="s">
        <v>589</v>
      </c>
      <c r="C12" s="625">
        <v>101</v>
      </c>
      <c r="D12" s="494" t="s">
        <v>1014</v>
      </c>
      <c r="E12" s="627">
        <v>9504579</v>
      </c>
      <c r="F12" s="627">
        <v>29331</v>
      </c>
      <c r="G12" s="494" t="s">
        <v>1018</v>
      </c>
      <c r="S12" s="629">
        <f t="shared" si="0"/>
        <v>0.54166666666666663</v>
      </c>
      <c r="T12" s="629">
        <f t="shared" si="1"/>
        <v>0.5625</v>
      </c>
      <c r="U12" s="494" t="s">
        <v>916</v>
      </c>
      <c r="V12" s="620" t="str">
        <f>Kankakee_table[[#This Row],[TimeSlot_Start_text]]</f>
        <v>1300</v>
      </c>
      <c r="W12" s="621" t="s">
        <v>629</v>
      </c>
      <c r="X12" s="621"/>
      <c r="Y12" s="621"/>
      <c r="Z12" s="621" t="s">
        <v>618</v>
      </c>
      <c r="AA12" s="621"/>
      <c r="AB12" s="494" t="s">
        <v>1071</v>
      </c>
      <c r="AD12" s="625" t="s">
        <v>1020</v>
      </c>
      <c r="AG12" s="627"/>
      <c r="AH12" s="494" t="s">
        <v>1021</v>
      </c>
      <c r="AI12" s="625" t="s">
        <v>1022</v>
      </c>
      <c r="AJ12" s="627">
        <v>25092</v>
      </c>
      <c r="AK12" s="623" t="s">
        <v>1024</v>
      </c>
      <c r="AL12" s="627">
        <v>7089287239</v>
      </c>
      <c r="AM12" s="494" t="s">
        <v>786</v>
      </c>
      <c r="AN12" s="625" t="s">
        <v>901</v>
      </c>
      <c r="AO12" s="627">
        <v>22230</v>
      </c>
      <c r="AP12" s="623" t="s">
        <v>882</v>
      </c>
      <c r="AQ12" s="627">
        <v>7089327433</v>
      </c>
    </row>
    <row r="13" spans="1:43" x14ac:dyDescent="0.25">
      <c r="A13" s="625">
        <v>172</v>
      </c>
      <c r="B13" s="494" t="s">
        <v>589</v>
      </c>
      <c r="C13" s="625">
        <v>101</v>
      </c>
      <c r="D13" s="494" t="s">
        <v>1014</v>
      </c>
      <c r="E13" s="627">
        <v>9504579</v>
      </c>
      <c r="F13" s="627">
        <v>29331</v>
      </c>
      <c r="G13" s="494" t="s">
        <v>1018</v>
      </c>
      <c r="S13" s="629">
        <f t="shared" si="0"/>
        <v>0.5625</v>
      </c>
      <c r="T13" s="629">
        <f t="shared" si="1"/>
        <v>0.58333333333333337</v>
      </c>
      <c r="U13" s="494" t="s">
        <v>917</v>
      </c>
      <c r="V13" s="620" t="str">
        <f>Kankakee_table[[#This Row],[TimeSlot_Start_text]]</f>
        <v>1330</v>
      </c>
      <c r="W13" s="621" t="s">
        <v>629</v>
      </c>
      <c r="X13" s="621"/>
      <c r="Y13" s="621"/>
      <c r="Z13" s="621" t="s">
        <v>618</v>
      </c>
      <c r="AA13" s="621"/>
      <c r="AB13" s="494" t="s">
        <v>1072</v>
      </c>
      <c r="AD13" s="625" t="s">
        <v>1020</v>
      </c>
      <c r="AG13" s="627"/>
      <c r="AH13" s="494" t="s">
        <v>1021</v>
      </c>
      <c r="AI13" s="625" t="s">
        <v>1022</v>
      </c>
      <c r="AJ13" s="627">
        <v>25092</v>
      </c>
      <c r="AK13" s="623" t="s">
        <v>1024</v>
      </c>
      <c r="AL13" s="627">
        <v>7089287239</v>
      </c>
      <c r="AM13" s="494" t="s">
        <v>786</v>
      </c>
      <c r="AN13" s="625" t="s">
        <v>901</v>
      </c>
      <c r="AO13" s="627">
        <v>22230</v>
      </c>
      <c r="AP13" s="623" t="s">
        <v>882</v>
      </c>
      <c r="AQ13" s="627">
        <v>7089327433</v>
      </c>
    </row>
    <row r="14" spans="1:43" x14ac:dyDescent="0.25">
      <c r="A14" s="625">
        <v>173</v>
      </c>
      <c r="B14" s="494" t="s">
        <v>589</v>
      </c>
      <c r="C14" s="625">
        <v>101</v>
      </c>
      <c r="D14" s="494" t="s">
        <v>1014</v>
      </c>
      <c r="E14" s="627">
        <v>9504579</v>
      </c>
      <c r="F14" s="627">
        <v>29331</v>
      </c>
      <c r="G14" s="494" t="s">
        <v>1018</v>
      </c>
      <c r="S14" s="629">
        <f t="shared" si="0"/>
        <v>0.58333333333333337</v>
      </c>
      <c r="T14" s="629">
        <f t="shared" si="1"/>
        <v>0.60416666666666674</v>
      </c>
      <c r="U14" s="494" t="s">
        <v>918</v>
      </c>
      <c r="V14" s="620" t="str">
        <f>Kankakee_table[[#This Row],[TimeSlot_Start_text]]</f>
        <v>1400</v>
      </c>
      <c r="W14" s="621" t="s">
        <v>629</v>
      </c>
      <c r="X14" s="621" t="s">
        <v>381</v>
      </c>
      <c r="Y14" s="621"/>
      <c r="Z14" s="621" t="s">
        <v>618</v>
      </c>
      <c r="AA14" s="621"/>
      <c r="AB14" s="494" t="s">
        <v>1079</v>
      </c>
      <c r="AD14" s="625" t="s">
        <v>1020</v>
      </c>
      <c r="AG14" s="627"/>
      <c r="AH14" s="494" t="s">
        <v>1021</v>
      </c>
      <c r="AI14" s="625" t="s">
        <v>1022</v>
      </c>
      <c r="AJ14" s="627">
        <v>25092</v>
      </c>
      <c r="AK14" s="623" t="s">
        <v>1024</v>
      </c>
      <c r="AL14" s="627">
        <v>7089287239</v>
      </c>
      <c r="AM14" s="494" t="s">
        <v>786</v>
      </c>
      <c r="AN14" s="625" t="s">
        <v>901</v>
      </c>
      <c r="AO14" s="627">
        <v>22230</v>
      </c>
      <c r="AP14" s="623" t="s">
        <v>882</v>
      </c>
      <c r="AQ14" s="627">
        <v>7089327433</v>
      </c>
    </row>
    <row r="15" spans="1:43" x14ac:dyDescent="0.25">
      <c r="A15" s="625">
        <v>174</v>
      </c>
      <c r="B15" s="494" t="s">
        <v>589</v>
      </c>
      <c r="C15" s="625">
        <v>101</v>
      </c>
      <c r="D15" s="494" t="s">
        <v>1014</v>
      </c>
      <c r="E15" s="627">
        <v>9504579</v>
      </c>
      <c r="F15" s="627">
        <v>29331</v>
      </c>
      <c r="G15" s="494" t="s">
        <v>1018</v>
      </c>
      <c r="S15" s="629">
        <f t="shared" si="0"/>
        <v>0.60416666666666663</v>
      </c>
      <c r="T15" s="629">
        <f t="shared" si="1"/>
        <v>0.625</v>
      </c>
      <c r="U15" s="494" t="s">
        <v>919</v>
      </c>
      <c r="V15" s="620" t="str">
        <f>Kankakee_table[[#This Row],[TimeSlot_Start_text]]</f>
        <v>1430</v>
      </c>
      <c r="W15" s="621" t="s">
        <v>629</v>
      </c>
      <c r="X15" s="621"/>
      <c r="Y15" s="621" t="s">
        <v>381</v>
      </c>
      <c r="Z15" s="621" t="s">
        <v>618</v>
      </c>
      <c r="AA15" s="621"/>
      <c r="AB15" s="494" t="s">
        <v>1080</v>
      </c>
      <c r="AD15" s="625" t="s">
        <v>1020</v>
      </c>
      <c r="AG15" s="627"/>
      <c r="AH15" s="494" t="s">
        <v>1021</v>
      </c>
      <c r="AI15" s="625" t="s">
        <v>1022</v>
      </c>
      <c r="AJ15" s="627">
        <v>25092</v>
      </c>
      <c r="AK15" s="623" t="s">
        <v>1024</v>
      </c>
      <c r="AL15" s="627">
        <v>7089287239</v>
      </c>
      <c r="AM15" s="494" t="s">
        <v>786</v>
      </c>
      <c r="AN15" s="625" t="s">
        <v>901</v>
      </c>
      <c r="AO15" s="627">
        <v>22230</v>
      </c>
      <c r="AP15" s="623" t="s">
        <v>882</v>
      </c>
      <c r="AQ15" s="627">
        <v>7089327433</v>
      </c>
    </row>
    <row r="16" spans="1:43" x14ac:dyDescent="0.25">
      <c r="A16" s="625">
        <v>175</v>
      </c>
      <c r="B16" s="494" t="s">
        <v>589</v>
      </c>
      <c r="C16" s="625">
        <v>101</v>
      </c>
      <c r="D16" s="494" t="s">
        <v>1014</v>
      </c>
      <c r="E16" s="627">
        <v>9504579</v>
      </c>
      <c r="F16" s="627">
        <v>29331</v>
      </c>
      <c r="G16" s="494" t="s">
        <v>1018</v>
      </c>
      <c r="S16" s="629">
        <f t="shared" si="0"/>
        <v>0.625</v>
      </c>
      <c r="T16" s="629">
        <f t="shared" si="1"/>
        <v>0.64583333333333337</v>
      </c>
      <c r="U16" s="494" t="s">
        <v>920</v>
      </c>
      <c r="V16" s="620" t="str">
        <f>Kankakee_table[[#This Row],[TimeSlot_Start_text]]</f>
        <v>1500</v>
      </c>
      <c r="W16" s="621" t="s">
        <v>629</v>
      </c>
      <c r="X16" s="621"/>
      <c r="Y16" s="621"/>
      <c r="Z16" s="621" t="s">
        <v>618</v>
      </c>
      <c r="AA16" s="621"/>
      <c r="AB16" s="494" t="s">
        <v>1081</v>
      </c>
      <c r="AD16" s="625" t="s">
        <v>1020</v>
      </c>
      <c r="AG16" s="627"/>
      <c r="AH16" s="494" t="s">
        <v>1021</v>
      </c>
      <c r="AI16" s="625" t="s">
        <v>1022</v>
      </c>
      <c r="AJ16" s="627">
        <v>25092</v>
      </c>
      <c r="AK16" s="623" t="s">
        <v>1024</v>
      </c>
      <c r="AL16" s="627">
        <v>7089287239</v>
      </c>
      <c r="AM16" s="494" t="s">
        <v>786</v>
      </c>
      <c r="AN16" s="625" t="s">
        <v>901</v>
      </c>
      <c r="AO16" s="627">
        <v>22230</v>
      </c>
      <c r="AP16" s="623" t="s">
        <v>882</v>
      </c>
      <c r="AQ16" s="627">
        <v>7089327433</v>
      </c>
    </row>
    <row r="17" spans="1:43" x14ac:dyDescent="0.25">
      <c r="A17" s="625">
        <v>176</v>
      </c>
      <c r="B17" s="494" t="s">
        <v>589</v>
      </c>
      <c r="C17" s="625">
        <v>101</v>
      </c>
      <c r="D17" s="494" t="s">
        <v>1014</v>
      </c>
      <c r="E17" s="627">
        <v>9504579</v>
      </c>
      <c r="F17" s="627">
        <v>29331</v>
      </c>
      <c r="G17" s="494" t="s">
        <v>1018</v>
      </c>
      <c r="S17" s="629">
        <f t="shared" si="0"/>
        <v>0.64583333333333337</v>
      </c>
      <c r="T17" s="629">
        <f t="shared" si="1"/>
        <v>0.66666666666666674</v>
      </c>
      <c r="U17" s="494" t="s">
        <v>921</v>
      </c>
      <c r="V17" s="620" t="str">
        <f>Kankakee_table[[#This Row],[TimeSlot_Start_text]]</f>
        <v>1530</v>
      </c>
      <c r="W17" s="621" t="s">
        <v>629</v>
      </c>
      <c r="X17" s="621"/>
      <c r="Y17" s="621"/>
      <c r="Z17" s="621" t="s">
        <v>618</v>
      </c>
      <c r="AA17" s="621"/>
      <c r="AB17" s="494" t="s">
        <v>1082</v>
      </c>
      <c r="AD17" s="625" t="s">
        <v>1020</v>
      </c>
      <c r="AG17" s="627"/>
      <c r="AH17" s="494" t="s">
        <v>1021</v>
      </c>
      <c r="AI17" s="625" t="s">
        <v>1022</v>
      </c>
      <c r="AJ17" s="627">
        <v>25092</v>
      </c>
      <c r="AK17" s="623" t="s">
        <v>1024</v>
      </c>
      <c r="AL17" s="627">
        <v>7089287239</v>
      </c>
      <c r="AM17" s="494" t="s">
        <v>786</v>
      </c>
      <c r="AN17" s="625" t="s">
        <v>901</v>
      </c>
      <c r="AO17" s="627">
        <v>22230</v>
      </c>
      <c r="AP17" s="623" t="s">
        <v>882</v>
      </c>
      <c r="AQ17" s="627">
        <v>7089327433</v>
      </c>
    </row>
    <row r="18" spans="1:43" ht="15" customHeight="1" x14ac:dyDescent="0.25">
      <c r="A18" s="625">
        <v>177</v>
      </c>
      <c r="B18" s="494" t="s">
        <v>589</v>
      </c>
      <c r="C18" s="625">
        <v>102</v>
      </c>
      <c r="D18" s="494" t="s">
        <v>1026</v>
      </c>
      <c r="E18" s="627">
        <v>9504453</v>
      </c>
      <c r="F18" s="627">
        <v>29332</v>
      </c>
      <c r="G18" s="494" t="s">
        <v>1029</v>
      </c>
      <c r="S18" s="629">
        <f t="shared" si="0"/>
        <v>0.33333333333333331</v>
      </c>
      <c r="T18" s="629">
        <f t="shared" si="1"/>
        <v>0.35416666666666663</v>
      </c>
      <c r="U18" s="494" t="s">
        <v>906</v>
      </c>
      <c r="V18" s="620" t="str">
        <f>Kankakee_table[[#This Row],[TimeSlot_Start_text]]</f>
        <v>0800</v>
      </c>
      <c r="W18" s="621" t="s">
        <v>381</v>
      </c>
      <c r="X18" s="621" t="s">
        <v>380</v>
      </c>
      <c r="Y18" s="621"/>
      <c r="Z18" s="621"/>
      <c r="AA18" s="621"/>
      <c r="AB18" s="494" t="s">
        <v>1083</v>
      </c>
      <c r="AD18" s="625" t="s">
        <v>1020</v>
      </c>
      <c r="AG18" s="627"/>
      <c r="AH18" s="494" t="s">
        <v>1021</v>
      </c>
      <c r="AI18" s="625" t="s">
        <v>1022</v>
      </c>
      <c r="AJ18" s="627">
        <v>25092</v>
      </c>
      <c r="AK18" s="623" t="s">
        <v>1024</v>
      </c>
      <c r="AL18" s="627">
        <v>7089287239</v>
      </c>
      <c r="AM18" s="494" t="s">
        <v>786</v>
      </c>
      <c r="AN18" s="625" t="s">
        <v>901</v>
      </c>
      <c r="AO18" s="627">
        <v>22230</v>
      </c>
      <c r="AP18" s="623" t="s">
        <v>882</v>
      </c>
      <c r="AQ18" s="627">
        <v>7089327433</v>
      </c>
    </row>
    <row r="19" spans="1:43" ht="15" customHeight="1" x14ac:dyDescent="0.25">
      <c r="A19" s="625">
        <v>178</v>
      </c>
      <c r="B19" s="494" t="s">
        <v>589</v>
      </c>
      <c r="C19" s="625">
        <v>102</v>
      </c>
      <c r="D19" s="494" t="s">
        <v>1026</v>
      </c>
      <c r="E19" s="627">
        <v>9504453</v>
      </c>
      <c r="F19" s="627">
        <v>29332</v>
      </c>
      <c r="G19" s="494" t="s">
        <v>1029</v>
      </c>
      <c r="S19" s="629">
        <f t="shared" si="0"/>
        <v>0.35416666666666669</v>
      </c>
      <c r="T19" s="629">
        <f t="shared" si="1"/>
        <v>0.375</v>
      </c>
      <c r="U19" s="494" t="s">
        <v>907</v>
      </c>
      <c r="V19" s="620" t="str">
        <f>Kankakee_table[[#This Row],[TimeSlot_Start_text]]</f>
        <v>0830</v>
      </c>
      <c r="W19" s="621"/>
      <c r="X19" s="621" t="s">
        <v>619</v>
      </c>
      <c r="Y19" s="621"/>
      <c r="Z19" s="621" t="s">
        <v>619</v>
      </c>
      <c r="AA19" s="621"/>
      <c r="AB19" s="494" t="s">
        <v>1084</v>
      </c>
      <c r="AD19" s="625" t="s">
        <v>1020</v>
      </c>
      <c r="AG19" s="627"/>
      <c r="AH19" s="494" t="s">
        <v>1021</v>
      </c>
      <c r="AI19" s="625" t="s">
        <v>1022</v>
      </c>
      <c r="AJ19" s="627">
        <v>25092</v>
      </c>
      <c r="AK19" s="623" t="s">
        <v>1024</v>
      </c>
      <c r="AL19" s="627">
        <v>7089287239</v>
      </c>
      <c r="AM19" s="494" t="s">
        <v>786</v>
      </c>
      <c r="AN19" s="625" t="s">
        <v>901</v>
      </c>
      <c r="AO19" s="627">
        <v>22230</v>
      </c>
      <c r="AP19" s="623" t="s">
        <v>882</v>
      </c>
      <c r="AQ19" s="627">
        <v>7089327433</v>
      </c>
    </row>
    <row r="20" spans="1:43" ht="15" customHeight="1" x14ac:dyDescent="0.25">
      <c r="A20" s="625">
        <v>179</v>
      </c>
      <c r="B20" s="494" t="s">
        <v>589</v>
      </c>
      <c r="C20" s="625">
        <v>102</v>
      </c>
      <c r="D20" s="494" t="s">
        <v>1026</v>
      </c>
      <c r="E20" s="627">
        <v>9504453</v>
      </c>
      <c r="F20" s="627">
        <v>29332</v>
      </c>
      <c r="G20" s="494" t="s">
        <v>1029</v>
      </c>
      <c r="S20" s="629">
        <f t="shared" si="0"/>
        <v>0.375</v>
      </c>
      <c r="T20" s="629">
        <f t="shared" si="1"/>
        <v>0.39583333333333331</v>
      </c>
      <c r="U20" s="494" t="s">
        <v>908</v>
      </c>
      <c r="V20" s="620" t="str">
        <f>Kankakee_table[[#This Row],[TimeSlot_Start_text]]</f>
        <v>0900</v>
      </c>
      <c r="W20" s="621"/>
      <c r="X20" s="621" t="s">
        <v>619</v>
      </c>
      <c r="Y20" s="621"/>
      <c r="Z20" s="621" t="s">
        <v>619</v>
      </c>
      <c r="AA20" s="621"/>
      <c r="AB20" s="494" t="s">
        <v>1085</v>
      </c>
      <c r="AD20" s="625" t="s">
        <v>1020</v>
      </c>
      <c r="AG20" s="627"/>
      <c r="AH20" s="494" t="s">
        <v>1021</v>
      </c>
      <c r="AI20" s="625" t="s">
        <v>1022</v>
      </c>
      <c r="AJ20" s="627">
        <v>25092</v>
      </c>
      <c r="AK20" s="623" t="s">
        <v>1024</v>
      </c>
      <c r="AL20" s="627">
        <v>7089287239</v>
      </c>
      <c r="AM20" s="494" t="s">
        <v>786</v>
      </c>
      <c r="AN20" s="625" t="s">
        <v>901</v>
      </c>
      <c r="AO20" s="627">
        <v>22230</v>
      </c>
      <c r="AP20" s="623" t="s">
        <v>882</v>
      </c>
      <c r="AQ20" s="627">
        <v>7089327433</v>
      </c>
    </row>
    <row r="21" spans="1:43" ht="15" customHeight="1" x14ac:dyDescent="0.25">
      <c r="A21" s="625">
        <v>180</v>
      </c>
      <c r="B21" s="494" t="s">
        <v>589</v>
      </c>
      <c r="C21" s="625">
        <v>102</v>
      </c>
      <c r="D21" s="494" t="s">
        <v>1026</v>
      </c>
      <c r="E21" s="627">
        <v>9504453</v>
      </c>
      <c r="F21" s="627">
        <v>29332</v>
      </c>
      <c r="G21" s="494" t="s">
        <v>1029</v>
      </c>
      <c r="S21" s="629">
        <f t="shared" si="0"/>
        <v>0.39583333333333331</v>
      </c>
      <c r="T21" s="629">
        <f t="shared" si="1"/>
        <v>0.41666666666666663</v>
      </c>
      <c r="U21" s="494" t="s">
        <v>909</v>
      </c>
      <c r="V21" s="620" t="str">
        <f>Kankakee_table[[#This Row],[TimeSlot_Start_text]]</f>
        <v>0930</v>
      </c>
      <c r="W21" s="621" t="s">
        <v>380</v>
      </c>
      <c r="X21" s="621" t="s">
        <v>619</v>
      </c>
      <c r="Y21" s="621"/>
      <c r="Z21" s="621" t="s">
        <v>619</v>
      </c>
      <c r="AA21" s="621"/>
      <c r="AB21" s="494" t="s">
        <v>1086</v>
      </c>
      <c r="AD21" s="625" t="s">
        <v>1020</v>
      </c>
      <c r="AG21" s="627"/>
      <c r="AH21" s="494" t="s">
        <v>1021</v>
      </c>
      <c r="AI21" s="625" t="s">
        <v>1022</v>
      </c>
      <c r="AJ21" s="627">
        <v>25092</v>
      </c>
      <c r="AK21" s="623" t="s">
        <v>1024</v>
      </c>
      <c r="AL21" s="627">
        <v>7089287239</v>
      </c>
      <c r="AM21" s="494" t="s">
        <v>786</v>
      </c>
      <c r="AN21" s="625" t="s">
        <v>901</v>
      </c>
      <c r="AO21" s="627">
        <v>22230</v>
      </c>
      <c r="AP21" s="623" t="s">
        <v>882</v>
      </c>
      <c r="AQ21" s="627">
        <v>7089327433</v>
      </c>
    </row>
    <row r="22" spans="1:43" x14ac:dyDescent="0.25">
      <c r="A22" s="625">
        <v>181</v>
      </c>
      <c r="B22" s="494" t="s">
        <v>589</v>
      </c>
      <c r="C22" s="625">
        <v>102</v>
      </c>
      <c r="D22" s="494" t="s">
        <v>1026</v>
      </c>
      <c r="E22" s="627">
        <v>9504453</v>
      </c>
      <c r="F22" s="627">
        <v>29332</v>
      </c>
      <c r="G22" s="494" t="s">
        <v>1029</v>
      </c>
      <c r="S22" s="629">
        <f t="shared" si="0"/>
        <v>0.41666666666666669</v>
      </c>
      <c r="T22" s="629">
        <f t="shared" si="1"/>
        <v>0.4375</v>
      </c>
      <c r="U22" s="494" t="s">
        <v>910</v>
      </c>
      <c r="V22" s="620" t="str">
        <f>Kankakee_table[[#This Row],[TimeSlot_Start_text]]</f>
        <v>1000</v>
      </c>
      <c r="W22" s="621"/>
      <c r="X22" s="621"/>
      <c r="Y22" s="621" t="s">
        <v>380</v>
      </c>
      <c r="Z22" s="621"/>
      <c r="AA22" s="621"/>
      <c r="AB22" s="494" t="s">
        <v>1073</v>
      </c>
      <c r="AD22" s="625" t="s">
        <v>1020</v>
      </c>
      <c r="AG22" s="627"/>
      <c r="AH22" s="494" t="s">
        <v>1021</v>
      </c>
      <c r="AI22" s="625" t="s">
        <v>1022</v>
      </c>
      <c r="AJ22" s="627">
        <v>25092</v>
      </c>
      <c r="AK22" s="623" t="s">
        <v>1024</v>
      </c>
      <c r="AL22" s="627">
        <v>7089287239</v>
      </c>
      <c r="AM22" s="494" t="s">
        <v>786</v>
      </c>
      <c r="AN22" s="625" t="s">
        <v>901</v>
      </c>
      <c r="AO22" s="627">
        <v>22230</v>
      </c>
      <c r="AP22" s="623" t="s">
        <v>882</v>
      </c>
      <c r="AQ22" s="627">
        <v>7089327433</v>
      </c>
    </row>
    <row r="23" spans="1:43" x14ac:dyDescent="0.25">
      <c r="A23" s="625">
        <v>182</v>
      </c>
      <c r="B23" s="494" t="s">
        <v>589</v>
      </c>
      <c r="C23" s="625">
        <v>102</v>
      </c>
      <c r="D23" s="494" t="s">
        <v>1026</v>
      </c>
      <c r="E23" s="627">
        <v>9504453</v>
      </c>
      <c r="F23" s="627">
        <v>29332</v>
      </c>
      <c r="G23" s="494" t="s">
        <v>1029</v>
      </c>
      <c r="S23" s="629">
        <f t="shared" si="0"/>
        <v>0.4375</v>
      </c>
      <c r="T23" s="629">
        <f t="shared" si="1"/>
        <v>0.45833333333333331</v>
      </c>
      <c r="U23" s="494" t="s">
        <v>911</v>
      </c>
      <c r="V23" s="620" t="str">
        <f>Kankakee_table[[#This Row],[TimeSlot_Start_text]]</f>
        <v>1030</v>
      </c>
      <c r="W23" s="621" t="s">
        <v>380</v>
      </c>
      <c r="X23" s="621" t="s">
        <v>619</v>
      </c>
      <c r="Y23" s="621"/>
      <c r="Z23" s="621" t="s">
        <v>619</v>
      </c>
      <c r="AA23" s="621"/>
      <c r="AB23" s="494" t="s">
        <v>1074</v>
      </c>
      <c r="AD23" s="625" t="s">
        <v>1020</v>
      </c>
      <c r="AG23" s="627"/>
      <c r="AH23" s="494" t="s">
        <v>1021</v>
      </c>
      <c r="AI23" s="625" t="s">
        <v>1022</v>
      </c>
      <c r="AJ23" s="627">
        <v>25092</v>
      </c>
      <c r="AK23" s="623" t="s">
        <v>1024</v>
      </c>
      <c r="AL23" s="627">
        <v>7089287239</v>
      </c>
      <c r="AM23" s="494" t="s">
        <v>786</v>
      </c>
      <c r="AN23" s="625" t="s">
        <v>901</v>
      </c>
      <c r="AO23" s="627">
        <v>22230</v>
      </c>
      <c r="AP23" s="623" t="s">
        <v>882</v>
      </c>
      <c r="AQ23" s="627">
        <v>7089327433</v>
      </c>
    </row>
    <row r="24" spans="1:43" x14ac:dyDescent="0.25">
      <c r="A24" s="625">
        <v>183</v>
      </c>
      <c r="B24" s="494" t="s">
        <v>589</v>
      </c>
      <c r="C24" s="625">
        <v>102</v>
      </c>
      <c r="D24" s="494" t="s">
        <v>1026</v>
      </c>
      <c r="E24" s="627">
        <v>9504453</v>
      </c>
      <c r="F24" s="627">
        <v>29332</v>
      </c>
      <c r="G24" s="494" t="s">
        <v>1029</v>
      </c>
      <c r="S24" s="629">
        <f t="shared" si="0"/>
        <v>0.45833333333333331</v>
      </c>
      <c r="T24" s="629">
        <f t="shared" si="1"/>
        <v>0.47916666666666663</v>
      </c>
      <c r="U24" s="494" t="s">
        <v>912</v>
      </c>
      <c r="V24" s="620" t="str">
        <f>Kankakee_table[[#This Row],[TimeSlot_Start_text]]</f>
        <v>1100</v>
      </c>
      <c r="W24" s="621"/>
      <c r="X24" s="621" t="s">
        <v>619</v>
      </c>
      <c r="Y24" s="621" t="s">
        <v>380</v>
      </c>
      <c r="Z24" s="621" t="s">
        <v>619</v>
      </c>
      <c r="AA24" s="621"/>
      <c r="AB24" s="494" t="s">
        <v>1076</v>
      </c>
      <c r="AD24" s="625" t="s">
        <v>1020</v>
      </c>
      <c r="AG24" s="627"/>
      <c r="AH24" s="494" t="s">
        <v>1021</v>
      </c>
      <c r="AI24" s="625" t="s">
        <v>1022</v>
      </c>
      <c r="AJ24" s="627">
        <v>25092</v>
      </c>
      <c r="AK24" s="623" t="s">
        <v>1024</v>
      </c>
      <c r="AL24" s="627">
        <v>7089287239</v>
      </c>
      <c r="AM24" s="494" t="s">
        <v>786</v>
      </c>
      <c r="AN24" s="625" t="s">
        <v>901</v>
      </c>
      <c r="AO24" s="627">
        <v>22230</v>
      </c>
      <c r="AP24" s="623" t="s">
        <v>882</v>
      </c>
      <c r="AQ24" s="627">
        <v>7089327433</v>
      </c>
    </row>
    <row r="25" spans="1:43" x14ac:dyDescent="0.25">
      <c r="A25" s="625">
        <v>184</v>
      </c>
      <c r="B25" s="494" t="s">
        <v>589</v>
      </c>
      <c r="C25" s="625">
        <v>102</v>
      </c>
      <c r="D25" s="494" t="s">
        <v>1026</v>
      </c>
      <c r="E25" s="627">
        <v>9504453</v>
      </c>
      <c r="F25" s="627">
        <v>29332</v>
      </c>
      <c r="G25" s="494" t="s">
        <v>1029</v>
      </c>
      <c r="S25" s="629">
        <f t="shared" si="0"/>
        <v>0.47916666666666669</v>
      </c>
      <c r="T25" s="629">
        <f t="shared" si="1"/>
        <v>0.5</v>
      </c>
      <c r="U25" s="494" t="s">
        <v>913</v>
      </c>
      <c r="V25" s="620" t="str">
        <f>Kankakee_table[[#This Row],[TimeSlot_Start_text]]</f>
        <v>1130</v>
      </c>
      <c r="W25" s="621"/>
      <c r="X25" s="621" t="s">
        <v>619</v>
      </c>
      <c r="Y25" s="621"/>
      <c r="Z25" s="621" t="s">
        <v>619</v>
      </c>
      <c r="AA25" s="621"/>
      <c r="AB25" s="494" t="s">
        <v>1075</v>
      </c>
      <c r="AD25" s="625" t="s">
        <v>1020</v>
      </c>
      <c r="AG25" s="627"/>
      <c r="AH25" s="494" t="s">
        <v>1021</v>
      </c>
      <c r="AI25" s="625" t="s">
        <v>1022</v>
      </c>
      <c r="AJ25" s="627">
        <v>25092</v>
      </c>
      <c r="AK25" s="623" t="s">
        <v>1024</v>
      </c>
      <c r="AL25" s="627">
        <v>7089287239</v>
      </c>
      <c r="AM25" s="494" t="s">
        <v>786</v>
      </c>
      <c r="AN25" s="625" t="s">
        <v>901</v>
      </c>
      <c r="AO25" s="627">
        <v>22230</v>
      </c>
      <c r="AP25" s="623" t="s">
        <v>882</v>
      </c>
      <c r="AQ25" s="627">
        <v>7089327433</v>
      </c>
    </row>
    <row r="26" spans="1:43" ht="15" customHeight="1" x14ac:dyDescent="0.25">
      <c r="A26" s="625">
        <v>185</v>
      </c>
      <c r="B26" s="494" t="s">
        <v>589</v>
      </c>
      <c r="C26" s="625">
        <v>102</v>
      </c>
      <c r="D26" s="494" t="s">
        <v>1026</v>
      </c>
      <c r="E26" s="627">
        <v>9504453</v>
      </c>
      <c r="F26" s="627">
        <v>29332</v>
      </c>
      <c r="G26" s="494" t="s">
        <v>1029</v>
      </c>
      <c r="S26" s="629">
        <f t="shared" si="0"/>
        <v>0.5</v>
      </c>
      <c r="T26" s="629">
        <f t="shared" si="1"/>
        <v>0.52083333333333337</v>
      </c>
      <c r="U26" s="494" t="s">
        <v>914</v>
      </c>
      <c r="V26" s="620" t="str">
        <f>Kankakee_table[[#This Row],[TimeSlot_Start_text]]</f>
        <v>1200</v>
      </c>
      <c r="W26" s="621" t="s">
        <v>354</v>
      </c>
      <c r="X26" s="621" t="s">
        <v>354</v>
      </c>
      <c r="Y26" s="621" t="s">
        <v>354</v>
      </c>
      <c r="Z26" s="621" t="s">
        <v>354</v>
      </c>
      <c r="AA26" s="621" t="s">
        <v>354</v>
      </c>
      <c r="AB26" s="494" t="s">
        <v>1077</v>
      </c>
      <c r="AD26" s="625" t="s">
        <v>1020</v>
      </c>
      <c r="AG26" s="627"/>
      <c r="AH26" s="494" t="s">
        <v>1021</v>
      </c>
      <c r="AI26" s="625" t="s">
        <v>1022</v>
      </c>
      <c r="AJ26" s="627">
        <v>25092</v>
      </c>
      <c r="AK26" s="623" t="s">
        <v>1024</v>
      </c>
      <c r="AL26" s="627">
        <v>7089287239</v>
      </c>
      <c r="AM26" s="494" t="s">
        <v>786</v>
      </c>
      <c r="AN26" s="625" t="s">
        <v>901</v>
      </c>
      <c r="AO26" s="627">
        <v>22230</v>
      </c>
      <c r="AP26" s="623" t="s">
        <v>882</v>
      </c>
      <c r="AQ26" s="627">
        <v>7089327433</v>
      </c>
    </row>
    <row r="27" spans="1:43" ht="15.75" customHeight="1" x14ac:dyDescent="0.25">
      <c r="A27" s="625">
        <v>186</v>
      </c>
      <c r="B27" s="494" t="s">
        <v>589</v>
      </c>
      <c r="C27" s="625">
        <v>102</v>
      </c>
      <c r="D27" s="494" t="s">
        <v>1026</v>
      </c>
      <c r="E27" s="627">
        <v>9504453</v>
      </c>
      <c r="F27" s="627">
        <v>29332</v>
      </c>
      <c r="G27" s="494" t="s">
        <v>1029</v>
      </c>
      <c r="S27" s="629">
        <f t="shared" si="0"/>
        <v>0.52083333333333337</v>
      </c>
      <c r="T27" s="629">
        <f t="shared" si="1"/>
        <v>0.54166666666666674</v>
      </c>
      <c r="U27" s="494" t="s">
        <v>915</v>
      </c>
      <c r="V27" s="620" t="str">
        <f>Kankakee_table[[#This Row],[TimeSlot_Start_text]]</f>
        <v>1230</v>
      </c>
      <c r="W27" s="621" t="s">
        <v>354</v>
      </c>
      <c r="X27" s="621" t="s">
        <v>354</v>
      </c>
      <c r="Y27" s="621" t="s">
        <v>354</v>
      </c>
      <c r="Z27" s="621" t="s">
        <v>354</v>
      </c>
      <c r="AA27" s="621" t="s">
        <v>354</v>
      </c>
      <c r="AB27" s="494" t="s">
        <v>1078</v>
      </c>
      <c r="AD27" s="625" t="s">
        <v>1020</v>
      </c>
      <c r="AG27" s="627"/>
      <c r="AH27" s="494" t="s">
        <v>1021</v>
      </c>
      <c r="AI27" s="625" t="s">
        <v>1022</v>
      </c>
      <c r="AJ27" s="627">
        <v>25092</v>
      </c>
      <c r="AK27" s="623" t="s">
        <v>1024</v>
      </c>
      <c r="AL27" s="627">
        <v>7089287239</v>
      </c>
      <c r="AM27" s="494" t="s">
        <v>786</v>
      </c>
      <c r="AN27" s="625" t="s">
        <v>901</v>
      </c>
      <c r="AO27" s="627">
        <v>22230</v>
      </c>
      <c r="AP27" s="623" t="s">
        <v>882</v>
      </c>
      <c r="AQ27" s="627">
        <v>7089327433</v>
      </c>
    </row>
    <row r="28" spans="1:43" x14ac:dyDescent="0.25">
      <c r="A28" s="625">
        <v>187</v>
      </c>
      <c r="B28" s="494" t="s">
        <v>589</v>
      </c>
      <c r="C28" s="625">
        <v>102</v>
      </c>
      <c r="D28" s="494" t="s">
        <v>1026</v>
      </c>
      <c r="E28" s="627">
        <v>9504453</v>
      </c>
      <c r="F28" s="627">
        <v>29332</v>
      </c>
      <c r="G28" s="494" t="s">
        <v>1029</v>
      </c>
      <c r="S28" s="629">
        <f t="shared" si="0"/>
        <v>0.54166666666666663</v>
      </c>
      <c r="T28" s="629">
        <f t="shared" si="1"/>
        <v>0.5625</v>
      </c>
      <c r="U28" s="494" t="s">
        <v>916</v>
      </c>
      <c r="V28" s="620" t="str">
        <f>Kankakee_table[[#This Row],[TimeSlot_Start_text]]</f>
        <v>1300</v>
      </c>
      <c r="W28" s="621"/>
      <c r="X28" s="621" t="s">
        <v>619</v>
      </c>
      <c r="Y28" s="621" t="s">
        <v>380</v>
      </c>
      <c r="Z28" s="621" t="s">
        <v>619</v>
      </c>
      <c r="AA28" s="621"/>
      <c r="AB28" s="494" t="s">
        <v>1071</v>
      </c>
      <c r="AD28" s="625" t="s">
        <v>1020</v>
      </c>
      <c r="AG28" s="627"/>
      <c r="AH28" s="494" t="s">
        <v>1021</v>
      </c>
      <c r="AI28" s="625" t="s">
        <v>1022</v>
      </c>
      <c r="AJ28" s="627">
        <v>25092</v>
      </c>
      <c r="AK28" s="623" t="s">
        <v>1024</v>
      </c>
      <c r="AL28" s="627">
        <v>7089287239</v>
      </c>
      <c r="AM28" s="494" t="s">
        <v>786</v>
      </c>
      <c r="AN28" s="625" t="s">
        <v>901</v>
      </c>
      <c r="AO28" s="627">
        <v>22230</v>
      </c>
      <c r="AP28" s="623" t="s">
        <v>882</v>
      </c>
      <c r="AQ28" s="627">
        <v>7089327433</v>
      </c>
    </row>
    <row r="29" spans="1:43" x14ac:dyDescent="0.25">
      <c r="A29" s="625">
        <v>188</v>
      </c>
      <c r="B29" s="494" t="s">
        <v>589</v>
      </c>
      <c r="C29" s="625">
        <v>102</v>
      </c>
      <c r="D29" s="494" t="s">
        <v>1026</v>
      </c>
      <c r="E29" s="627">
        <v>9504453</v>
      </c>
      <c r="F29" s="627">
        <v>29332</v>
      </c>
      <c r="G29" s="494" t="s">
        <v>1029</v>
      </c>
      <c r="S29" s="629">
        <f t="shared" si="0"/>
        <v>0.5625</v>
      </c>
      <c r="T29" s="629">
        <f t="shared" si="1"/>
        <v>0.58333333333333337</v>
      </c>
      <c r="U29" s="494" t="s">
        <v>917</v>
      </c>
      <c r="V29" s="620" t="str">
        <f>Kankakee_table[[#This Row],[TimeSlot_Start_text]]</f>
        <v>1330</v>
      </c>
      <c r="W29" s="621"/>
      <c r="X29" s="621" t="s">
        <v>619</v>
      </c>
      <c r="Y29" s="621"/>
      <c r="Z29" s="621" t="s">
        <v>619</v>
      </c>
      <c r="AA29" s="621"/>
      <c r="AB29" s="494" t="s">
        <v>1072</v>
      </c>
      <c r="AD29" s="625" t="s">
        <v>1020</v>
      </c>
      <c r="AG29" s="627"/>
      <c r="AH29" s="494" t="s">
        <v>1021</v>
      </c>
      <c r="AI29" s="625" t="s">
        <v>1022</v>
      </c>
      <c r="AJ29" s="627">
        <v>25092</v>
      </c>
      <c r="AK29" s="623" t="s">
        <v>1024</v>
      </c>
      <c r="AL29" s="627">
        <v>7089287239</v>
      </c>
      <c r="AM29" s="494" t="s">
        <v>786</v>
      </c>
      <c r="AN29" s="625" t="s">
        <v>901</v>
      </c>
      <c r="AO29" s="627">
        <v>22230</v>
      </c>
      <c r="AP29" s="623" t="s">
        <v>882</v>
      </c>
      <c r="AQ29" s="627">
        <v>7089327433</v>
      </c>
    </row>
    <row r="30" spans="1:43" x14ac:dyDescent="0.25">
      <c r="A30" s="625">
        <v>189</v>
      </c>
      <c r="B30" s="494" t="s">
        <v>589</v>
      </c>
      <c r="C30" s="625">
        <v>102</v>
      </c>
      <c r="D30" s="494" t="s">
        <v>1026</v>
      </c>
      <c r="E30" s="627">
        <v>9504453</v>
      </c>
      <c r="F30" s="627">
        <v>29332</v>
      </c>
      <c r="G30" s="494" t="s">
        <v>1029</v>
      </c>
      <c r="S30" s="629">
        <f t="shared" si="0"/>
        <v>0.58333333333333337</v>
      </c>
      <c r="T30" s="629">
        <f t="shared" si="1"/>
        <v>0.60416666666666674</v>
      </c>
      <c r="U30" s="494" t="s">
        <v>918</v>
      </c>
      <c r="V30" s="620" t="str">
        <f>Kankakee_table[[#This Row],[TimeSlot_Start_text]]</f>
        <v>1400</v>
      </c>
      <c r="W30" s="621"/>
      <c r="X30" s="621" t="s">
        <v>619</v>
      </c>
      <c r="Y30" s="621"/>
      <c r="Z30" s="621" t="s">
        <v>619</v>
      </c>
      <c r="AA30" s="621"/>
      <c r="AB30" s="494" t="s">
        <v>1079</v>
      </c>
      <c r="AD30" s="625" t="s">
        <v>1020</v>
      </c>
      <c r="AG30" s="627"/>
      <c r="AH30" s="494" t="s">
        <v>1021</v>
      </c>
      <c r="AI30" s="625" t="s">
        <v>1022</v>
      </c>
      <c r="AJ30" s="627">
        <v>25092</v>
      </c>
      <c r="AK30" s="623" t="s">
        <v>1024</v>
      </c>
      <c r="AL30" s="627">
        <v>7089287239</v>
      </c>
      <c r="AM30" s="494" t="s">
        <v>786</v>
      </c>
      <c r="AN30" s="625" t="s">
        <v>901</v>
      </c>
      <c r="AO30" s="627">
        <v>22230</v>
      </c>
      <c r="AP30" s="623" t="s">
        <v>882</v>
      </c>
      <c r="AQ30" s="627">
        <v>7089327433</v>
      </c>
    </row>
    <row r="31" spans="1:43" x14ac:dyDescent="0.25">
      <c r="A31" s="625">
        <v>190</v>
      </c>
      <c r="B31" s="494" t="s">
        <v>589</v>
      </c>
      <c r="C31" s="625">
        <v>102</v>
      </c>
      <c r="D31" s="494" t="s">
        <v>1026</v>
      </c>
      <c r="E31" s="627">
        <v>9504453</v>
      </c>
      <c r="F31" s="627">
        <v>29332</v>
      </c>
      <c r="G31" s="494" t="s">
        <v>1029</v>
      </c>
      <c r="S31" s="629">
        <f t="shared" si="0"/>
        <v>0.60416666666666663</v>
      </c>
      <c r="T31" s="629">
        <f t="shared" si="1"/>
        <v>0.625</v>
      </c>
      <c r="U31" s="494" t="s">
        <v>919</v>
      </c>
      <c r="V31" s="620" t="str">
        <f>Kankakee_table[[#This Row],[TimeSlot_Start_text]]</f>
        <v>1430</v>
      </c>
      <c r="W31" s="621"/>
      <c r="X31" s="621" t="s">
        <v>619</v>
      </c>
      <c r="Y31" s="621"/>
      <c r="Z31" s="621" t="s">
        <v>619</v>
      </c>
      <c r="AA31" s="621"/>
      <c r="AB31" s="494" t="s">
        <v>1080</v>
      </c>
      <c r="AD31" s="625" t="s">
        <v>1020</v>
      </c>
      <c r="AG31" s="627"/>
      <c r="AH31" s="494" t="s">
        <v>1021</v>
      </c>
      <c r="AI31" s="625" t="s">
        <v>1022</v>
      </c>
      <c r="AJ31" s="627">
        <v>25092</v>
      </c>
      <c r="AK31" s="623" t="s">
        <v>1024</v>
      </c>
      <c r="AL31" s="627">
        <v>7089287239</v>
      </c>
      <c r="AM31" s="494" t="s">
        <v>786</v>
      </c>
      <c r="AN31" s="625" t="s">
        <v>901</v>
      </c>
      <c r="AO31" s="627">
        <v>22230</v>
      </c>
      <c r="AP31" s="623" t="s">
        <v>882</v>
      </c>
      <c r="AQ31" s="627">
        <v>7089327433</v>
      </c>
    </row>
    <row r="32" spans="1:43" x14ac:dyDescent="0.25">
      <c r="A32" s="625">
        <v>191</v>
      </c>
      <c r="B32" s="494" t="s">
        <v>589</v>
      </c>
      <c r="C32" s="625">
        <v>102</v>
      </c>
      <c r="D32" s="494" t="s">
        <v>1026</v>
      </c>
      <c r="E32" s="627">
        <v>9504453</v>
      </c>
      <c r="F32" s="627">
        <v>29332</v>
      </c>
      <c r="G32" s="494" t="s">
        <v>1029</v>
      </c>
      <c r="S32" s="629">
        <f t="shared" si="0"/>
        <v>0.625</v>
      </c>
      <c r="T32" s="629">
        <f t="shared" si="1"/>
        <v>0.64583333333333337</v>
      </c>
      <c r="U32" s="494" t="s">
        <v>920</v>
      </c>
      <c r="V32" s="620" t="str">
        <f>Kankakee_table[[#This Row],[TimeSlot_Start_text]]</f>
        <v>1500</v>
      </c>
      <c r="W32" s="621"/>
      <c r="X32" s="621" t="s">
        <v>619</v>
      </c>
      <c r="Y32" s="621"/>
      <c r="Z32" s="621" t="s">
        <v>619</v>
      </c>
      <c r="AA32" s="621"/>
      <c r="AB32" s="494" t="s">
        <v>1081</v>
      </c>
      <c r="AD32" s="625" t="s">
        <v>1020</v>
      </c>
      <c r="AG32" s="627"/>
      <c r="AH32" s="494" t="s">
        <v>1021</v>
      </c>
      <c r="AI32" s="625" t="s">
        <v>1022</v>
      </c>
      <c r="AJ32" s="627">
        <v>25092</v>
      </c>
      <c r="AK32" s="623" t="s">
        <v>1024</v>
      </c>
      <c r="AL32" s="627">
        <v>7089287239</v>
      </c>
      <c r="AM32" s="494" t="s">
        <v>786</v>
      </c>
      <c r="AN32" s="625" t="s">
        <v>901</v>
      </c>
      <c r="AO32" s="627">
        <v>22230</v>
      </c>
      <c r="AP32" s="623" t="s">
        <v>882</v>
      </c>
      <c r="AQ32" s="627">
        <v>7089327433</v>
      </c>
    </row>
    <row r="33" spans="1:43" x14ac:dyDescent="0.25">
      <c r="A33" s="625">
        <v>192</v>
      </c>
      <c r="B33" s="494" t="s">
        <v>589</v>
      </c>
      <c r="C33" s="625">
        <v>102</v>
      </c>
      <c r="D33" s="494" t="s">
        <v>1026</v>
      </c>
      <c r="E33" s="627">
        <v>9504453</v>
      </c>
      <c r="F33" s="627">
        <v>29332</v>
      </c>
      <c r="G33" s="494" t="s">
        <v>1029</v>
      </c>
      <c r="S33" s="629">
        <f t="shared" si="0"/>
        <v>0.64583333333333337</v>
      </c>
      <c r="T33" s="629">
        <f t="shared" si="1"/>
        <v>0.66666666666666674</v>
      </c>
      <c r="U33" s="494" t="s">
        <v>921</v>
      </c>
      <c r="V33" s="620" t="str">
        <f>Kankakee_table[[#This Row],[TimeSlot_Start_text]]</f>
        <v>1530</v>
      </c>
      <c r="W33" s="621"/>
      <c r="X33" s="621" t="s">
        <v>619</v>
      </c>
      <c r="Y33" s="621"/>
      <c r="Z33" s="621" t="s">
        <v>619</v>
      </c>
      <c r="AA33" s="621"/>
      <c r="AB33" s="494" t="s">
        <v>1082</v>
      </c>
      <c r="AD33" s="625" t="s">
        <v>1020</v>
      </c>
      <c r="AG33" s="627"/>
      <c r="AH33" s="494" t="s">
        <v>1021</v>
      </c>
      <c r="AI33" s="625" t="s">
        <v>1022</v>
      </c>
      <c r="AJ33" s="627">
        <v>25092</v>
      </c>
      <c r="AK33" s="623" t="s">
        <v>1024</v>
      </c>
      <c r="AL33" s="627">
        <v>7089287239</v>
      </c>
      <c r="AM33" s="494" t="s">
        <v>786</v>
      </c>
      <c r="AN33" s="625" t="s">
        <v>901</v>
      </c>
      <c r="AO33" s="627">
        <v>22230</v>
      </c>
      <c r="AP33" s="623" t="s">
        <v>882</v>
      </c>
      <c r="AQ33" s="627">
        <v>7089327433</v>
      </c>
    </row>
    <row r="34" spans="1:43" ht="15" customHeight="1" x14ac:dyDescent="0.25">
      <c r="A34" s="625">
        <v>193</v>
      </c>
      <c r="B34" s="494" t="s">
        <v>589</v>
      </c>
      <c r="C34" s="625">
        <v>103</v>
      </c>
      <c r="D34" s="494" t="s">
        <v>1030</v>
      </c>
      <c r="E34" s="627">
        <v>9504647</v>
      </c>
      <c r="F34" s="627">
        <v>29333</v>
      </c>
      <c r="G34" s="494" t="s">
        <v>1033</v>
      </c>
      <c r="S34" s="629">
        <f t="shared" ref="S34:S81" si="2">TIME(LEFT(U34,2),RIGHT(U34,2),"00")</f>
        <v>0.33333333333333331</v>
      </c>
      <c r="T34" s="629">
        <f t="shared" ref="T34:T81" si="3">S34+(TIME("00","30","00"))</f>
        <v>0.35416666666666663</v>
      </c>
      <c r="U34" s="494" t="s">
        <v>906</v>
      </c>
      <c r="V34" s="620" t="str">
        <f>Kankakee_table[[#This Row],[TimeSlot_Start_text]]</f>
        <v>0800</v>
      </c>
      <c r="W34" s="621"/>
      <c r="X34" s="621"/>
      <c r="Y34" s="621"/>
      <c r="Z34" s="621"/>
      <c r="AA34" s="621"/>
      <c r="AB34" s="494" t="s">
        <v>1083</v>
      </c>
      <c r="AD34" s="625" t="s">
        <v>1020</v>
      </c>
      <c r="AG34" s="627"/>
      <c r="AH34" s="494" t="s">
        <v>1021</v>
      </c>
      <c r="AI34" s="625" t="s">
        <v>1022</v>
      </c>
      <c r="AJ34" s="627">
        <v>25092</v>
      </c>
      <c r="AK34" s="623" t="s">
        <v>1024</v>
      </c>
      <c r="AL34" s="627">
        <v>7089287239</v>
      </c>
      <c r="AM34" s="494" t="s">
        <v>786</v>
      </c>
      <c r="AN34" s="625" t="s">
        <v>901</v>
      </c>
      <c r="AO34" s="627">
        <v>22230</v>
      </c>
      <c r="AP34" s="623" t="s">
        <v>882</v>
      </c>
      <c r="AQ34" s="627">
        <v>7089327433</v>
      </c>
    </row>
    <row r="35" spans="1:43" ht="15" customHeight="1" x14ac:dyDescent="0.25">
      <c r="A35" s="625">
        <v>194</v>
      </c>
      <c r="B35" s="494" t="s">
        <v>589</v>
      </c>
      <c r="C35" s="625">
        <v>103</v>
      </c>
      <c r="D35" s="494" t="s">
        <v>1030</v>
      </c>
      <c r="E35" s="627">
        <v>9504647</v>
      </c>
      <c r="F35" s="627">
        <v>29333</v>
      </c>
      <c r="G35" s="494" t="s">
        <v>1033</v>
      </c>
      <c r="S35" s="629">
        <f t="shared" si="2"/>
        <v>0.35416666666666669</v>
      </c>
      <c r="T35" s="629">
        <f t="shared" si="3"/>
        <v>0.375</v>
      </c>
      <c r="U35" s="494" t="s">
        <v>907</v>
      </c>
      <c r="V35" s="620" t="str">
        <f>Kankakee_table[[#This Row],[TimeSlot_Start_text]]</f>
        <v>0830</v>
      </c>
      <c r="W35" s="621"/>
      <c r="X35" s="621"/>
      <c r="Y35" s="621"/>
      <c r="Z35" s="621"/>
      <c r="AA35" s="621"/>
      <c r="AB35" s="494" t="s">
        <v>1084</v>
      </c>
      <c r="AD35" s="625" t="s">
        <v>1020</v>
      </c>
      <c r="AG35" s="627"/>
      <c r="AH35" s="494" t="s">
        <v>1021</v>
      </c>
      <c r="AI35" s="625" t="s">
        <v>1022</v>
      </c>
      <c r="AJ35" s="627">
        <v>25092</v>
      </c>
      <c r="AK35" s="623" t="s">
        <v>1024</v>
      </c>
      <c r="AL35" s="627">
        <v>7089287239</v>
      </c>
      <c r="AM35" s="494" t="s">
        <v>786</v>
      </c>
      <c r="AN35" s="625" t="s">
        <v>901</v>
      </c>
      <c r="AO35" s="627">
        <v>22230</v>
      </c>
      <c r="AP35" s="623" t="s">
        <v>882</v>
      </c>
      <c r="AQ35" s="627">
        <v>7089327433</v>
      </c>
    </row>
    <row r="36" spans="1:43" ht="15" customHeight="1" x14ac:dyDescent="0.25">
      <c r="A36" s="625">
        <v>195</v>
      </c>
      <c r="B36" s="494" t="s">
        <v>589</v>
      </c>
      <c r="C36" s="625">
        <v>103</v>
      </c>
      <c r="D36" s="494" t="s">
        <v>1030</v>
      </c>
      <c r="E36" s="627">
        <v>9504647</v>
      </c>
      <c r="F36" s="627">
        <v>29333</v>
      </c>
      <c r="G36" s="494" t="s">
        <v>1033</v>
      </c>
      <c r="S36" s="629">
        <f t="shared" si="2"/>
        <v>0.375</v>
      </c>
      <c r="T36" s="629">
        <f t="shared" si="3"/>
        <v>0.39583333333333331</v>
      </c>
      <c r="U36" s="494" t="s">
        <v>908</v>
      </c>
      <c r="V36" s="620" t="str">
        <f>Kankakee_table[[#This Row],[TimeSlot_Start_text]]</f>
        <v>0900</v>
      </c>
      <c r="W36" s="621"/>
      <c r="X36" s="621"/>
      <c r="Y36" s="621"/>
      <c r="Z36" s="621"/>
      <c r="AA36" s="621"/>
      <c r="AB36" s="494" t="s">
        <v>1085</v>
      </c>
      <c r="AD36" s="625" t="s">
        <v>1020</v>
      </c>
      <c r="AG36" s="627"/>
      <c r="AH36" s="494" t="s">
        <v>1021</v>
      </c>
      <c r="AI36" s="625" t="s">
        <v>1022</v>
      </c>
      <c r="AJ36" s="627">
        <v>25092</v>
      </c>
      <c r="AK36" s="623" t="s">
        <v>1024</v>
      </c>
      <c r="AL36" s="627">
        <v>7089287239</v>
      </c>
      <c r="AM36" s="494" t="s">
        <v>786</v>
      </c>
      <c r="AN36" s="625" t="s">
        <v>901</v>
      </c>
      <c r="AO36" s="627">
        <v>22230</v>
      </c>
      <c r="AP36" s="623" t="s">
        <v>882</v>
      </c>
      <c r="AQ36" s="627">
        <v>7089327433</v>
      </c>
    </row>
    <row r="37" spans="1:43" ht="15" customHeight="1" x14ac:dyDescent="0.25">
      <c r="A37" s="625">
        <v>196</v>
      </c>
      <c r="B37" s="494" t="s">
        <v>589</v>
      </c>
      <c r="C37" s="625">
        <v>103</v>
      </c>
      <c r="D37" s="494" t="s">
        <v>1030</v>
      </c>
      <c r="E37" s="627">
        <v>9504647</v>
      </c>
      <c r="F37" s="627">
        <v>29333</v>
      </c>
      <c r="G37" s="494" t="s">
        <v>1033</v>
      </c>
      <c r="S37" s="629">
        <f t="shared" si="2"/>
        <v>0.39583333333333331</v>
      </c>
      <c r="T37" s="629">
        <f t="shared" si="3"/>
        <v>0.41666666666666663</v>
      </c>
      <c r="U37" s="494" t="s">
        <v>909</v>
      </c>
      <c r="V37" s="620" t="str">
        <f>Kankakee_table[[#This Row],[TimeSlot_Start_text]]</f>
        <v>0930</v>
      </c>
      <c r="W37" s="621"/>
      <c r="X37" s="621"/>
      <c r="Y37" s="621"/>
      <c r="Z37" s="621"/>
      <c r="AA37" s="621"/>
      <c r="AB37" s="494" t="s">
        <v>1086</v>
      </c>
      <c r="AD37" s="625" t="s">
        <v>1020</v>
      </c>
      <c r="AG37" s="627"/>
      <c r="AH37" s="494" t="s">
        <v>1021</v>
      </c>
      <c r="AI37" s="625" t="s">
        <v>1022</v>
      </c>
      <c r="AJ37" s="627">
        <v>25092</v>
      </c>
      <c r="AK37" s="623" t="s">
        <v>1024</v>
      </c>
      <c r="AL37" s="627">
        <v>7089287239</v>
      </c>
      <c r="AM37" s="494" t="s">
        <v>786</v>
      </c>
      <c r="AN37" s="625" t="s">
        <v>901</v>
      </c>
      <c r="AO37" s="627">
        <v>22230</v>
      </c>
      <c r="AP37" s="623" t="s">
        <v>882</v>
      </c>
      <c r="AQ37" s="627">
        <v>7089327433</v>
      </c>
    </row>
    <row r="38" spans="1:43" x14ac:dyDescent="0.25">
      <c r="A38" s="625">
        <v>197</v>
      </c>
      <c r="B38" s="494" t="s">
        <v>589</v>
      </c>
      <c r="C38" s="625">
        <v>103</v>
      </c>
      <c r="D38" s="494" t="s">
        <v>1030</v>
      </c>
      <c r="E38" s="627">
        <v>9504647</v>
      </c>
      <c r="F38" s="627">
        <v>29333</v>
      </c>
      <c r="G38" s="494" t="s">
        <v>1033</v>
      </c>
      <c r="S38" s="629">
        <f t="shared" si="2"/>
        <v>0.41666666666666669</v>
      </c>
      <c r="T38" s="629">
        <f t="shared" si="3"/>
        <v>0.4375</v>
      </c>
      <c r="U38" s="494" t="s">
        <v>910</v>
      </c>
      <c r="V38" s="620" t="str">
        <f>Kankakee_table[[#This Row],[TimeSlot_Start_text]]</f>
        <v>1000</v>
      </c>
      <c r="W38" s="621"/>
      <c r="X38" s="621"/>
      <c r="Y38" s="621"/>
      <c r="Z38" s="621"/>
      <c r="AA38" s="621"/>
      <c r="AB38" s="494" t="s">
        <v>1073</v>
      </c>
      <c r="AD38" s="625" t="s">
        <v>1020</v>
      </c>
      <c r="AG38" s="627"/>
      <c r="AH38" s="494" t="s">
        <v>1021</v>
      </c>
      <c r="AI38" s="625" t="s">
        <v>1022</v>
      </c>
      <c r="AJ38" s="627">
        <v>25092</v>
      </c>
      <c r="AK38" s="623" t="s">
        <v>1024</v>
      </c>
      <c r="AL38" s="627">
        <v>7089287239</v>
      </c>
      <c r="AM38" s="494" t="s">
        <v>786</v>
      </c>
      <c r="AN38" s="625" t="s">
        <v>901</v>
      </c>
      <c r="AO38" s="627">
        <v>22230</v>
      </c>
      <c r="AP38" s="623" t="s">
        <v>882</v>
      </c>
      <c r="AQ38" s="627">
        <v>7089327433</v>
      </c>
    </row>
    <row r="39" spans="1:43" x14ac:dyDescent="0.25">
      <c r="A39" s="625">
        <v>198</v>
      </c>
      <c r="B39" s="494" t="s">
        <v>589</v>
      </c>
      <c r="C39" s="625">
        <v>103</v>
      </c>
      <c r="D39" s="494" t="s">
        <v>1030</v>
      </c>
      <c r="E39" s="627">
        <v>9504647</v>
      </c>
      <c r="F39" s="627">
        <v>29333</v>
      </c>
      <c r="G39" s="494" t="s">
        <v>1033</v>
      </c>
      <c r="S39" s="629">
        <f t="shared" si="2"/>
        <v>0.4375</v>
      </c>
      <c r="T39" s="629">
        <f t="shared" si="3"/>
        <v>0.45833333333333331</v>
      </c>
      <c r="U39" s="494" t="s">
        <v>911</v>
      </c>
      <c r="V39" s="620" t="str">
        <f>Kankakee_table[[#This Row],[TimeSlot_Start_text]]</f>
        <v>1030</v>
      </c>
      <c r="W39" s="621"/>
      <c r="X39" s="621"/>
      <c r="Y39" s="621"/>
      <c r="Z39" s="621"/>
      <c r="AA39" s="621"/>
      <c r="AB39" s="494" t="s">
        <v>1074</v>
      </c>
      <c r="AD39" s="625" t="s">
        <v>1020</v>
      </c>
      <c r="AG39" s="627"/>
      <c r="AH39" s="494" t="s">
        <v>1021</v>
      </c>
      <c r="AI39" s="625" t="s">
        <v>1022</v>
      </c>
      <c r="AJ39" s="627">
        <v>25092</v>
      </c>
      <c r="AK39" s="623" t="s">
        <v>1024</v>
      </c>
      <c r="AL39" s="627">
        <v>7089287239</v>
      </c>
      <c r="AM39" s="494" t="s">
        <v>786</v>
      </c>
      <c r="AN39" s="625" t="s">
        <v>901</v>
      </c>
      <c r="AO39" s="627">
        <v>22230</v>
      </c>
      <c r="AP39" s="623" t="s">
        <v>882</v>
      </c>
      <c r="AQ39" s="627">
        <v>7089327433</v>
      </c>
    </row>
    <row r="40" spans="1:43" x14ac:dyDescent="0.25">
      <c r="A40" s="625">
        <v>199</v>
      </c>
      <c r="B40" s="494" t="s">
        <v>589</v>
      </c>
      <c r="C40" s="625">
        <v>103</v>
      </c>
      <c r="D40" s="494" t="s">
        <v>1030</v>
      </c>
      <c r="E40" s="627">
        <v>9504647</v>
      </c>
      <c r="F40" s="627">
        <v>29333</v>
      </c>
      <c r="G40" s="494" t="s">
        <v>1033</v>
      </c>
      <c r="S40" s="629">
        <f t="shared" si="2"/>
        <v>0.45833333333333331</v>
      </c>
      <c r="T40" s="629">
        <f t="shared" si="3"/>
        <v>0.47916666666666663</v>
      </c>
      <c r="U40" s="494" t="s">
        <v>912</v>
      </c>
      <c r="V40" s="620" t="str">
        <f>Kankakee_table[[#This Row],[TimeSlot_Start_text]]</f>
        <v>1100</v>
      </c>
      <c r="W40" s="621"/>
      <c r="X40" s="621"/>
      <c r="Y40" s="621"/>
      <c r="Z40" s="621"/>
      <c r="AA40" s="621"/>
      <c r="AB40" s="494" t="s">
        <v>1076</v>
      </c>
      <c r="AD40" s="625" t="s">
        <v>1020</v>
      </c>
      <c r="AG40" s="627"/>
      <c r="AH40" s="494" t="s">
        <v>1021</v>
      </c>
      <c r="AI40" s="625" t="s">
        <v>1022</v>
      </c>
      <c r="AJ40" s="627">
        <v>25092</v>
      </c>
      <c r="AK40" s="623" t="s">
        <v>1024</v>
      </c>
      <c r="AL40" s="627">
        <v>7089287239</v>
      </c>
      <c r="AM40" s="494" t="s">
        <v>786</v>
      </c>
      <c r="AN40" s="625" t="s">
        <v>901</v>
      </c>
      <c r="AO40" s="627">
        <v>22230</v>
      </c>
      <c r="AP40" s="623" t="s">
        <v>882</v>
      </c>
      <c r="AQ40" s="627">
        <v>7089327433</v>
      </c>
    </row>
    <row r="41" spans="1:43" x14ac:dyDescent="0.25">
      <c r="A41" s="625">
        <v>200</v>
      </c>
      <c r="B41" s="494" t="s">
        <v>589</v>
      </c>
      <c r="C41" s="625">
        <v>103</v>
      </c>
      <c r="D41" s="494" t="s">
        <v>1030</v>
      </c>
      <c r="E41" s="627">
        <v>9504647</v>
      </c>
      <c r="F41" s="627">
        <v>29333</v>
      </c>
      <c r="G41" s="494" t="s">
        <v>1033</v>
      </c>
      <c r="S41" s="629">
        <f t="shared" si="2"/>
        <v>0.47916666666666669</v>
      </c>
      <c r="T41" s="629">
        <f t="shared" si="3"/>
        <v>0.5</v>
      </c>
      <c r="U41" s="494" t="s">
        <v>913</v>
      </c>
      <c r="V41" s="620" t="str">
        <f>Kankakee_table[[#This Row],[TimeSlot_Start_text]]</f>
        <v>1130</v>
      </c>
      <c r="W41" s="621"/>
      <c r="X41" s="621"/>
      <c r="Y41" s="621"/>
      <c r="Z41" s="621"/>
      <c r="AA41" s="621"/>
      <c r="AB41" s="494" t="s">
        <v>1075</v>
      </c>
      <c r="AD41" s="625" t="s">
        <v>1020</v>
      </c>
      <c r="AG41" s="627"/>
      <c r="AH41" s="494" t="s">
        <v>1021</v>
      </c>
      <c r="AI41" s="625" t="s">
        <v>1022</v>
      </c>
      <c r="AJ41" s="627">
        <v>25092</v>
      </c>
      <c r="AK41" s="623" t="s">
        <v>1024</v>
      </c>
      <c r="AL41" s="627">
        <v>7089287239</v>
      </c>
      <c r="AM41" s="494" t="s">
        <v>786</v>
      </c>
      <c r="AN41" s="625" t="s">
        <v>901</v>
      </c>
      <c r="AO41" s="627">
        <v>22230</v>
      </c>
      <c r="AP41" s="623" t="s">
        <v>882</v>
      </c>
      <c r="AQ41" s="627">
        <v>7089327433</v>
      </c>
    </row>
    <row r="42" spans="1:43" ht="15" customHeight="1" x14ac:dyDescent="0.25">
      <c r="A42" s="625">
        <v>201</v>
      </c>
      <c r="B42" s="494" t="s">
        <v>589</v>
      </c>
      <c r="C42" s="625">
        <v>103</v>
      </c>
      <c r="D42" s="494" t="s">
        <v>1030</v>
      </c>
      <c r="E42" s="627">
        <v>9504647</v>
      </c>
      <c r="F42" s="627">
        <v>29333</v>
      </c>
      <c r="G42" s="494" t="s">
        <v>1033</v>
      </c>
      <c r="S42" s="629">
        <f t="shared" si="2"/>
        <v>0.5</v>
      </c>
      <c r="T42" s="629">
        <f t="shared" si="3"/>
        <v>0.52083333333333337</v>
      </c>
      <c r="U42" s="494" t="s">
        <v>914</v>
      </c>
      <c r="V42" s="620" t="str">
        <f>Kankakee_table[[#This Row],[TimeSlot_Start_text]]</f>
        <v>1200</v>
      </c>
      <c r="W42" s="621" t="s">
        <v>354</v>
      </c>
      <c r="X42" s="621" t="s">
        <v>354</v>
      </c>
      <c r="Y42" s="621" t="s">
        <v>354</v>
      </c>
      <c r="Z42" s="621" t="s">
        <v>354</v>
      </c>
      <c r="AA42" s="621" t="s">
        <v>354</v>
      </c>
      <c r="AB42" s="494" t="s">
        <v>1077</v>
      </c>
      <c r="AD42" s="625" t="s">
        <v>1020</v>
      </c>
      <c r="AG42" s="627"/>
      <c r="AH42" s="494" t="s">
        <v>1021</v>
      </c>
      <c r="AI42" s="625" t="s">
        <v>1022</v>
      </c>
      <c r="AJ42" s="627">
        <v>25092</v>
      </c>
      <c r="AK42" s="623" t="s">
        <v>1024</v>
      </c>
      <c r="AL42" s="627">
        <v>7089287239</v>
      </c>
      <c r="AM42" s="494" t="s">
        <v>786</v>
      </c>
      <c r="AN42" s="625" t="s">
        <v>901</v>
      </c>
      <c r="AO42" s="627">
        <v>22230</v>
      </c>
      <c r="AP42" s="623" t="s">
        <v>882</v>
      </c>
      <c r="AQ42" s="627">
        <v>7089327433</v>
      </c>
    </row>
    <row r="43" spans="1:43" ht="15.75" customHeight="1" x14ac:dyDescent="0.25">
      <c r="A43" s="625">
        <v>202</v>
      </c>
      <c r="B43" s="494" t="s">
        <v>589</v>
      </c>
      <c r="C43" s="625">
        <v>103</v>
      </c>
      <c r="D43" s="494" t="s">
        <v>1030</v>
      </c>
      <c r="E43" s="627">
        <v>9504647</v>
      </c>
      <c r="F43" s="627">
        <v>29333</v>
      </c>
      <c r="G43" s="494" t="s">
        <v>1033</v>
      </c>
      <c r="S43" s="629">
        <f t="shared" si="2"/>
        <v>0.52083333333333337</v>
      </c>
      <c r="T43" s="629">
        <f t="shared" si="3"/>
        <v>0.54166666666666674</v>
      </c>
      <c r="U43" s="494" t="s">
        <v>915</v>
      </c>
      <c r="V43" s="620" t="str">
        <f>Kankakee_table[[#This Row],[TimeSlot_Start_text]]</f>
        <v>1230</v>
      </c>
      <c r="W43" s="621" t="s">
        <v>354</v>
      </c>
      <c r="X43" s="621" t="s">
        <v>354</v>
      </c>
      <c r="Y43" s="621" t="s">
        <v>354</v>
      </c>
      <c r="Z43" s="621" t="s">
        <v>354</v>
      </c>
      <c r="AA43" s="621" t="s">
        <v>354</v>
      </c>
      <c r="AB43" s="494" t="s">
        <v>1078</v>
      </c>
      <c r="AD43" s="625" t="s">
        <v>1020</v>
      </c>
      <c r="AG43" s="627"/>
      <c r="AH43" s="494" t="s">
        <v>1021</v>
      </c>
      <c r="AI43" s="625" t="s">
        <v>1022</v>
      </c>
      <c r="AJ43" s="627">
        <v>25092</v>
      </c>
      <c r="AK43" s="623" t="s">
        <v>1024</v>
      </c>
      <c r="AL43" s="627">
        <v>7089287239</v>
      </c>
      <c r="AM43" s="494" t="s">
        <v>786</v>
      </c>
      <c r="AN43" s="625" t="s">
        <v>901</v>
      </c>
      <c r="AO43" s="627">
        <v>22230</v>
      </c>
      <c r="AP43" s="623" t="s">
        <v>882</v>
      </c>
      <c r="AQ43" s="627">
        <v>7089327433</v>
      </c>
    </row>
    <row r="44" spans="1:43" x14ac:dyDescent="0.25">
      <c r="A44" s="625">
        <v>203</v>
      </c>
      <c r="B44" s="494" t="s">
        <v>589</v>
      </c>
      <c r="C44" s="625">
        <v>103</v>
      </c>
      <c r="D44" s="494" t="s">
        <v>1030</v>
      </c>
      <c r="E44" s="627">
        <v>9504647</v>
      </c>
      <c r="F44" s="627">
        <v>29333</v>
      </c>
      <c r="G44" s="494" t="s">
        <v>1033</v>
      </c>
      <c r="S44" s="629">
        <f t="shared" si="2"/>
        <v>0.54166666666666663</v>
      </c>
      <c r="T44" s="629">
        <f t="shared" si="3"/>
        <v>0.5625</v>
      </c>
      <c r="U44" s="494" t="s">
        <v>916</v>
      </c>
      <c r="V44" s="620" t="str">
        <f>Kankakee_table[[#This Row],[TimeSlot_Start_text]]</f>
        <v>1300</v>
      </c>
      <c r="W44" s="621"/>
      <c r="X44" s="621"/>
      <c r="Y44" s="621"/>
      <c r="Z44" s="621"/>
      <c r="AA44" s="621" t="s">
        <v>630</v>
      </c>
      <c r="AB44" s="494" t="s">
        <v>1071</v>
      </c>
      <c r="AD44" s="625" t="s">
        <v>1020</v>
      </c>
      <c r="AG44" s="627"/>
      <c r="AH44" s="494" t="s">
        <v>1021</v>
      </c>
      <c r="AI44" s="625" t="s">
        <v>1022</v>
      </c>
      <c r="AJ44" s="627">
        <v>25092</v>
      </c>
      <c r="AK44" s="623" t="s">
        <v>1024</v>
      </c>
      <c r="AL44" s="627">
        <v>7089287239</v>
      </c>
      <c r="AM44" s="494" t="s">
        <v>786</v>
      </c>
      <c r="AN44" s="625" t="s">
        <v>901</v>
      </c>
      <c r="AO44" s="627">
        <v>22230</v>
      </c>
      <c r="AP44" s="623" t="s">
        <v>882</v>
      </c>
      <c r="AQ44" s="627">
        <v>7089327433</v>
      </c>
    </row>
    <row r="45" spans="1:43" x14ac:dyDescent="0.25">
      <c r="A45" s="625">
        <v>204</v>
      </c>
      <c r="B45" s="494" t="s">
        <v>589</v>
      </c>
      <c r="C45" s="625">
        <v>103</v>
      </c>
      <c r="D45" s="494" t="s">
        <v>1030</v>
      </c>
      <c r="E45" s="627">
        <v>9504647</v>
      </c>
      <c r="F45" s="627">
        <v>29333</v>
      </c>
      <c r="G45" s="494" t="s">
        <v>1033</v>
      </c>
      <c r="S45" s="629">
        <f t="shared" si="2"/>
        <v>0.5625</v>
      </c>
      <c r="T45" s="629">
        <f t="shared" si="3"/>
        <v>0.58333333333333337</v>
      </c>
      <c r="U45" s="494" t="s">
        <v>917</v>
      </c>
      <c r="V45" s="620" t="str">
        <f>Kankakee_table[[#This Row],[TimeSlot_Start_text]]</f>
        <v>1330</v>
      </c>
      <c r="W45" s="621"/>
      <c r="X45" s="621"/>
      <c r="Y45" s="621"/>
      <c r="Z45" s="621"/>
      <c r="AA45" s="621" t="s">
        <v>630</v>
      </c>
      <c r="AB45" s="494" t="s">
        <v>1072</v>
      </c>
      <c r="AD45" s="625" t="s">
        <v>1020</v>
      </c>
      <c r="AG45" s="627"/>
      <c r="AH45" s="494" t="s">
        <v>1021</v>
      </c>
      <c r="AI45" s="625" t="s">
        <v>1022</v>
      </c>
      <c r="AJ45" s="627">
        <v>25092</v>
      </c>
      <c r="AK45" s="623" t="s">
        <v>1024</v>
      </c>
      <c r="AL45" s="627">
        <v>7089287239</v>
      </c>
      <c r="AM45" s="494" t="s">
        <v>786</v>
      </c>
      <c r="AN45" s="625" t="s">
        <v>901</v>
      </c>
      <c r="AO45" s="627">
        <v>22230</v>
      </c>
      <c r="AP45" s="623" t="s">
        <v>882</v>
      </c>
      <c r="AQ45" s="627">
        <v>7089327433</v>
      </c>
    </row>
    <row r="46" spans="1:43" x14ac:dyDescent="0.25">
      <c r="A46" s="625">
        <v>205</v>
      </c>
      <c r="B46" s="494" t="s">
        <v>589</v>
      </c>
      <c r="C46" s="625">
        <v>103</v>
      </c>
      <c r="D46" s="494" t="s">
        <v>1030</v>
      </c>
      <c r="E46" s="627">
        <v>9504647</v>
      </c>
      <c r="F46" s="627">
        <v>29333</v>
      </c>
      <c r="G46" s="494" t="s">
        <v>1033</v>
      </c>
      <c r="S46" s="629">
        <f t="shared" si="2"/>
        <v>0.58333333333333337</v>
      </c>
      <c r="T46" s="629">
        <f t="shared" si="3"/>
        <v>0.60416666666666674</v>
      </c>
      <c r="U46" s="494" t="s">
        <v>918</v>
      </c>
      <c r="V46" s="620" t="str">
        <f>Kankakee_table[[#This Row],[TimeSlot_Start_text]]</f>
        <v>1400</v>
      </c>
      <c r="W46" s="621"/>
      <c r="X46" s="621"/>
      <c r="Y46" s="621"/>
      <c r="Z46" s="621"/>
      <c r="AA46" s="621" t="s">
        <v>630</v>
      </c>
      <c r="AB46" s="494" t="s">
        <v>1079</v>
      </c>
      <c r="AD46" s="625" t="s">
        <v>1020</v>
      </c>
      <c r="AG46" s="627"/>
      <c r="AH46" s="494" t="s">
        <v>1021</v>
      </c>
      <c r="AI46" s="625" t="s">
        <v>1022</v>
      </c>
      <c r="AJ46" s="627">
        <v>25092</v>
      </c>
      <c r="AK46" s="623" t="s">
        <v>1024</v>
      </c>
      <c r="AL46" s="627">
        <v>7089287239</v>
      </c>
      <c r="AM46" s="494" t="s">
        <v>786</v>
      </c>
      <c r="AN46" s="625" t="s">
        <v>901</v>
      </c>
      <c r="AO46" s="627">
        <v>22230</v>
      </c>
      <c r="AP46" s="623" t="s">
        <v>882</v>
      </c>
      <c r="AQ46" s="627">
        <v>7089327433</v>
      </c>
    </row>
    <row r="47" spans="1:43" x14ac:dyDescent="0.25">
      <c r="A47" s="625">
        <v>206</v>
      </c>
      <c r="B47" s="494" t="s">
        <v>589</v>
      </c>
      <c r="C47" s="625">
        <v>103</v>
      </c>
      <c r="D47" s="494" t="s">
        <v>1030</v>
      </c>
      <c r="E47" s="627">
        <v>9504647</v>
      </c>
      <c r="F47" s="627">
        <v>29333</v>
      </c>
      <c r="G47" s="494" t="s">
        <v>1033</v>
      </c>
      <c r="S47" s="629">
        <f t="shared" si="2"/>
        <v>0.60416666666666663</v>
      </c>
      <c r="T47" s="629">
        <f t="shared" si="3"/>
        <v>0.625</v>
      </c>
      <c r="U47" s="494" t="s">
        <v>919</v>
      </c>
      <c r="V47" s="620" t="str">
        <f>Kankakee_table[[#This Row],[TimeSlot_Start_text]]</f>
        <v>1430</v>
      </c>
      <c r="W47" s="621"/>
      <c r="X47" s="621"/>
      <c r="Y47" s="621"/>
      <c r="Z47" s="621"/>
      <c r="AA47" s="621" t="s">
        <v>630</v>
      </c>
      <c r="AB47" s="494" t="s">
        <v>1080</v>
      </c>
      <c r="AD47" s="625" t="s">
        <v>1020</v>
      </c>
      <c r="AG47" s="627"/>
      <c r="AH47" s="494" t="s">
        <v>1021</v>
      </c>
      <c r="AI47" s="625" t="s">
        <v>1022</v>
      </c>
      <c r="AJ47" s="627">
        <v>25092</v>
      </c>
      <c r="AK47" s="623" t="s">
        <v>1024</v>
      </c>
      <c r="AL47" s="627">
        <v>7089287239</v>
      </c>
      <c r="AM47" s="494" t="s">
        <v>786</v>
      </c>
      <c r="AN47" s="625" t="s">
        <v>901</v>
      </c>
      <c r="AO47" s="627">
        <v>22230</v>
      </c>
      <c r="AP47" s="623" t="s">
        <v>882</v>
      </c>
      <c r="AQ47" s="627">
        <v>7089327433</v>
      </c>
    </row>
    <row r="48" spans="1:43" x14ac:dyDescent="0.25">
      <c r="A48" s="625">
        <v>207</v>
      </c>
      <c r="B48" s="494" t="s">
        <v>589</v>
      </c>
      <c r="C48" s="625">
        <v>103</v>
      </c>
      <c r="D48" s="494" t="s">
        <v>1030</v>
      </c>
      <c r="E48" s="627">
        <v>9504647</v>
      </c>
      <c r="F48" s="627">
        <v>29333</v>
      </c>
      <c r="G48" s="494" t="s">
        <v>1033</v>
      </c>
      <c r="S48" s="629">
        <f t="shared" si="2"/>
        <v>0.625</v>
      </c>
      <c r="T48" s="629">
        <f t="shared" si="3"/>
        <v>0.64583333333333337</v>
      </c>
      <c r="U48" s="494" t="s">
        <v>920</v>
      </c>
      <c r="V48" s="620" t="str">
        <f>Kankakee_table[[#This Row],[TimeSlot_Start_text]]</f>
        <v>1500</v>
      </c>
      <c r="W48" s="621"/>
      <c r="X48" s="621"/>
      <c r="Y48" s="621"/>
      <c r="Z48" s="621"/>
      <c r="AA48" s="621"/>
      <c r="AB48" s="494" t="s">
        <v>1081</v>
      </c>
      <c r="AD48" s="625" t="s">
        <v>1020</v>
      </c>
      <c r="AG48" s="627"/>
      <c r="AH48" s="494" t="s">
        <v>1021</v>
      </c>
      <c r="AI48" s="625" t="s">
        <v>1022</v>
      </c>
      <c r="AJ48" s="627">
        <v>25092</v>
      </c>
      <c r="AK48" s="623" t="s">
        <v>1024</v>
      </c>
      <c r="AL48" s="627">
        <v>7089287239</v>
      </c>
      <c r="AM48" s="494" t="s">
        <v>786</v>
      </c>
      <c r="AN48" s="625" t="s">
        <v>901</v>
      </c>
      <c r="AO48" s="627">
        <v>22230</v>
      </c>
      <c r="AP48" s="623" t="s">
        <v>882</v>
      </c>
      <c r="AQ48" s="627">
        <v>7089327433</v>
      </c>
    </row>
    <row r="49" spans="1:43" x14ac:dyDescent="0.25">
      <c r="A49" s="625">
        <v>208</v>
      </c>
      <c r="B49" s="494" t="s">
        <v>589</v>
      </c>
      <c r="C49" s="625">
        <v>103</v>
      </c>
      <c r="D49" s="494" t="s">
        <v>1030</v>
      </c>
      <c r="E49" s="627">
        <v>9504647</v>
      </c>
      <c r="F49" s="627">
        <v>29333</v>
      </c>
      <c r="G49" s="494" t="s">
        <v>1033</v>
      </c>
      <c r="S49" s="629">
        <f t="shared" si="2"/>
        <v>0.64583333333333337</v>
      </c>
      <c r="T49" s="629">
        <f t="shared" si="3"/>
        <v>0.66666666666666674</v>
      </c>
      <c r="U49" s="494" t="s">
        <v>921</v>
      </c>
      <c r="V49" s="620" t="str">
        <f>Kankakee_table[[#This Row],[TimeSlot_Start_text]]</f>
        <v>1530</v>
      </c>
      <c r="W49" s="621"/>
      <c r="X49" s="621"/>
      <c r="Y49" s="621"/>
      <c r="Z49" s="621"/>
      <c r="AA49" s="621"/>
      <c r="AB49" s="494" t="s">
        <v>1082</v>
      </c>
      <c r="AD49" s="625" t="s">
        <v>1020</v>
      </c>
      <c r="AG49" s="627"/>
      <c r="AH49" s="494" t="s">
        <v>1021</v>
      </c>
      <c r="AI49" s="625" t="s">
        <v>1022</v>
      </c>
      <c r="AJ49" s="627">
        <v>25092</v>
      </c>
      <c r="AK49" s="623" t="s">
        <v>1024</v>
      </c>
      <c r="AL49" s="627">
        <v>7089287239</v>
      </c>
      <c r="AM49" s="494" t="s">
        <v>786</v>
      </c>
      <c r="AN49" s="625" t="s">
        <v>901</v>
      </c>
      <c r="AO49" s="627">
        <v>22230</v>
      </c>
      <c r="AP49" s="623" t="s">
        <v>882</v>
      </c>
      <c r="AQ49" s="627">
        <v>7089327433</v>
      </c>
    </row>
    <row r="50" spans="1:43" ht="15" customHeight="1" x14ac:dyDescent="0.25">
      <c r="A50" s="625">
        <v>209</v>
      </c>
      <c r="B50" s="494" t="s">
        <v>589</v>
      </c>
      <c r="C50" s="625">
        <v>104</v>
      </c>
      <c r="D50" s="494" t="s">
        <v>1034</v>
      </c>
      <c r="E50" s="627">
        <v>9504469</v>
      </c>
      <c r="F50" s="627">
        <v>29334</v>
      </c>
      <c r="G50" s="494" t="s">
        <v>1037</v>
      </c>
      <c r="S50" s="629">
        <f t="shared" si="2"/>
        <v>0.33333333333333331</v>
      </c>
      <c r="T50" s="629">
        <f t="shared" si="3"/>
        <v>0.35416666666666663</v>
      </c>
      <c r="U50" s="494" t="s">
        <v>906</v>
      </c>
      <c r="V50" s="620" t="str">
        <f>Kankakee_table[[#This Row],[TimeSlot_Start_text]]</f>
        <v>0800</v>
      </c>
      <c r="W50" s="621"/>
      <c r="X50" s="621"/>
      <c r="Y50" s="621"/>
      <c r="Z50" s="621"/>
      <c r="AA50" s="621"/>
      <c r="AB50" s="494" t="s">
        <v>1083</v>
      </c>
      <c r="AD50" s="625" t="s">
        <v>1020</v>
      </c>
      <c r="AG50" s="627"/>
      <c r="AH50" s="494" t="s">
        <v>1021</v>
      </c>
      <c r="AI50" s="625" t="s">
        <v>1022</v>
      </c>
      <c r="AJ50" s="627">
        <v>25092</v>
      </c>
      <c r="AK50" s="623" t="s">
        <v>1024</v>
      </c>
      <c r="AL50" s="627">
        <v>7089287239</v>
      </c>
      <c r="AM50" s="494" t="s">
        <v>786</v>
      </c>
      <c r="AN50" s="625" t="s">
        <v>901</v>
      </c>
      <c r="AO50" s="627">
        <v>22230</v>
      </c>
      <c r="AP50" s="623" t="s">
        <v>882</v>
      </c>
      <c r="AQ50" s="627">
        <v>7089327433</v>
      </c>
    </row>
    <row r="51" spans="1:43" ht="15" customHeight="1" x14ac:dyDescent="0.25">
      <c r="A51" s="625">
        <v>210</v>
      </c>
      <c r="B51" s="494" t="s">
        <v>589</v>
      </c>
      <c r="C51" s="625">
        <v>104</v>
      </c>
      <c r="D51" s="494" t="s">
        <v>1034</v>
      </c>
      <c r="E51" s="627">
        <v>9504469</v>
      </c>
      <c r="F51" s="627">
        <v>29334</v>
      </c>
      <c r="G51" s="494" t="s">
        <v>1037</v>
      </c>
      <c r="S51" s="629">
        <f t="shared" si="2"/>
        <v>0.35416666666666669</v>
      </c>
      <c r="T51" s="629">
        <f t="shared" si="3"/>
        <v>0.375</v>
      </c>
      <c r="U51" s="494" t="s">
        <v>907</v>
      </c>
      <c r="V51" s="620" t="str">
        <f>Kankakee_table[[#This Row],[TimeSlot_Start_text]]</f>
        <v>0830</v>
      </c>
      <c r="W51" s="621"/>
      <c r="X51" s="621"/>
      <c r="Y51" s="621"/>
      <c r="Z51" s="621"/>
      <c r="AA51" s="621"/>
      <c r="AB51" s="494" t="s">
        <v>1084</v>
      </c>
      <c r="AD51" s="625" t="s">
        <v>1020</v>
      </c>
      <c r="AG51" s="627"/>
      <c r="AH51" s="494" t="s">
        <v>1021</v>
      </c>
      <c r="AI51" s="625" t="s">
        <v>1022</v>
      </c>
      <c r="AJ51" s="627">
        <v>25092</v>
      </c>
      <c r="AK51" s="623" t="s">
        <v>1024</v>
      </c>
      <c r="AL51" s="627">
        <v>7089287239</v>
      </c>
      <c r="AM51" s="494" t="s">
        <v>786</v>
      </c>
      <c r="AN51" s="625" t="s">
        <v>901</v>
      </c>
      <c r="AO51" s="627">
        <v>22230</v>
      </c>
      <c r="AP51" s="623" t="s">
        <v>882</v>
      </c>
      <c r="AQ51" s="627">
        <v>7089327433</v>
      </c>
    </row>
    <row r="52" spans="1:43" ht="15" customHeight="1" x14ac:dyDescent="0.25">
      <c r="A52" s="625">
        <v>211</v>
      </c>
      <c r="B52" s="494" t="s">
        <v>589</v>
      </c>
      <c r="C52" s="625">
        <v>104</v>
      </c>
      <c r="D52" s="494" t="s">
        <v>1034</v>
      </c>
      <c r="E52" s="627">
        <v>9504469</v>
      </c>
      <c r="F52" s="627">
        <v>29334</v>
      </c>
      <c r="G52" s="494" t="s">
        <v>1037</v>
      </c>
      <c r="S52" s="629">
        <f t="shared" si="2"/>
        <v>0.375</v>
      </c>
      <c r="T52" s="629">
        <f t="shared" si="3"/>
        <v>0.39583333333333331</v>
      </c>
      <c r="U52" s="494" t="s">
        <v>908</v>
      </c>
      <c r="V52" s="620" t="str">
        <f>Kankakee_table[[#This Row],[TimeSlot_Start_text]]</f>
        <v>0900</v>
      </c>
      <c r="W52" s="621"/>
      <c r="X52" s="621"/>
      <c r="Y52" s="621"/>
      <c r="Z52" s="621"/>
      <c r="AA52" s="621"/>
      <c r="AB52" s="494" t="s">
        <v>1085</v>
      </c>
      <c r="AD52" s="625" t="s">
        <v>1020</v>
      </c>
      <c r="AG52" s="627"/>
      <c r="AH52" s="494" t="s">
        <v>1021</v>
      </c>
      <c r="AI52" s="625" t="s">
        <v>1022</v>
      </c>
      <c r="AJ52" s="627">
        <v>25092</v>
      </c>
      <c r="AK52" s="623" t="s">
        <v>1024</v>
      </c>
      <c r="AL52" s="627">
        <v>7089287239</v>
      </c>
      <c r="AM52" s="494" t="s">
        <v>786</v>
      </c>
      <c r="AN52" s="625" t="s">
        <v>901</v>
      </c>
      <c r="AO52" s="627">
        <v>22230</v>
      </c>
      <c r="AP52" s="623" t="s">
        <v>882</v>
      </c>
      <c r="AQ52" s="627">
        <v>7089327433</v>
      </c>
    </row>
    <row r="53" spans="1:43" ht="15" customHeight="1" x14ac:dyDescent="0.25">
      <c r="A53" s="625">
        <v>212</v>
      </c>
      <c r="B53" s="494" t="s">
        <v>589</v>
      </c>
      <c r="C53" s="625">
        <v>104</v>
      </c>
      <c r="D53" s="494" t="s">
        <v>1034</v>
      </c>
      <c r="E53" s="627">
        <v>9504469</v>
      </c>
      <c r="F53" s="627">
        <v>29334</v>
      </c>
      <c r="G53" s="494" t="s">
        <v>1037</v>
      </c>
      <c r="S53" s="629">
        <f t="shared" si="2"/>
        <v>0.39583333333333331</v>
      </c>
      <c r="T53" s="629">
        <f t="shared" si="3"/>
        <v>0.41666666666666663</v>
      </c>
      <c r="U53" s="494" t="s">
        <v>909</v>
      </c>
      <c r="V53" s="620" t="str">
        <f>Kankakee_table[[#This Row],[TimeSlot_Start_text]]</f>
        <v>0930</v>
      </c>
      <c r="W53" s="621"/>
      <c r="X53" s="621"/>
      <c r="Y53" s="621"/>
      <c r="Z53" s="621"/>
      <c r="AA53" s="621"/>
      <c r="AB53" s="494" t="s">
        <v>1086</v>
      </c>
      <c r="AD53" s="625" t="s">
        <v>1020</v>
      </c>
      <c r="AG53" s="627"/>
      <c r="AH53" s="494" t="s">
        <v>1021</v>
      </c>
      <c r="AI53" s="625" t="s">
        <v>1022</v>
      </c>
      <c r="AJ53" s="627">
        <v>25092</v>
      </c>
      <c r="AK53" s="623" t="s">
        <v>1024</v>
      </c>
      <c r="AL53" s="627">
        <v>7089287239</v>
      </c>
      <c r="AM53" s="494" t="s">
        <v>786</v>
      </c>
      <c r="AN53" s="625" t="s">
        <v>901</v>
      </c>
      <c r="AO53" s="627">
        <v>22230</v>
      </c>
      <c r="AP53" s="623" t="s">
        <v>882</v>
      </c>
      <c r="AQ53" s="627">
        <v>7089327433</v>
      </c>
    </row>
    <row r="54" spans="1:43" x14ac:dyDescent="0.25">
      <c r="A54" s="625">
        <v>213</v>
      </c>
      <c r="B54" s="494" t="s">
        <v>589</v>
      </c>
      <c r="C54" s="625">
        <v>104</v>
      </c>
      <c r="D54" s="494" t="s">
        <v>1034</v>
      </c>
      <c r="E54" s="627">
        <v>9504469</v>
      </c>
      <c r="F54" s="627">
        <v>29334</v>
      </c>
      <c r="G54" s="494" t="s">
        <v>1037</v>
      </c>
      <c r="S54" s="629">
        <f t="shared" si="2"/>
        <v>0.41666666666666669</v>
      </c>
      <c r="T54" s="629">
        <f t="shared" si="3"/>
        <v>0.4375</v>
      </c>
      <c r="U54" s="494" t="s">
        <v>910</v>
      </c>
      <c r="V54" s="620" t="str">
        <f>Kankakee_table[[#This Row],[TimeSlot_Start_text]]</f>
        <v>1000</v>
      </c>
      <c r="W54" s="621"/>
      <c r="X54" s="621"/>
      <c r="Y54" s="621"/>
      <c r="Z54" s="621"/>
      <c r="AA54" s="621"/>
      <c r="AB54" s="494" t="s">
        <v>1073</v>
      </c>
      <c r="AD54" s="625" t="s">
        <v>1020</v>
      </c>
      <c r="AG54" s="627"/>
      <c r="AH54" s="494" t="s">
        <v>1021</v>
      </c>
      <c r="AI54" s="625" t="s">
        <v>1022</v>
      </c>
      <c r="AJ54" s="627">
        <v>25092</v>
      </c>
      <c r="AK54" s="623" t="s">
        <v>1024</v>
      </c>
      <c r="AL54" s="627">
        <v>7089287239</v>
      </c>
      <c r="AM54" s="494" t="s">
        <v>786</v>
      </c>
      <c r="AN54" s="625" t="s">
        <v>901</v>
      </c>
      <c r="AO54" s="627">
        <v>22230</v>
      </c>
      <c r="AP54" s="623" t="s">
        <v>882</v>
      </c>
      <c r="AQ54" s="627">
        <v>7089327433</v>
      </c>
    </row>
    <row r="55" spans="1:43" x14ac:dyDescent="0.25">
      <c r="A55" s="625">
        <v>214</v>
      </c>
      <c r="B55" s="494" t="s">
        <v>589</v>
      </c>
      <c r="C55" s="625">
        <v>104</v>
      </c>
      <c r="D55" s="494" t="s">
        <v>1034</v>
      </c>
      <c r="E55" s="627">
        <v>9504469</v>
      </c>
      <c r="F55" s="627">
        <v>29334</v>
      </c>
      <c r="G55" s="494" t="s">
        <v>1037</v>
      </c>
      <c r="S55" s="629">
        <f t="shared" si="2"/>
        <v>0.4375</v>
      </c>
      <c r="T55" s="629">
        <f t="shared" si="3"/>
        <v>0.45833333333333331</v>
      </c>
      <c r="U55" s="494" t="s">
        <v>911</v>
      </c>
      <c r="V55" s="620" t="str">
        <f>Kankakee_table[[#This Row],[TimeSlot_Start_text]]</f>
        <v>1030</v>
      </c>
      <c r="W55" s="621"/>
      <c r="X55" s="621"/>
      <c r="Y55" s="621"/>
      <c r="Z55" s="621"/>
      <c r="AA55" s="621"/>
      <c r="AB55" s="494" t="s">
        <v>1074</v>
      </c>
      <c r="AD55" s="625" t="s">
        <v>1020</v>
      </c>
      <c r="AG55" s="627"/>
      <c r="AH55" s="494" t="s">
        <v>1021</v>
      </c>
      <c r="AI55" s="625" t="s">
        <v>1022</v>
      </c>
      <c r="AJ55" s="627">
        <v>25092</v>
      </c>
      <c r="AK55" s="623" t="s">
        <v>1024</v>
      </c>
      <c r="AL55" s="627">
        <v>7089287239</v>
      </c>
      <c r="AM55" s="494" t="s">
        <v>786</v>
      </c>
      <c r="AN55" s="625" t="s">
        <v>901</v>
      </c>
      <c r="AO55" s="627">
        <v>22230</v>
      </c>
      <c r="AP55" s="623" t="s">
        <v>882</v>
      </c>
      <c r="AQ55" s="627">
        <v>7089327433</v>
      </c>
    </row>
    <row r="56" spans="1:43" x14ac:dyDescent="0.25">
      <c r="A56" s="625">
        <v>215</v>
      </c>
      <c r="B56" s="494" t="s">
        <v>589</v>
      </c>
      <c r="C56" s="625">
        <v>104</v>
      </c>
      <c r="D56" s="494" t="s">
        <v>1034</v>
      </c>
      <c r="E56" s="627">
        <v>9504469</v>
      </c>
      <c r="F56" s="627">
        <v>29334</v>
      </c>
      <c r="G56" s="494" t="s">
        <v>1037</v>
      </c>
      <c r="S56" s="629">
        <f t="shared" si="2"/>
        <v>0.45833333333333331</v>
      </c>
      <c r="T56" s="629">
        <f t="shared" si="3"/>
        <v>0.47916666666666663</v>
      </c>
      <c r="U56" s="494" t="s">
        <v>912</v>
      </c>
      <c r="V56" s="620" t="str">
        <f>Kankakee_table[[#This Row],[TimeSlot_Start_text]]</f>
        <v>1100</v>
      </c>
      <c r="W56" s="621"/>
      <c r="X56" s="621"/>
      <c r="Y56" s="621"/>
      <c r="Z56" s="621"/>
      <c r="AA56" s="621"/>
      <c r="AB56" s="494" t="s">
        <v>1076</v>
      </c>
      <c r="AD56" s="625" t="s">
        <v>1020</v>
      </c>
      <c r="AG56" s="627"/>
      <c r="AH56" s="494" t="s">
        <v>1021</v>
      </c>
      <c r="AI56" s="625" t="s">
        <v>1022</v>
      </c>
      <c r="AJ56" s="627">
        <v>25092</v>
      </c>
      <c r="AK56" s="623" t="s">
        <v>1024</v>
      </c>
      <c r="AL56" s="627">
        <v>7089287239</v>
      </c>
      <c r="AM56" s="494" t="s">
        <v>786</v>
      </c>
      <c r="AN56" s="625" t="s">
        <v>901</v>
      </c>
      <c r="AO56" s="627">
        <v>22230</v>
      </c>
      <c r="AP56" s="623" t="s">
        <v>882</v>
      </c>
      <c r="AQ56" s="627">
        <v>7089327433</v>
      </c>
    </row>
    <row r="57" spans="1:43" x14ac:dyDescent="0.25">
      <c r="A57" s="625">
        <v>216</v>
      </c>
      <c r="B57" s="494" t="s">
        <v>589</v>
      </c>
      <c r="C57" s="625">
        <v>104</v>
      </c>
      <c r="D57" s="494" t="s">
        <v>1034</v>
      </c>
      <c r="E57" s="627">
        <v>9504469</v>
      </c>
      <c r="F57" s="627">
        <v>29334</v>
      </c>
      <c r="G57" s="494" t="s">
        <v>1037</v>
      </c>
      <c r="S57" s="629">
        <f t="shared" si="2"/>
        <v>0.47916666666666669</v>
      </c>
      <c r="T57" s="629">
        <f t="shared" si="3"/>
        <v>0.5</v>
      </c>
      <c r="U57" s="494" t="s">
        <v>913</v>
      </c>
      <c r="V57" s="620" t="str">
        <f>Kankakee_table[[#This Row],[TimeSlot_Start_text]]</f>
        <v>1130</v>
      </c>
      <c r="W57" s="621"/>
      <c r="X57" s="621"/>
      <c r="Y57" s="621"/>
      <c r="Z57" s="621"/>
      <c r="AA57" s="621"/>
      <c r="AB57" s="494" t="s">
        <v>1075</v>
      </c>
      <c r="AD57" s="625" t="s">
        <v>1020</v>
      </c>
      <c r="AG57" s="627"/>
      <c r="AH57" s="494" t="s">
        <v>1021</v>
      </c>
      <c r="AI57" s="625" t="s">
        <v>1022</v>
      </c>
      <c r="AJ57" s="627">
        <v>25092</v>
      </c>
      <c r="AK57" s="623" t="s">
        <v>1024</v>
      </c>
      <c r="AL57" s="627">
        <v>7089287239</v>
      </c>
      <c r="AM57" s="494" t="s">
        <v>786</v>
      </c>
      <c r="AN57" s="625" t="s">
        <v>901</v>
      </c>
      <c r="AO57" s="627">
        <v>22230</v>
      </c>
      <c r="AP57" s="623" t="s">
        <v>882</v>
      </c>
      <c r="AQ57" s="627">
        <v>7089327433</v>
      </c>
    </row>
    <row r="58" spans="1:43" ht="15" customHeight="1" x14ac:dyDescent="0.25">
      <c r="A58" s="625">
        <v>217</v>
      </c>
      <c r="B58" s="494" t="s">
        <v>589</v>
      </c>
      <c r="C58" s="625">
        <v>104</v>
      </c>
      <c r="D58" s="494" t="s">
        <v>1034</v>
      </c>
      <c r="E58" s="627">
        <v>9504469</v>
      </c>
      <c r="F58" s="627">
        <v>29334</v>
      </c>
      <c r="G58" s="494" t="s">
        <v>1037</v>
      </c>
      <c r="S58" s="629">
        <f t="shared" si="2"/>
        <v>0.5</v>
      </c>
      <c r="T58" s="629">
        <f t="shared" si="3"/>
        <v>0.52083333333333337</v>
      </c>
      <c r="U58" s="494" t="s">
        <v>914</v>
      </c>
      <c r="V58" s="620" t="str">
        <f>Kankakee_table[[#This Row],[TimeSlot_Start_text]]</f>
        <v>1200</v>
      </c>
      <c r="W58" s="621" t="s">
        <v>354</v>
      </c>
      <c r="X58" s="621" t="s">
        <v>354</v>
      </c>
      <c r="Y58" s="621" t="s">
        <v>354</v>
      </c>
      <c r="Z58" s="621" t="s">
        <v>354</v>
      </c>
      <c r="AA58" s="621" t="s">
        <v>354</v>
      </c>
      <c r="AB58" s="494" t="s">
        <v>1077</v>
      </c>
      <c r="AD58" s="625" t="s">
        <v>1020</v>
      </c>
      <c r="AG58" s="627"/>
      <c r="AH58" s="494" t="s">
        <v>1021</v>
      </c>
      <c r="AI58" s="625" t="s">
        <v>1022</v>
      </c>
      <c r="AJ58" s="627">
        <v>25092</v>
      </c>
      <c r="AK58" s="623" t="s">
        <v>1024</v>
      </c>
      <c r="AL58" s="627">
        <v>7089287239</v>
      </c>
      <c r="AM58" s="494" t="s">
        <v>786</v>
      </c>
      <c r="AN58" s="625" t="s">
        <v>901</v>
      </c>
      <c r="AO58" s="627">
        <v>22230</v>
      </c>
      <c r="AP58" s="623" t="s">
        <v>882</v>
      </c>
      <c r="AQ58" s="627">
        <v>7089327433</v>
      </c>
    </row>
    <row r="59" spans="1:43" ht="15.75" customHeight="1" x14ac:dyDescent="0.25">
      <c r="A59" s="625">
        <v>218</v>
      </c>
      <c r="B59" s="494" t="s">
        <v>589</v>
      </c>
      <c r="C59" s="625">
        <v>104</v>
      </c>
      <c r="D59" s="494" t="s">
        <v>1034</v>
      </c>
      <c r="E59" s="627">
        <v>9504469</v>
      </c>
      <c r="F59" s="627">
        <v>29334</v>
      </c>
      <c r="G59" s="494" t="s">
        <v>1037</v>
      </c>
      <c r="S59" s="629">
        <f t="shared" si="2"/>
        <v>0.52083333333333337</v>
      </c>
      <c r="T59" s="629">
        <f t="shared" si="3"/>
        <v>0.54166666666666674</v>
      </c>
      <c r="U59" s="494" t="s">
        <v>915</v>
      </c>
      <c r="V59" s="620" t="str">
        <f>Kankakee_table[[#This Row],[TimeSlot_Start_text]]</f>
        <v>1230</v>
      </c>
      <c r="W59" s="621" t="s">
        <v>354</v>
      </c>
      <c r="X59" s="621" t="s">
        <v>354</v>
      </c>
      <c r="Y59" s="621" t="s">
        <v>354</v>
      </c>
      <c r="Z59" s="621" t="s">
        <v>354</v>
      </c>
      <c r="AA59" s="621" t="s">
        <v>354</v>
      </c>
      <c r="AB59" s="494" t="s">
        <v>1078</v>
      </c>
      <c r="AD59" s="625" t="s">
        <v>1020</v>
      </c>
      <c r="AG59" s="627"/>
      <c r="AH59" s="494" t="s">
        <v>1021</v>
      </c>
      <c r="AI59" s="625" t="s">
        <v>1022</v>
      </c>
      <c r="AJ59" s="627">
        <v>25092</v>
      </c>
      <c r="AK59" s="623" t="s">
        <v>1024</v>
      </c>
      <c r="AL59" s="627">
        <v>7089287239</v>
      </c>
      <c r="AM59" s="494" t="s">
        <v>786</v>
      </c>
      <c r="AN59" s="625" t="s">
        <v>901</v>
      </c>
      <c r="AO59" s="627">
        <v>22230</v>
      </c>
      <c r="AP59" s="623" t="s">
        <v>882</v>
      </c>
      <c r="AQ59" s="627">
        <v>7089327433</v>
      </c>
    </row>
    <row r="60" spans="1:43" x14ac:dyDescent="0.25">
      <c r="A60" s="625">
        <v>219</v>
      </c>
      <c r="B60" s="494" t="s">
        <v>589</v>
      </c>
      <c r="C60" s="625">
        <v>104</v>
      </c>
      <c r="D60" s="494" t="s">
        <v>1034</v>
      </c>
      <c r="E60" s="627">
        <v>9504469</v>
      </c>
      <c r="F60" s="627">
        <v>29334</v>
      </c>
      <c r="G60" s="494" t="s">
        <v>1037</v>
      </c>
      <c r="S60" s="629">
        <f t="shared" si="2"/>
        <v>0.54166666666666663</v>
      </c>
      <c r="T60" s="629">
        <f t="shared" si="3"/>
        <v>0.5625</v>
      </c>
      <c r="U60" s="494" t="s">
        <v>916</v>
      </c>
      <c r="V60" s="620" t="str">
        <f>Kankakee_table[[#This Row],[TimeSlot_Start_text]]</f>
        <v>1300</v>
      </c>
      <c r="W60" s="621"/>
      <c r="X60" s="621"/>
      <c r="Y60" s="621"/>
      <c r="Z60" s="621"/>
      <c r="AA60" s="621"/>
      <c r="AB60" s="494" t="s">
        <v>1071</v>
      </c>
      <c r="AD60" s="625" t="s">
        <v>1020</v>
      </c>
      <c r="AG60" s="627"/>
      <c r="AH60" s="494" t="s">
        <v>1021</v>
      </c>
      <c r="AI60" s="625" t="s">
        <v>1022</v>
      </c>
      <c r="AJ60" s="627">
        <v>25092</v>
      </c>
      <c r="AK60" s="623" t="s">
        <v>1024</v>
      </c>
      <c r="AL60" s="627">
        <v>7089287239</v>
      </c>
      <c r="AM60" s="494" t="s">
        <v>786</v>
      </c>
      <c r="AN60" s="625" t="s">
        <v>901</v>
      </c>
      <c r="AO60" s="627">
        <v>22230</v>
      </c>
      <c r="AP60" s="623" t="s">
        <v>882</v>
      </c>
      <c r="AQ60" s="627">
        <v>7089327433</v>
      </c>
    </row>
    <row r="61" spans="1:43" x14ac:dyDescent="0.25">
      <c r="A61" s="625">
        <v>220</v>
      </c>
      <c r="B61" s="494" t="s">
        <v>589</v>
      </c>
      <c r="C61" s="625">
        <v>104</v>
      </c>
      <c r="D61" s="494" t="s">
        <v>1034</v>
      </c>
      <c r="E61" s="627">
        <v>9504469</v>
      </c>
      <c r="F61" s="627">
        <v>29334</v>
      </c>
      <c r="G61" s="494" t="s">
        <v>1037</v>
      </c>
      <c r="S61" s="629">
        <f t="shared" si="2"/>
        <v>0.5625</v>
      </c>
      <c r="T61" s="629">
        <f t="shared" si="3"/>
        <v>0.58333333333333337</v>
      </c>
      <c r="U61" s="494" t="s">
        <v>917</v>
      </c>
      <c r="V61" s="620" t="str">
        <f>Kankakee_table[[#This Row],[TimeSlot_Start_text]]</f>
        <v>1330</v>
      </c>
      <c r="W61" s="621"/>
      <c r="X61" s="621"/>
      <c r="Y61" s="621"/>
      <c r="Z61" s="621"/>
      <c r="AA61" s="621"/>
      <c r="AB61" s="494" t="s">
        <v>1072</v>
      </c>
      <c r="AD61" s="625" t="s">
        <v>1020</v>
      </c>
      <c r="AG61" s="627"/>
      <c r="AH61" s="494" t="s">
        <v>1021</v>
      </c>
      <c r="AI61" s="625" t="s">
        <v>1022</v>
      </c>
      <c r="AJ61" s="627">
        <v>25092</v>
      </c>
      <c r="AK61" s="623" t="s">
        <v>1024</v>
      </c>
      <c r="AL61" s="627">
        <v>7089287239</v>
      </c>
      <c r="AM61" s="494" t="s">
        <v>786</v>
      </c>
      <c r="AN61" s="625" t="s">
        <v>901</v>
      </c>
      <c r="AO61" s="627">
        <v>22230</v>
      </c>
      <c r="AP61" s="623" t="s">
        <v>882</v>
      </c>
      <c r="AQ61" s="627">
        <v>7089327433</v>
      </c>
    </row>
    <row r="62" spans="1:43" x14ac:dyDescent="0.25">
      <c r="A62" s="625">
        <v>221</v>
      </c>
      <c r="B62" s="494" t="s">
        <v>589</v>
      </c>
      <c r="C62" s="625">
        <v>104</v>
      </c>
      <c r="D62" s="494" t="s">
        <v>1034</v>
      </c>
      <c r="E62" s="627">
        <v>9504469</v>
      </c>
      <c r="F62" s="627">
        <v>29334</v>
      </c>
      <c r="G62" s="494" t="s">
        <v>1037</v>
      </c>
      <c r="S62" s="629">
        <f t="shared" si="2"/>
        <v>0.58333333333333337</v>
      </c>
      <c r="T62" s="629">
        <f t="shared" si="3"/>
        <v>0.60416666666666674</v>
      </c>
      <c r="U62" s="494" t="s">
        <v>918</v>
      </c>
      <c r="V62" s="620" t="str">
        <f>Kankakee_table[[#This Row],[TimeSlot_Start_text]]</f>
        <v>1400</v>
      </c>
      <c r="W62" s="621"/>
      <c r="X62" s="621"/>
      <c r="Y62" s="621"/>
      <c r="Z62" s="621"/>
      <c r="AA62" s="621"/>
      <c r="AB62" s="494" t="s">
        <v>1079</v>
      </c>
      <c r="AD62" s="625" t="s">
        <v>1020</v>
      </c>
      <c r="AG62" s="627"/>
      <c r="AH62" s="494" t="s">
        <v>1021</v>
      </c>
      <c r="AI62" s="625" t="s">
        <v>1022</v>
      </c>
      <c r="AJ62" s="627">
        <v>25092</v>
      </c>
      <c r="AK62" s="623" t="s">
        <v>1024</v>
      </c>
      <c r="AL62" s="627">
        <v>7089287239</v>
      </c>
      <c r="AM62" s="494" t="s">
        <v>786</v>
      </c>
      <c r="AN62" s="625" t="s">
        <v>901</v>
      </c>
      <c r="AO62" s="627">
        <v>22230</v>
      </c>
      <c r="AP62" s="623" t="s">
        <v>882</v>
      </c>
      <c r="AQ62" s="627">
        <v>7089327433</v>
      </c>
    </row>
    <row r="63" spans="1:43" x14ac:dyDescent="0.25">
      <c r="A63" s="625">
        <v>222</v>
      </c>
      <c r="B63" s="494" t="s">
        <v>589</v>
      </c>
      <c r="C63" s="625">
        <v>104</v>
      </c>
      <c r="D63" s="494" t="s">
        <v>1034</v>
      </c>
      <c r="E63" s="627">
        <v>9504469</v>
      </c>
      <c r="F63" s="627">
        <v>29334</v>
      </c>
      <c r="G63" s="494" t="s">
        <v>1037</v>
      </c>
      <c r="S63" s="629">
        <f t="shared" si="2"/>
        <v>0.60416666666666663</v>
      </c>
      <c r="T63" s="629">
        <f t="shared" si="3"/>
        <v>0.625</v>
      </c>
      <c r="U63" s="494" t="s">
        <v>919</v>
      </c>
      <c r="V63" s="620" t="str">
        <f>Kankakee_table[[#This Row],[TimeSlot_Start_text]]</f>
        <v>1430</v>
      </c>
      <c r="W63" s="621"/>
      <c r="X63" s="621"/>
      <c r="Y63" s="621"/>
      <c r="Z63" s="621"/>
      <c r="AA63" s="621"/>
      <c r="AB63" s="494" t="s">
        <v>1080</v>
      </c>
      <c r="AD63" s="625" t="s">
        <v>1020</v>
      </c>
      <c r="AG63" s="627"/>
      <c r="AH63" s="494" t="s">
        <v>1021</v>
      </c>
      <c r="AI63" s="625" t="s">
        <v>1022</v>
      </c>
      <c r="AJ63" s="627">
        <v>25092</v>
      </c>
      <c r="AK63" s="623" t="s">
        <v>1024</v>
      </c>
      <c r="AL63" s="627">
        <v>7089287239</v>
      </c>
      <c r="AM63" s="494" t="s">
        <v>786</v>
      </c>
      <c r="AN63" s="625" t="s">
        <v>901</v>
      </c>
      <c r="AO63" s="627">
        <v>22230</v>
      </c>
      <c r="AP63" s="623" t="s">
        <v>882</v>
      </c>
      <c r="AQ63" s="627">
        <v>7089327433</v>
      </c>
    </row>
    <row r="64" spans="1:43" x14ac:dyDescent="0.25">
      <c r="A64" s="625">
        <v>223</v>
      </c>
      <c r="B64" s="494" t="s">
        <v>589</v>
      </c>
      <c r="C64" s="625">
        <v>104</v>
      </c>
      <c r="D64" s="494" t="s">
        <v>1034</v>
      </c>
      <c r="E64" s="627">
        <v>9504469</v>
      </c>
      <c r="F64" s="627">
        <v>29334</v>
      </c>
      <c r="G64" s="494" t="s">
        <v>1037</v>
      </c>
      <c r="S64" s="629">
        <f t="shared" si="2"/>
        <v>0.625</v>
      </c>
      <c r="T64" s="629">
        <f t="shared" si="3"/>
        <v>0.64583333333333337</v>
      </c>
      <c r="U64" s="494" t="s">
        <v>920</v>
      </c>
      <c r="V64" s="620" t="str">
        <f>Kankakee_table[[#This Row],[TimeSlot_Start_text]]</f>
        <v>1500</v>
      </c>
      <c r="W64" s="621"/>
      <c r="X64" s="621"/>
      <c r="Y64" s="621"/>
      <c r="Z64" s="621"/>
      <c r="AA64" s="621"/>
      <c r="AB64" s="494" t="s">
        <v>1081</v>
      </c>
      <c r="AD64" s="625" t="s">
        <v>1020</v>
      </c>
      <c r="AG64" s="627"/>
      <c r="AH64" s="494" t="s">
        <v>1021</v>
      </c>
      <c r="AI64" s="625" t="s">
        <v>1022</v>
      </c>
      <c r="AJ64" s="627">
        <v>25092</v>
      </c>
      <c r="AK64" s="623" t="s">
        <v>1024</v>
      </c>
      <c r="AL64" s="627">
        <v>7089287239</v>
      </c>
      <c r="AM64" s="494" t="s">
        <v>786</v>
      </c>
      <c r="AN64" s="625" t="s">
        <v>901</v>
      </c>
      <c r="AO64" s="627">
        <v>22230</v>
      </c>
      <c r="AP64" s="623" t="s">
        <v>882</v>
      </c>
      <c r="AQ64" s="627">
        <v>7089327433</v>
      </c>
    </row>
    <row r="65" spans="1:43" x14ac:dyDescent="0.25">
      <c r="A65" s="625">
        <v>224</v>
      </c>
      <c r="B65" s="494" t="s">
        <v>589</v>
      </c>
      <c r="C65" s="625">
        <v>104</v>
      </c>
      <c r="D65" s="494" t="s">
        <v>1034</v>
      </c>
      <c r="E65" s="627">
        <v>9504469</v>
      </c>
      <c r="F65" s="627">
        <v>29334</v>
      </c>
      <c r="G65" s="494" t="s">
        <v>1037</v>
      </c>
      <c r="S65" s="629">
        <f t="shared" si="2"/>
        <v>0.64583333333333337</v>
      </c>
      <c r="T65" s="629">
        <f t="shared" si="3"/>
        <v>0.66666666666666674</v>
      </c>
      <c r="U65" s="494" t="s">
        <v>921</v>
      </c>
      <c r="V65" s="620" t="str">
        <f>Kankakee_table[[#This Row],[TimeSlot_Start_text]]</f>
        <v>1530</v>
      </c>
      <c r="W65" s="621"/>
      <c r="X65" s="621"/>
      <c r="Y65" s="621"/>
      <c r="Z65" s="621"/>
      <c r="AA65" s="621"/>
      <c r="AB65" s="494" t="s">
        <v>1082</v>
      </c>
      <c r="AD65" s="625" t="s">
        <v>1020</v>
      </c>
      <c r="AG65" s="627"/>
      <c r="AH65" s="494" t="s">
        <v>1021</v>
      </c>
      <c r="AI65" s="625" t="s">
        <v>1022</v>
      </c>
      <c r="AJ65" s="627">
        <v>25092</v>
      </c>
      <c r="AK65" s="623" t="s">
        <v>1024</v>
      </c>
      <c r="AL65" s="627">
        <v>7089287239</v>
      </c>
      <c r="AM65" s="494" t="s">
        <v>786</v>
      </c>
      <c r="AN65" s="625" t="s">
        <v>901</v>
      </c>
      <c r="AO65" s="627">
        <v>22230</v>
      </c>
      <c r="AP65" s="623" t="s">
        <v>882</v>
      </c>
      <c r="AQ65" s="627">
        <v>7089327433</v>
      </c>
    </row>
    <row r="66" spans="1:43" ht="15" customHeight="1" x14ac:dyDescent="0.25">
      <c r="A66" s="625">
        <v>225</v>
      </c>
      <c r="B66" s="494" t="s">
        <v>589</v>
      </c>
      <c r="C66" s="625">
        <v>113</v>
      </c>
      <c r="D66" s="494" t="s">
        <v>1038</v>
      </c>
      <c r="F66" s="627">
        <v>29329</v>
      </c>
      <c r="S66" s="629">
        <f t="shared" si="2"/>
        <v>0.33333333333333331</v>
      </c>
      <c r="T66" s="629">
        <f t="shared" si="3"/>
        <v>0.35416666666666663</v>
      </c>
      <c r="U66" s="494" t="s">
        <v>906</v>
      </c>
      <c r="V66" s="620" t="str">
        <f>Kankakee_table[[#This Row],[TimeSlot_Start_text]]</f>
        <v>0800</v>
      </c>
      <c r="W66" s="621"/>
      <c r="X66" s="621"/>
      <c r="Y66" s="621"/>
      <c r="Z66" s="621"/>
      <c r="AA66" s="621"/>
      <c r="AB66" s="494" t="s">
        <v>1083</v>
      </c>
      <c r="AD66" s="625" t="s">
        <v>1020</v>
      </c>
      <c r="AG66" s="627"/>
      <c r="AH66" s="494" t="s">
        <v>1021</v>
      </c>
      <c r="AI66" s="625" t="s">
        <v>1022</v>
      </c>
      <c r="AJ66" s="627">
        <v>25092</v>
      </c>
      <c r="AK66" s="623" t="s">
        <v>1024</v>
      </c>
      <c r="AL66" s="627">
        <v>7089287239</v>
      </c>
      <c r="AM66" s="494" t="s">
        <v>786</v>
      </c>
      <c r="AN66" s="625" t="s">
        <v>901</v>
      </c>
      <c r="AO66" s="627">
        <v>22230</v>
      </c>
      <c r="AP66" s="623" t="s">
        <v>882</v>
      </c>
      <c r="AQ66" s="627">
        <v>7089327433</v>
      </c>
    </row>
    <row r="67" spans="1:43" ht="15" customHeight="1" x14ac:dyDescent="0.25">
      <c r="A67" s="625">
        <v>226</v>
      </c>
      <c r="B67" s="494" t="s">
        <v>589</v>
      </c>
      <c r="C67" s="625">
        <v>113</v>
      </c>
      <c r="D67" s="494" t="s">
        <v>1038</v>
      </c>
      <c r="F67" s="627">
        <v>29329</v>
      </c>
      <c r="S67" s="629">
        <f t="shared" si="2"/>
        <v>0.35416666666666669</v>
      </c>
      <c r="T67" s="629">
        <f t="shared" si="3"/>
        <v>0.375</v>
      </c>
      <c r="U67" s="494" t="s">
        <v>907</v>
      </c>
      <c r="V67" s="620" t="str">
        <f>Kankakee_table[[#This Row],[TimeSlot_Start_text]]</f>
        <v>0830</v>
      </c>
      <c r="W67" s="621"/>
      <c r="X67" s="621"/>
      <c r="Y67" s="621"/>
      <c r="Z67" s="621"/>
      <c r="AA67" s="621"/>
      <c r="AB67" s="494" t="s">
        <v>1084</v>
      </c>
      <c r="AD67" s="625" t="s">
        <v>1020</v>
      </c>
      <c r="AG67" s="627"/>
      <c r="AH67" s="494" t="s">
        <v>1021</v>
      </c>
      <c r="AI67" s="625" t="s">
        <v>1022</v>
      </c>
      <c r="AJ67" s="627">
        <v>25092</v>
      </c>
      <c r="AK67" s="623" t="s">
        <v>1024</v>
      </c>
      <c r="AL67" s="627">
        <v>7089287239</v>
      </c>
      <c r="AM67" s="494" t="s">
        <v>786</v>
      </c>
      <c r="AN67" s="625" t="s">
        <v>901</v>
      </c>
      <c r="AO67" s="627">
        <v>22230</v>
      </c>
      <c r="AP67" s="623" t="s">
        <v>882</v>
      </c>
      <c r="AQ67" s="627">
        <v>7089327433</v>
      </c>
    </row>
    <row r="68" spans="1:43" ht="15" customHeight="1" x14ac:dyDescent="0.25">
      <c r="A68" s="625">
        <v>227</v>
      </c>
      <c r="B68" s="494" t="s">
        <v>589</v>
      </c>
      <c r="C68" s="625">
        <v>113</v>
      </c>
      <c r="D68" s="494" t="s">
        <v>1038</v>
      </c>
      <c r="F68" s="627">
        <v>29329</v>
      </c>
      <c r="S68" s="629">
        <f t="shared" si="2"/>
        <v>0.375</v>
      </c>
      <c r="T68" s="629">
        <f t="shared" si="3"/>
        <v>0.39583333333333331</v>
      </c>
      <c r="U68" s="494" t="s">
        <v>908</v>
      </c>
      <c r="V68" s="620" t="str">
        <f>Kankakee_table[[#This Row],[TimeSlot_Start_text]]</f>
        <v>0900</v>
      </c>
      <c r="W68" s="621"/>
      <c r="X68" s="621"/>
      <c r="Y68" s="621"/>
      <c r="Z68" s="621"/>
      <c r="AA68" s="621"/>
      <c r="AB68" s="494" t="s">
        <v>1085</v>
      </c>
      <c r="AD68" s="625" t="s">
        <v>1020</v>
      </c>
      <c r="AG68" s="627"/>
      <c r="AH68" s="494" t="s">
        <v>1021</v>
      </c>
      <c r="AI68" s="625" t="s">
        <v>1022</v>
      </c>
      <c r="AJ68" s="627">
        <v>25092</v>
      </c>
      <c r="AK68" s="623" t="s">
        <v>1024</v>
      </c>
      <c r="AL68" s="627">
        <v>7089287239</v>
      </c>
      <c r="AM68" s="494" t="s">
        <v>786</v>
      </c>
      <c r="AN68" s="625" t="s">
        <v>901</v>
      </c>
      <c r="AO68" s="627">
        <v>22230</v>
      </c>
      <c r="AP68" s="623" t="s">
        <v>882</v>
      </c>
      <c r="AQ68" s="627">
        <v>7089327433</v>
      </c>
    </row>
    <row r="69" spans="1:43" ht="15" customHeight="1" x14ac:dyDescent="0.25">
      <c r="A69" s="625">
        <v>228</v>
      </c>
      <c r="B69" s="494" t="s">
        <v>589</v>
      </c>
      <c r="C69" s="625">
        <v>113</v>
      </c>
      <c r="D69" s="494" t="s">
        <v>1038</v>
      </c>
      <c r="F69" s="627">
        <v>29329</v>
      </c>
      <c r="S69" s="629">
        <f t="shared" si="2"/>
        <v>0.39583333333333331</v>
      </c>
      <c r="T69" s="629">
        <f t="shared" si="3"/>
        <v>0.41666666666666663</v>
      </c>
      <c r="U69" s="494" t="s">
        <v>909</v>
      </c>
      <c r="V69" s="620" t="str">
        <f>Kankakee_table[[#This Row],[TimeSlot_Start_text]]</f>
        <v>0930</v>
      </c>
      <c r="W69" s="621"/>
      <c r="X69" s="621"/>
      <c r="Y69" s="621"/>
      <c r="Z69" s="621"/>
      <c r="AA69" s="621"/>
      <c r="AB69" s="494" t="s">
        <v>1086</v>
      </c>
      <c r="AD69" s="625" t="s">
        <v>1020</v>
      </c>
      <c r="AG69" s="627"/>
      <c r="AH69" s="494" t="s">
        <v>1021</v>
      </c>
      <c r="AI69" s="625" t="s">
        <v>1022</v>
      </c>
      <c r="AJ69" s="627">
        <v>25092</v>
      </c>
      <c r="AK69" s="623" t="s">
        <v>1024</v>
      </c>
      <c r="AL69" s="627">
        <v>7089287239</v>
      </c>
      <c r="AM69" s="494" t="s">
        <v>786</v>
      </c>
      <c r="AN69" s="625" t="s">
        <v>901</v>
      </c>
      <c r="AO69" s="627">
        <v>22230</v>
      </c>
      <c r="AP69" s="623" t="s">
        <v>882</v>
      </c>
      <c r="AQ69" s="627">
        <v>7089327433</v>
      </c>
    </row>
    <row r="70" spans="1:43" x14ac:dyDescent="0.25">
      <c r="A70" s="625">
        <v>229</v>
      </c>
      <c r="B70" s="494" t="s">
        <v>589</v>
      </c>
      <c r="C70" s="625">
        <v>113</v>
      </c>
      <c r="D70" s="494" t="s">
        <v>1038</v>
      </c>
      <c r="F70" s="627">
        <v>29329</v>
      </c>
      <c r="S70" s="629">
        <f t="shared" si="2"/>
        <v>0.41666666666666669</v>
      </c>
      <c r="T70" s="629">
        <f t="shared" si="3"/>
        <v>0.4375</v>
      </c>
      <c r="U70" s="494" t="s">
        <v>910</v>
      </c>
      <c r="V70" s="620" t="str">
        <f>Kankakee_table[[#This Row],[TimeSlot_Start_text]]</f>
        <v>1000</v>
      </c>
      <c r="W70" s="621"/>
      <c r="X70" s="621"/>
      <c r="Y70" s="621"/>
      <c r="Z70" s="621"/>
      <c r="AA70" s="621"/>
      <c r="AB70" s="494" t="s">
        <v>1073</v>
      </c>
      <c r="AD70" s="625" t="s">
        <v>1020</v>
      </c>
      <c r="AG70" s="627"/>
      <c r="AH70" s="494" t="s">
        <v>1021</v>
      </c>
      <c r="AI70" s="625" t="s">
        <v>1022</v>
      </c>
      <c r="AJ70" s="627">
        <v>25092</v>
      </c>
      <c r="AK70" s="623" t="s">
        <v>1024</v>
      </c>
      <c r="AL70" s="627">
        <v>7089287239</v>
      </c>
      <c r="AM70" s="494" t="s">
        <v>786</v>
      </c>
      <c r="AN70" s="625" t="s">
        <v>901</v>
      </c>
      <c r="AO70" s="627">
        <v>22230</v>
      </c>
      <c r="AP70" s="623" t="s">
        <v>882</v>
      </c>
      <c r="AQ70" s="627">
        <v>7089327433</v>
      </c>
    </row>
    <row r="71" spans="1:43" x14ac:dyDescent="0.25">
      <c r="A71" s="625">
        <v>230</v>
      </c>
      <c r="B71" s="494" t="s">
        <v>589</v>
      </c>
      <c r="C71" s="625">
        <v>113</v>
      </c>
      <c r="D71" s="494" t="s">
        <v>1038</v>
      </c>
      <c r="F71" s="627">
        <v>29329</v>
      </c>
      <c r="S71" s="629">
        <f t="shared" si="2"/>
        <v>0.4375</v>
      </c>
      <c r="T71" s="629">
        <f t="shared" si="3"/>
        <v>0.45833333333333331</v>
      </c>
      <c r="U71" s="494" t="s">
        <v>911</v>
      </c>
      <c r="V71" s="620" t="str">
        <f>Kankakee_table[[#This Row],[TimeSlot_Start_text]]</f>
        <v>1030</v>
      </c>
      <c r="W71" s="621"/>
      <c r="X71" s="621"/>
      <c r="Y71" s="621"/>
      <c r="Z71" s="621"/>
      <c r="AA71" s="621"/>
      <c r="AB71" s="494" t="s">
        <v>1074</v>
      </c>
      <c r="AD71" s="625" t="s">
        <v>1020</v>
      </c>
      <c r="AG71" s="627"/>
      <c r="AH71" s="494" t="s">
        <v>1021</v>
      </c>
      <c r="AI71" s="625" t="s">
        <v>1022</v>
      </c>
      <c r="AJ71" s="627">
        <v>25092</v>
      </c>
      <c r="AK71" s="623" t="s">
        <v>1024</v>
      </c>
      <c r="AL71" s="627">
        <v>7089287239</v>
      </c>
      <c r="AM71" s="494" t="s">
        <v>786</v>
      </c>
      <c r="AN71" s="625" t="s">
        <v>901</v>
      </c>
      <c r="AO71" s="627">
        <v>22230</v>
      </c>
      <c r="AP71" s="623" t="s">
        <v>882</v>
      </c>
      <c r="AQ71" s="627">
        <v>7089327433</v>
      </c>
    </row>
    <row r="72" spans="1:43" x14ac:dyDescent="0.25">
      <c r="A72" s="625">
        <v>231</v>
      </c>
      <c r="B72" s="494" t="s">
        <v>589</v>
      </c>
      <c r="C72" s="625">
        <v>113</v>
      </c>
      <c r="D72" s="494" t="s">
        <v>1038</v>
      </c>
      <c r="F72" s="627">
        <v>29329</v>
      </c>
      <c r="S72" s="629">
        <f t="shared" si="2"/>
        <v>0.45833333333333331</v>
      </c>
      <c r="T72" s="629">
        <f t="shared" si="3"/>
        <v>0.47916666666666663</v>
      </c>
      <c r="U72" s="494" t="s">
        <v>912</v>
      </c>
      <c r="V72" s="620" t="str">
        <f>Kankakee_table[[#This Row],[TimeSlot_Start_text]]</f>
        <v>1100</v>
      </c>
      <c r="W72" s="621"/>
      <c r="X72" s="621"/>
      <c r="Y72" s="621"/>
      <c r="Z72" s="621"/>
      <c r="AA72" s="621"/>
      <c r="AB72" s="494" t="s">
        <v>1076</v>
      </c>
      <c r="AD72" s="625" t="s">
        <v>1020</v>
      </c>
      <c r="AG72" s="627"/>
      <c r="AH72" s="494" t="s">
        <v>1021</v>
      </c>
      <c r="AI72" s="625" t="s">
        <v>1022</v>
      </c>
      <c r="AJ72" s="627">
        <v>25092</v>
      </c>
      <c r="AK72" s="623" t="s">
        <v>1024</v>
      </c>
      <c r="AL72" s="627">
        <v>7089287239</v>
      </c>
      <c r="AM72" s="494" t="s">
        <v>786</v>
      </c>
      <c r="AN72" s="625" t="s">
        <v>901</v>
      </c>
      <c r="AO72" s="627">
        <v>22230</v>
      </c>
      <c r="AP72" s="623" t="s">
        <v>882</v>
      </c>
      <c r="AQ72" s="627">
        <v>7089327433</v>
      </c>
    </row>
    <row r="73" spans="1:43" x14ac:dyDescent="0.25">
      <c r="A73" s="625">
        <v>232</v>
      </c>
      <c r="B73" s="494" t="s">
        <v>589</v>
      </c>
      <c r="C73" s="625">
        <v>113</v>
      </c>
      <c r="D73" s="494" t="s">
        <v>1038</v>
      </c>
      <c r="F73" s="627">
        <v>29329</v>
      </c>
      <c r="S73" s="629">
        <f t="shared" si="2"/>
        <v>0.47916666666666669</v>
      </c>
      <c r="T73" s="629">
        <f t="shared" si="3"/>
        <v>0.5</v>
      </c>
      <c r="U73" s="494" t="s">
        <v>913</v>
      </c>
      <c r="V73" s="620" t="str">
        <f>Kankakee_table[[#This Row],[TimeSlot_Start_text]]</f>
        <v>1130</v>
      </c>
      <c r="W73" s="621"/>
      <c r="X73" s="621"/>
      <c r="Y73" s="621"/>
      <c r="Z73" s="621"/>
      <c r="AA73" s="621"/>
      <c r="AB73" s="494" t="s">
        <v>1075</v>
      </c>
      <c r="AD73" s="625" t="s">
        <v>1020</v>
      </c>
      <c r="AG73" s="627"/>
      <c r="AH73" s="494" t="s">
        <v>1021</v>
      </c>
      <c r="AI73" s="625" t="s">
        <v>1022</v>
      </c>
      <c r="AJ73" s="627">
        <v>25092</v>
      </c>
      <c r="AK73" s="623" t="s">
        <v>1024</v>
      </c>
      <c r="AL73" s="627">
        <v>7089287239</v>
      </c>
      <c r="AM73" s="494" t="s">
        <v>786</v>
      </c>
      <c r="AN73" s="625" t="s">
        <v>901</v>
      </c>
      <c r="AO73" s="627">
        <v>22230</v>
      </c>
      <c r="AP73" s="623" t="s">
        <v>882</v>
      </c>
      <c r="AQ73" s="627">
        <v>7089327433</v>
      </c>
    </row>
    <row r="74" spans="1:43" ht="15" customHeight="1" x14ac:dyDescent="0.25">
      <c r="A74" s="625">
        <v>233</v>
      </c>
      <c r="B74" s="494" t="s">
        <v>589</v>
      </c>
      <c r="C74" s="625">
        <v>113</v>
      </c>
      <c r="D74" s="494" t="s">
        <v>1038</v>
      </c>
      <c r="F74" s="627">
        <v>29329</v>
      </c>
      <c r="S74" s="629">
        <f t="shared" si="2"/>
        <v>0.5</v>
      </c>
      <c r="T74" s="629">
        <f t="shared" si="3"/>
        <v>0.52083333333333337</v>
      </c>
      <c r="U74" s="494" t="s">
        <v>914</v>
      </c>
      <c r="V74" s="620" t="str">
        <f>Kankakee_table[[#This Row],[TimeSlot_Start_text]]</f>
        <v>1200</v>
      </c>
      <c r="W74" s="621" t="s">
        <v>354</v>
      </c>
      <c r="X74" s="621" t="s">
        <v>354</v>
      </c>
      <c r="Y74" s="621" t="s">
        <v>354</v>
      </c>
      <c r="Z74" s="621" t="s">
        <v>354</v>
      </c>
      <c r="AA74" s="621" t="s">
        <v>354</v>
      </c>
      <c r="AB74" s="494" t="s">
        <v>1077</v>
      </c>
      <c r="AD74" s="625" t="s">
        <v>1020</v>
      </c>
      <c r="AG74" s="627"/>
      <c r="AH74" s="494" t="s">
        <v>1021</v>
      </c>
      <c r="AI74" s="625" t="s">
        <v>1022</v>
      </c>
      <c r="AJ74" s="627">
        <v>25092</v>
      </c>
      <c r="AK74" s="623" t="s">
        <v>1024</v>
      </c>
      <c r="AL74" s="627">
        <v>7089287239</v>
      </c>
      <c r="AM74" s="494" t="s">
        <v>786</v>
      </c>
      <c r="AN74" s="625" t="s">
        <v>901</v>
      </c>
      <c r="AO74" s="627">
        <v>22230</v>
      </c>
      <c r="AP74" s="623" t="s">
        <v>882</v>
      </c>
      <c r="AQ74" s="627">
        <v>7089327433</v>
      </c>
    </row>
    <row r="75" spans="1:43" ht="15.75" customHeight="1" x14ac:dyDescent="0.25">
      <c r="A75" s="625">
        <v>234</v>
      </c>
      <c r="B75" s="494" t="s">
        <v>589</v>
      </c>
      <c r="C75" s="625">
        <v>113</v>
      </c>
      <c r="D75" s="494" t="s">
        <v>1038</v>
      </c>
      <c r="F75" s="627">
        <v>29329</v>
      </c>
      <c r="S75" s="629">
        <f t="shared" si="2"/>
        <v>0.52083333333333337</v>
      </c>
      <c r="T75" s="629">
        <f t="shared" si="3"/>
        <v>0.54166666666666674</v>
      </c>
      <c r="U75" s="494" t="s">
        <v>915</v>
      </c>
      <c r="V75" s="620" t="str">
        <f>Kankakee_table[[#This Row],[TimeSlot_Start_text]]</f>
        <v>1230</v>
      </c>
      <c r="W75" s="621" t="s">
        <v>354</v>
      </c>
      <c r="X75" s="621" t="s">
        <v>354</v>
      </c>
      <c r="Y75" s="621" t="s">
        <v>354</v>
      </c>
      <c r="Z75" s="621" t="s">
        <v>354</v>
      </c>
      <c r="AA75" s="621" t="s">
        <v>354</v>
      </c>
      <c r="AB75" s="494" t="s">
        <v>1078</v>
      </c>
      <c r="AD75" s="625" t="s">
        <v>1020</v>
      </c>
      <c r="AG75" s="627"/>
      <c r="AH75" s="494" t="s">
        <v>1021</v>
      </c>
      <c r="AI75" s="625" t="s">
        <v>1022</v>
      </c>
      <c r="AJ75" s="627">
        <v>25092</v>
      </c>
      <c r="AK75" s="623" t="s">
        <v>1024</v>
      </c>
      <c r="AL75" s="627">
        <v>7089287239</v>
      </c>
      <c r="AM75" s="494" t="s">
        <v>786</v>
      </c>
      <c r="AN75" s="625" t="s">
        <v>901</v>
      </c>
      <c r="AO75" s="627">
        <v>22230</v>
      </c>
      <c r="AP75" s="623" t="s">
        <v>882</v>
      </c>
      <c r="AQ75" s="627">
        <v>7089327433</v>
      </c>
    </row>
    <row r="76" spans="1:43" x14ac:dyDescent="0.25">
      <c r="A76" s="625">
        <v>235</v>
      </c>
      <c r="B76" s="494" t="s">
        <v>589</v>
      </c>
      <c r="C76" s="625">
        <v>113</v>
      </c>
      <c r="D76" s="494" t="s">
        <v>1038</v>
      </c>
      <c r="F76" s="627">
        <v>29329</v>
      </c>
      <c r="S76" s="629">
        <f t="shared" si="2"/>
        <v>0.54166666666666663</v>
      </c>
      <c r="T76" s="629">
        <f t="shared" si="3"/>
        <v>0.5625</v>
      </c>
      <c r="U76" s="494" t="s">
        <v>916</v>
      </c>
      <c r="V76" s="620" t="str">
        <f>Kankakee_table[[#This Row],[TimeSlot_Start_text]]</f>
        <v>1300</v>
      </c>
      <c r="W76" s="621"/>
      <c r="X76" s="621"/>
      <c r="Y76" s="621"/>
      <c r="Z76" s="621"/>
      <c r="AA76" s="621"/>
      <c r="AB76" s="494" t="s">
        <v>1071</v>
      </c>
      <c r="AD76" s="625" t="s">
        <v>1020</v>
      </c>
      <c r="AG76" s="627"/>
      <c r="AH76" s="494" t="s">
        <v>1021</v>
      </c>
      <c r="AI76" s="625" t="s">
        <v>1022</v>
      </c>
      <c r="AJ76" s="627">
        <v>25092</v>
      </c>
      <c r="AK76" s="623" t="s">
        <v>1024</v>
      </c>
      <c r="AL76" s="627">
        <v>7089287239</v>
      </c>
      <c r="AM76" s="494" t="s">
        <v>786</v>
      </c>
      <c r="AN76" s="625" t="s">
        <v>901</v>
      </c>
      <c r="AO76" s="627">
        <v>22230</v>
      </c>
      <c r="AP76" s="623" t="s">
        <v>882</v>
      </c>
      <c r="AQ76" s="627">
        <v>7089327433</v>
      </c>
    </row>
    <row r="77" spans="1:43" x14ac:dyDescent="0.25">
      <c r="A77" s="625">
        <v>236</v>
      </c>
      <c r="B77" s="494" t="s">
        <v>589</v>
      </c>
      <c r="C77" s="625">
        <v>113</v>
      </c>
      <c r="D77" s="494" t="s">
        <v>1038</v>
      </c>
      <c r="F77" s="627">
        <v>29329</v>
      </c>
      <c r="S77" s="629">
        <f t="shared" si="2"/>
        <v>0.5625</v>
      </c>
      <c r="T77" s="629">
        <f t="shared" si="3"/>
        <v>0.58333333333333337</v>
      </c>
      <c r="U77" s="494" t="s">
        <v>917</v>
      </c>
      <c r="V77" s="620" t="str">
        <f>Kankakee_table[[#This Row],[TimeSlot_Start_text]]</f>
        <v>1330</v>
      </c>
      <c r="W77" s="621"/>
      <c r="X77" s="621"/>
      <c r="Y77" s="621"/>
      <c r="Z77" s="621"/>
      <c r="AA77" s="621"/>
      <c r="AB77" s="494" t="s">
        <v>1072</v>
      </c>
      <c r="AD77" s="625" t="s">
        <v>1020</v>
      </c>
      <c r="AG77" s="627"/>
      <c r="AH77" s="494" t="s">
        <v>1021</v>
      </c>
      <c r="AI77" s="625" t="s">
        <v>1022</v>
      </c>
      <c r="AJ77" s="627">
        <v>25092</v>
      </c>
      <c r="AK77" s="623" t="s">
        <v>1024</v>
      </c>
      <c r="AL77" s="627">
        <v>7089287239</v>
      </c>
      <c r="AM77" s="494" t="s">
        <v>786</v>
      </c>
      <c r="AN77" s="625" t="s">
        <v>901</v>
      </c>
      <c r="AO77" s="627">
        <v>22230</v>
      </c>
      <c r="AP77" s="623" t="s">
        <v>882</v>
      </c>
      <c r="AQ77" s="627">
        <v>7089327433</v>
      </c>
    </row>
    <row r="78" spans="1:43" x14ac:dyDescent="0.25">
      <c r="A78" s="625">
        <v>237</v>
      </c>
      <c r="B78" s="494" t="s">
        <v>589</v>
      </c>
      <c r="C78" s="625">
        <v>113</v>
      </c>
      <c r="D78" s="494" t="s">
        <v>1038</v>
      </c>
      <c r="F78" s="627">
        <v>29329</v>
      </c>
      <c r="S78" s="629">
        <f t="shared" si="2"/>
        <v>0.58333333333333337</v>
      </c>
      <c r="T78" s="629">
        <f t="shared" si="3"/>
        <v>0.60416666666666674</v>
      </c>
      <c r="U78" s="494" t="s">
        <v>918</v>
      </c>
      <c r="V78" s="620" t="str">
        <f>Kankakee_table[[#This Row],[TimeSlot_Start_text]]</f>
        <v>1400</v>
      </c>
      <c r="W78" s="621"/>
      <c r="X78" s="621"/>
      <c r="Y78" s="621"/>
      <c r="Z78" s="621"/>
      <c r="AA78" s="621"/>
      <c r="AB78" s="494" t="s">
        <v>1079</v>
      </c>
      <c r="AD78" s="625" t="s">
        <v>1020</v>
      </c>
      <c r="AG78" s="627"/>
      <c r="AH78" s="494" t="s">
        <v>1021</v>
      </c>
      <c r="AI78" s="625" t="s">
        <v>1022</v>
      </c>
      <c r="AJ78" s="627">
        <v>25092</v>
      </c>
      <c r="AK78" s="623" t="s">
        <v>1024</v>
      </c>
      <c r="AL78" s="627">
        <v>7089287239</v>
      </c>
      <c r="AM78" s="494" t="s">
        <v>786</v>
      </c>
      <c r="AN78" s="625" t="s">
        <v>901</v>
      </c>
      <c r="AO78" s="627">
        <v>22230</v>
      </c>
      <c r="AP78" s="623" t="s">
        <v>882</v>
      </c>
      <c r="AQ78" s="627">
        <v>7089327433</v>
      </c>
    </row>
    <row r="79" spans="1:43" x14ac:dyDescent="0.25">
      <c r="A79" s="625">
        <v>238</v>
      </c>
      <c r="B79" s="494" t="s">
        <v>589</v>
      </c>
      <c r="C79" s="625">
        <v>113</v>
      </c>
      <c r="D79" s="494" t="s">
        <v>1038</v>
      </c>
      <c r="F79" s="627">
        <v>29329</v>
      </c>
      <c r="S79" s="629">
        <f t="shared" si="2"/>
        <v>0.60416666666666663</v>
      </c>
      <c r="T79" s="629">
        <f t="shared" si="3"/>
        <v>0.625</v>
      </c>
      <c r="U79" s="494" t="s">
        <v>919</v>
      </c>
      <c r="V79" s="620" t="str">
        <f>Kankakee_table[[#This Row],[TimeSlot_Start_text]]</f>
        <v>1430</v>
      </c>
      <c r="W79" s="621"/>
      <c r="X79" s="621"/>
      <c r="Y79" s="621"/>
      <c r="Z79" s="621"/>
      <c r="AA79" s="621"/>
      <c r="AB79" s="494" t="s">
        <v>1080</v>
      </c>
      <c r="AD79" s="625" t="s">
        <v>1020</v>
      </c>
      <c r="AG79" s="627"/>
      <c r="AH79" s="494" t="s">
        <v>1021</v>
      </c>
      <c r="AI79" s="625" t="s">
        <v>1022</v>
      </c>
      <c r="AJ79" s="627">
        <v>25092</v>
      </c>
      <c r="AK79" s="623" t="s">
        <v>1024</v>
      </c>
      <c r="AL79" s="627">
        <v>7089287239</v>
      </c>
      <c r="AM79" s="494" t="s">
        <v>786</v>
      </c>
      <c r="AN79" s="625" t="s">
        <v>901</v>
      </c>
      <c r="AO79" s="627">
        <v>22230</v>
      </c>
      <c r="AP79" s="623" t="s">
        <v>882</v>
      </c>
      <c r="AQ79" s="627">
        <v>7089327433</v>
      </c>
    </row>
    <row r="80" spans="1:43" x14ac:dyDescent="0.25">
      <c r="A80" s="625">
        <v>239</v>
      </c>
      <c r="B80" s="494" t="s">
        <v>589</v>
      </c>
      <c r="C80" s="625">
        <v>113</v>
      </c>
      <c r="D80" s="494" t="s">
        <v>1038</v>
      </c>
      <c r="F80" s="627">
        <v>29329</v>
      </c>
      <c r="S80" s="629">
        <f t="shared" si="2"/>
        <v>0.625</v>
      </c>
      <c r="T80" s="629">
        <f t="shared" si="3"/>
        <v>0.64583333333333337</v>
      </c>
      <c r="U80" s="494" t="s">
        <v>920</v>
      </c>
      <c r="V80" s="620" t="str">
        <f>Kankakee_table[[#This Row],[TimeSlot_Start_text]]</f>
        <v>1500</v>
      </c>
      <c r="W80" s="621"/>
      <c r="X80" s="621"/>
      <c r="Y80" s="621"/>
      <c r="Z80" s="621"/>
      <c r="AA80" s="621"/>
      <c r="AB80" s="494" t="s">
        <v>1081</v>
      </c>
      <c r="AD80" s="625" t="s">
        <v>1020</v>
      </c>
      <c r="AG80" s="627"/>
      <c r="AH80" s="494" t="s">
        <v>1021</v>
      </c>
      <c r="AI80" s="625" t="s">
        <v>1022</v>
      </c>
      <c r="AJ80" s="627">
        <v>25092</v>
      </c>
      <c r="AK80" s="623" t="s">
        <v>1024</v>
      </c>
      <c r="AL80" s="627">
        <v>7089287239</v>
      </c>
      <c r="AM80" s="494" t="s">
        <v>786</v>
      </c>
      <c r="AN80" s="625" t="s">
        <v>901</v>
      </c>
      <c r="AO80" s="627">
        <v>22230</v>
      </c>
      <c r="AP80" s="623" t="s">
        <v>882</v>
      </c>
      <c r="AQ80" s="627">
        <v>7089327433</v>
      </c>
    </row>
    <row r="81" spans="1:43" x14ac:dyDescent="0.25">
      <c r="A81" s="625">
        <v>240</v>
      </c>
      <c r="B81" s="494" t="s">
        <v>589</v>
      </c>
      <c r="C81" s="625">
        <v>113</v>
      </c>
      <c r="D81" s="494" t="s">
        <v>1038</v>
      </c>
      <c r="F81" s="627">
        <v>29329</v>
      </c>
      <c r="S81" s="629">
        <f t="shared" si="2"/>
        <v>0.64583333333333337</v>
      </c>
      <c r="T81" s="629">
        <f t="shared" si="3"/>
        <v>0.66666666666666674</v>
      </c>
      <c r="U81" s="494" t="s">
        <v>921</v>
      </c>
      <c r="V81" s="620" t="str">
        <f>Kankakee_table[[#This Row],[TimeSlot_Start_text]]</f>
        <v>1530</v>
      </c>
      <c r="W81" s="621"/>
      <c r="X81" s="621"/>
      <c r="Y81" s="621"/>
      <c r="Z81" s="621"/>
      <c r="AA81" s="621"/>
      <c r="AB81" s="494" t="s">
        <v>1082</v>
      </c>
      <c r="AD81" s="625" t="s">
        <v>1020</v>
      </c>
      <c r="AG81" s="627"/>
      <c r="AH81" s="494" t="s">
        <v>1021</v>
      </c>
      <c r="AI81" s="625" t="s">
        <v>1022</v>
      </c>
      <c r="AJ81" s="627">
        <v>25092</v>
      </c>
      <c r="AK81" s="623" t="s">
        <v>1024</v>
      </c>
      <c r="AL81" s="627">
        <v>7089287239</v>
      </c>
      <c r="AM81" s="494" t="s">
        <v>786</v>
      </c>
      <c r="AN81" s="625" t="s">
        <v>901</v>
      </c>
      <c r="AO81" s="627">
        <v>22230</v>
      </c>
      <c r="AP81" s="623" t="s">
        <v>882</v>
      </c>
      <c r="AQ81" s="627">
        <v>7089327433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73FEB-F97D-49C0-AF92-21292CCE4E1D}">
  <dimension ref="A1:AQ65"/>
  <sheetViews>
    <sheetView workbookViewId="0">
      <pane ySplit="1" topLeftCell="A2" activePane="bottomLeft" state="frozen"/>
      <selection pane="bottomLeft" activeCell="E23" sqref="E23"/>
    </sheetView>
  </sheetViews>
  <sheetFormatPr defaultRowHeight="15" x14ac:dyDescent="0.25"/>
  <cols>
    <col min="1" max="1" width="9.7109375" style="620" bestFit="1" customWidth="1"/>
    <col min="2" max="2" width="20.5703125" style="494" bestFit="1" customWidth="1"/>
    <col min="3" max="3" width="18" style="494" bestFit="1" customWidth="1"/>
    <col min="4" max="4" width="21.140625" style="494" bestFit="1" customWidth="1"/>
    <col min="5" max="5" width="24" style="627" bestFit="1" customWidth="1"/>
    <col min="6" max="6" width="29" style="627" bestFit="1" customWidth="1"/>
    <col min="7" max="7" width="24.85546875" style="494" bestFit="1" customWidth="1"/>
    <col min="8" max="8" width="18.140625" style="494" bestFit="1" customWidth="1"/>
    <col min="9" max="9" width="30.42578125" style="628" bestFit="1" customWidth="1"/>
    <col min="10" max="10" width="25.140625" style="494" bestFit="1" customWidth="1"/>
    <col min="11" max="11" width="34.7109375" style="632" bestFit="1" customWidth="1"/>
    <col min="12" max="12" width="34.140625" style="632" bestFit="1" customWidth="1"/>
    <col min="13" max="13" width="38.42578125" style="494" bestFit="1" customWidth="1"/>
    <col min="14" max="14" width="33.42578125" style="494" bestFit="1" customWidth="1"/>
    <col min="15" max="15" width="33.5703125" style="494" bestFit="1" customWidth="1"/>
    <col min="16" max="16" width="34.42578125" style="494" bestFit="1" customWidth="1"/>
    <col min="17" max="17" width="30.28515625" style="628" bestFit="1" customWidth="1"/>
    <col min="18" max="18" width="30" style="628" bestFit="1" customWidth="1"/>
    <col min="19" max="19" width="23.85546875" style="629" bestFit="1" customWidth="1"/>
    <col min="20" max="20" width="22.5703125" style="629" bestFit="1" customWidth="1"/>
    <col min="21" max="21" width="23.140625" style="494" bestFit="1" customWidth="1"/>
    <col min="22" max="22" width="27.140625" style="494" bestFit="1" customWidth="1"/>
    <col min="23" max="23" width="27.7109375" style="494" bestFit="1" customWidth="1"/>
    <col min="24" max="24" width="21.85546875" style="494" bestFit="1" customWidth="1"/>
    <col min="25" max="25" width="25" style="494" bestFit="1" customWidth="1"/>
    <col min="26" max="26" width="22.42578125" style="494" bestFit="1" customWidth="1"/>
    <col min="27" max="27" width="21.85546875" style="494" bestFit="1" customWidth="1"/>
    <col min="28" max="28" width="17.7109375" style="494" bestFit="1" customWidth="1"/>
    <col min="29" max="29" width="18.7109375" style="494" bestFit="1" customWidth="1"/>
    <col min="30" max="30" width="23.28515625" style="625" bestFit="1" customWidth="1"/>
    <col min="31" max="31" width="23.28515625" style="627" bestFit="1" customWidth="1"/>
    <col min="32" max="32" width="16.42578125" style="623" bestFit="1" customWidth="1"/>
    <col min="33" max="33" width="20.42578125" style="494" bestFit="1" customWidth="1"/>
    <col min="34" max="34" width="20.140625" style="494" bestFit="1" customWidth="1"/>
    <col min="35" max="35" width="25.5703125" style="625" bestFit="1" customWidth="1"/>
    <col min="36" max="36" width="24.7109375" style="627" bestFit="1" customWidth="1"/>
    <col min="37" max="37" width="17.7109375" style="623" bestFit="1" customWidth="1"/>
    <col min="38" max="38" width="21.7109375" style="627" bestFit="1" customWidth="1"/>
    <col min="39" max="39" width="18.5703125" style="494" bestFit="1" customWidth="1"/>
    <col min="40" max="40" width="21.7109375" style="625" bestFit="1" customWidth="1"/>
    <col min="41" max="41" width="23.140625" style="627" bestFit="1" customWidth="1"/>
    <col min="42" max="42" width="17.42578125" style="623" bestFit="1" customWidth="1"/>
    <col min="43" max="43" width="20.28515625" style="627" bestFit="1" customWidth="1"/>
    <col min="44" max="16384" width="9.140625" style="494"/>
  </cols>
  <sheetData>
    <row r="1" spans="1:43" s="495" customFormat="1" ht="15.75" x14ac:dyDescent="0.25">
      <c r="A1" s="619" t="s">
        <v>1093</v>
      </c>
      <c r="B1" s="495" t="s">
        <v>872</v>
      </c>
      <c r="C1" s="495" t="s">
        <v>971</v>
      </c>
      <c r="D1" s="495" t="s">
        <v>978</v>
      </c>
      <c r="E1" s="626" t="s">
        <v>1088</v>
      </c>
      <c r="F1" s="626" t="s">
        <v>1089</v>
      </c>
      <c r="G1" s="495" t="s">
        <v>886</v>
      </c>
      <c r="H1" s="495" t="s">
        <v>1094</v>
      </c>
      <c r="I1" s="633" t="s">
        <v>1103</v>
      </c>
      <c r="J1" s="495" t="s">
        <v>1104</v>
      </c>
      <c r="K1" s="631" t="s">
        <v>1100</v>
      </c>
      <c r="L1" s="631" t="s">
        <v>1097</v>
      </c>
      <c r="M1" s="495" t="s">
        <v>1098</v>
      </c>
      <c r="N1" s="495" t="s">
        <v>1101</v>
      </c>
      <c r="O1" s="495" t="s">
        <v>1099</v>
      </c>
      <c r="P1" s="495" t="s">
        <v>1102</v>
      </c>
      <c r="Q1" s="633" t="s">
        <v>1095</v>
      </c>
      <c r="R1" s="633" t="s">
        <v>1096</v>
      </c>
      <c r="S1" s="630" t="s">
        <v>1069</v>
      </c>
      <c r="T1" s="630" t="s">
        <v>1070</v>
      </c>
      <c r="U1" s="495" t="s">
        <v>905</v>
      </c>
      <c r="V1" s="619" t="s">
        <v>1087</v>
      </c>
      <c r="W1" s="495" t="s">
        <v>874</v>
      </c>
      <c r="X1" s="495" t="s">
        <v>875</v>
      </c>
      <c r="Y1" s="495" t="s">
        <v>876</v>
      </c>
      <c r="Z1" s="495" t="s">
        <v>877</v>
      </c>
      <c r="AA1" s="495" t="s">
        <v>878</v>
      </c>
      <c r="AB1" s="495" t="s">
        <v>873</v>
      </c>
      <c r="AC1" s="495" t="s">
        <v>888</v>
      </c>
      <c r="AD1" s="624" t="s">
        <v>889</v>
      </c>
      <c r="AE1" s="626" t="s">
        <v>1090</v>
      </c>
      <c r="AF1" s="622" t="s">
        <v>891</v>
      </c>
      <c r="AG1" s="495" t="s">
        <v>959</v>
      </c>
      <c r="AH1" s="495" t="s">
        <v>892</v>
      </c>
      <c r="AI1" s="624" t="s">
        <v>893</v>
      </c>
      <c r="AJ1" s="626" t="s">
        <v>1092</v>
      </c>
      <c r="AK1" s="622" t="s">
        <v>897</v>
      </c>
      <c r="AL1" s="626" t="s">
        <v>958</v>
      </c>
      <c r="AM1" s="495" t="s">
        <v>898</v>
      </c>
      <c r="AN1" s="624" t="s">
        <v>900</v>
      </c>
      <c r="AO1" s="626" t="s">
        <v>1091</v>
      </c>
      <c r="AP1" s="622" t="s">
        <v>940</v>
      </c>
      <c r="AQ1" s="619" t="s">
        <v>957</v>
      </c>
    </row>
    <row r="2" spans="1:43" ht="15" customHeight="1" x14ac:dyDescent="0.25">
      <c r="A2" s="625">
        <v>241</v>
      </c>
      <c r="B2" s="494" t="s">
        <v>686</v>
      </c>
      <c r="C2" s="625">
        <v>127</v>
      </c>
      <c r="D2" s="494" t="s">
        <v>1064</v>
      </c>
      <c r="E2" s="627">
        <v>9504613</v>
      </c>
      <c r="F2" s="627">
        <v>29438</v>
      </c>
      <c r="G2" s="494" t="s">
        <v>1068</v>
      </c>
      <c r="S2" s="629">
        <f t="shared" ref="S2:S17" si="0">TIME(LEFT(U2,2),RIGHT(U2,2),"00")</f>
        <v>0.33333333333333331</v>
      </c>
      <c r="T2" s="629">
        <f t="shared" ref="T2:T17" si="1">S2+(TIME("00","30","00"))</f>
        <v>0.35416666666666663</v>
      </c>
      <c r="U2" s="494" t="s">
        <v>906</v>
      </c>
      <c r="V2" s="620" t="str">
        <f>Lasalle_table[[#This Row],[TimeSlot_Start_text]]</f>
        <v>0800</v>
      </c>
      <c r="W2" s="621"/>
      <c r="X2" s="621"/>
      <c r="Y2" s="621"/>
      <c r="Z2" s="621"/>
      <c r="AA2" s="621"/>
      <c r="AB2" s="494" t="s">
        <v>1083</v>
      </c>
      <c r="AC2" s="494" t="s">
        <v>1045</v>
      </c>
      <c r="AD2" s="625" t="s">
        <v>1046</v>
      </c>
      <c r="AE2" s="627">
        <v>29429</v>
      </c>
      <c r="AF2" s="623" t="s">
        <v>1048</v>
      </c>
      <c r="AG2" s="627">
        <v>7085430566</v>
      </c>
      <c r="AH2" s="494" t="s">
        <v>1050</v>
      </c>
      <c r="AI2" s="625" t="s">
        <v>1051</v>
      </c>
      <c r="AK2" s="623" t="s">
        <v>1052</v>
      </c>
      <c r="AL2" s="627">
        <v>7089283086</v>
      </c>
      <c r="AM2" s="494" t="s">
        <v>786</v>
      </c>
      <c r="AN2" s="625" t="s">
        <v>901</v>
      </c>
      <c r="AO2" s="627">
        <v>22230</v>
      </c>
      <c r="AP2" s="623" t="s">
        <v>882</v>
      </c>
      <c r="AQ2" s="627">
        <v>7089327433</v>
      </c>
    </row>
    <row r="3" spans="1:43" ht="15" customHeight="1" x14ac:dyDescent="0.25">
      <c r="A3" s="625">
        <v>242</v>
      </c>
      <c r="B3" s="494" t="s">
        <v>686</v>
      </c>
      <c r="C3" s="625">
        <v>127</v>
      </c>
      <c r="D3" s="494" t="s">
        <v>1064</v>
      </c>
      <c r="E3" s="627">
        <v>9504613</v>
      </c>
      <c r="F3" s="627">
        <v>29438</v>
      </c>
      <c r="G3" s="494" t="s">
        <v>1068</v>
      </c>
      <c r="S3" s="629">
        <f t="shared" si="0"/>
        <v>0.35416666666666669</v>
      </c>
      <c r="T3" s="629">
        <f t="shared" si="1"/>
        <v>0.375</v>
      </c>
      <c r="U3" s="494" t="s">
        <v>907</v>
      </c>
      <c r="V3" s="620" t="str">
        <f>Lasalle_table[[#This Row],[TimeSlot_Start_text]]</f>
        <v>0830</v>
      </c>
      <c r="W3" s="621"/>
      <c r="X3" s="621"/>
      <c r="Y3" s="621"/>
      <c r="Z3" s="621"/>
      <c r="AA3" s="621"/>
      <c r="AB3" s="494" t="s">
        <v>1084</v>
      </c>
      <c r="AC3" s="494" t="s">
        <v>1045</v>
      </c>
      <c r="AD3" s="625" t="s">
        <v>1046</v>
      </c>
      <c r="AE3" s="627">
        <v>29429</v>
      </c>
      <c r="AF3" s="623" t="s">
        <v>1048</v>
      </c>
      <c r="AG3" s="627">
        <v>7085430566</v>
      </c>
      <c r="AH3" s="494" t="s">
        <v>1050</v>
      </c>
      <c r="AI3" s="625" t="s">
        <v>1051</v>
      </c>
      <c r="AK3" s="623" t="s">
        <v>1052</v>
      </c>
      <c r="AL3" s="627">
        <v>7089283086</v>
      </c>
      <c r="AM3" s="494" t="s">
        <v>786</v>
      </c>
      <c r="AN3" s="625" t="s">
        <v>901</v>
      </c>
      <c r="AO3" s="627">
        <v>22230</v>
      </c>
      <c r="AP3" s="623" t="s">
        <v>882</v>
      </c>
      <c r="AQ3" s="627">
        <v>7089327433</v>
      </c>
    </row>
    <row r="4" spans="1:43" ht="15" customHeight="1" x14ac:dyDescent="0.25">
      <c r="A4" s="625">
        <v>243</v>
      </c>
      <c r="B4" s="494" t="s">
        <v>686</v>
      </c>
      <c r="C4" s="625">
        <v>127</v>
      </c>
      <c r="D4" s="494" t="s">
        <v>1064</v>
      </c>
      <c r="E4" s="627">
        <v>9504613</v>
      </c>
      <c r="F4" s="627">
        <v>29438</v>
      </c>
      <c r="G4" s="494" t="s">
        <v>1068</v>
      </c>
      <c r="S4" s="629">
        <f t="shared" si="0"/>
        <v>0.375</v>
      </c>
      <c r="T4" s="629">
        <f t="shared" si="1"/>
        <v>0.39583333333333331</v>
      </c>
      <c r="U4" s="494" t="s">
        <v>908</v>
      </c>
      <c r="V4" s="620" t="str">
        <f>Lasalle_table[[#This Row],[TimeSlot_Start_text]]</f>
        <v>0900</v>
      </c>
      <c r="W4" s="621"/>
      <c r="X4" s="621"/>
      <c r="Y4" s="621"/>
      <c r="Z4" s="621"/>
      <c r="AA4" s="621"/>
      <c r="AB4" s="494" t="s">
        <v>1085</v>
      </c>
      <c r="AC4" s="494" t="s">
        <v>1045</v>
      </c>
      <c r="AD4" s="625" t="s">
        <v>1046</v>
      </c>
      <c r="AE4" s="627">
        <v>29429</v>
      </c>
      <c r="AF4" s="623" t="s">
        <v>1048</v>
      </c>
      <c r="AG4" s="627">
        <v>7085430566</v>
      </c>
      <c r="AH4" s="494" t="s">
        <v>1050</v>
      </c>
      <c r="AI4" s="625" t="s">
        <v>1051</v>
      </c>
      <c r="AK4" s="623" t="s">
        <v>1052</v>
      </c>
      <c r="AL4" s="627">
        <v>7089283086</v>
      </c>
      <c r="AM4" s="494" t="s">
        <v>786</v>
      </c>
      <c r="AN4" s="625" t="s">
        <v>901</v>
      </c>
      <c r="AO4" s="627">
        <v>22230</v>
      </c>
      <c r="AP4" s="623" t="s">
        <v>882</v>
      </c>
      <c r="AQ4" s="627">
        <v>7089327433</v>
      </c>
    </row>
    <row r="5" spans="1:43" ht="15" customHeight="1" x14ac:dyDescent="0.25">
      <c r="A5" s="625">
        <v>244</v>
      </c>
      <c r="B5" s="494" t="s">
        <v>686</v>
      </c>
      <c r="C5" s="625">
        <v>127</v>
      </c>
      <c r="D5" s="494" t="s">
        <v>1064</v>
      </c>
      <c r="E5" s="627">
        <v>9504613</v>
      </c>
      <c r="F5" s="627">
        <v>29438</v>
      </c>
      <c r="G5" s="494" t="s">
        <v>1068</v>
      </c>
      <c r="S5" s="629">
        <f t="shared" si="0"/>
        <v>0.39583333333333331</v>
      </c>
      <c r="T5" s="629">
        <f t="shared" si="1"/>
        <v>0.41666666666666663</v>
      </c>
      <c r="U5" s="494" t="s">
        <v>909</v>
      </c>
      <c r="V5" s="620" t="str">
        <f>Lasalle_table[[#This Row],[TimeSlot_Start_text]]</f>
        <v>0930</v>
      </c>
      <c r="W5" s="621" t="s">
        <v>710</v>
      </c>
      <c r="X5" s="621"/>
      <c r="Y5" s="621"/>
      <c r="Z5" s="621"/>
      <c r="AA5" s="621"/>
      <c r="AB5" s="494" t="s">
        <v>1086</v>
      </c>
      <c r="AC5" s="494" t="s">
        <v>1045</v>
      </c>
      <c r="AD5" s="625" t="s">
        <v>1046</v>
      </c>
      <c r="AE5" s="627">
        <v>29429</v>
      </c>
      <c r="AF5" s="623" t="s">
        <v>1048</v>
      </c>
      <c r="AG5" s="627">
        <v>7085430566</v>
      </c>
      <c r="AH5" s="494" t="s">
        <v>1050</v>
      </c>
      <c r="AI5" s="625" t="s">
        <v>1051</v>
      </c>
      <c r="AK5" s="623" t="s">
        <v>1052</v>
      </c>
      <c r="AL5" s="627">
        <v>7089283086</v>
      </c>
      <c r="AM5" s="494" t="s">
        <v>786</v>
      </c>
      <c r="AN5" s="625" t="s">
        <v>901</v>
      </c>
      <c r="AO5" s="627">
        <v>22230</v>
      </c>
      <c r="AP5" s="623" t="s">
        <v>882</v>
      </c>
      <c r="AQ5" s="627">
        <v>7089327433</v>
      </c>
    </row>
    <row r="6" spans="1:43" x14ac:dyDescent="0.25">
      <c r="A6" s="625">
        <v>245</v>
      </c>
      <c r="B6" s="494" t="s">
        <v>686</v>
      </c>
      <c r="C6" s="625">
        <v>127</v>
      </c>
      <c r="D6" s="494" t="s">
        <v>1064</v>
      </c>
      <c r="E6" s="627">
        <v>9504613</v>
      </c>
      <c r="F6" s="627">
        <v>29438</v>
      </c>
      <c r="G6" s="494" t="s">
        <v>1068</v>
      </c>
      <c r="S6" s="629">
        <f t="shared" si="0"/>
        <v>0.41666666666666669</v>
      </c>
      <c r="T6" s="629">
        <f t="shared" si="1"/>
        <v>0.4375</v>
      </c>
      <c r="U6" s="494" t="s">
        <v>910</v>
      </c>
      <c r="V6" s="620" t="str">
        <f>Lasalle_table[[#This Row],[TimeSlot_Start_text]]</f>
        <v>1000</v>
      </c>
      <c r="W6" s="621" t="s">
        <v>710</v>
      </c>
      <c r="X6" s="621"/>
      <c r="Y6" s="621"/>
      <c r="Z6" s="621"/>
      <c r="AA6" s="621"/>
      <c r="AB6" s="494" t="s">
        <v>1073</v>
      </c>
      <c r="AC6" s="494" t="s">
        <v>1045</v>
      </c>
      <c r="AD6" s="625" t="s">
        <v>1046</v>
      </c>
      <c r="AE6" s="627">
        <v>29429</v>
      </c>
      <c r="AF6" s="623" t="s">
        <v>1048</v>
      </c>
      <c r="AG6" s="627">
        <v>7085430566</v>
      </c>
      <c r="AH6" s="494" t="s">
        <v>1050</v>
      </c>
      <c r="AI6" s="625" t="s">
        <v>1051</v>
      </c>
      <c r="AK6" s="623" t="s">
        <v>1052</v>
      </c>
      <c r="AL6" s="627">
        <v>7089283086</v>
      </c>
      <c r="AM6" s="494" t="s">
        <v>786</v>
      </c>
      <c r="AN6" s="625" t="s">
        <v>901</v>
      </c>
      <c r="AO6" s="627">
        <v>22230</v>
      </c>
      <c r="AP6" s="623" t="s">
        <v>882</v>
      </c>
      <c r="AQ6" s="627">
        <v>7089327433</v>
      </c>
    </row>
    <row r="7" spans="1:43" x14ac:dyDescent="0.25">
      <c r="A7" s="625">
        <v>246</v>
      </c>
      <c r="B7" s="494" t="s">
        <v>686</v>
      </c>
      <c r="C7" s="625">
        <v>127</v>
      </c>
      <c r="D7" s="494" t="s">
        <v>1064</v>
      </c>
      <c r="E7" s="627">
        <v>9504613</v>
      </c>
      <c r="F7" s="627">
        <v>29438</v>
      </c>
      <c r="G7" s="494" t="s">
        <v>1068</v>
      </c>
      <c r="S7" s="629">
        <f t="shared" si="0"/>
        <v>0.4375</v>
      </c>
      <c r="T7" s="629">
        <f t="shared" si="1"/>
        <v>0.45833333333333331</v>
      </c>
      <c r="U7" s="494" t="s">
        <v>911</v>
      </c>
      <c r="V7" s="620" t="str">
        <f>Lasalle_table[[#This Row],[TimeSlot_Start_text]]</f>
        <v>1030</v>
      </c>
      <c r="W7" s="621" t="s">
        <v>710</v>
      </c>
      <c r="X7" s="621"/>
      <c r="Y7" s="621"/>
      <c r="Z7" s="621"/>
      <c r="AA7" s="621"/>
      <c r="AB7" s="494" t="s">
        <v>1074</v>
      </c>
      <c r="AC7" s="494" t="s">
        <v>1045</v>
      </c>
      <c r="AD7" s="625" t="s">
        <v>1046</v>
      </c>
      <c r="AE7" s="627">
        <v>29429</v>
      </c>
      <c r="AF7" s="623" t="s">
        <v>1048</v>
      </c>
      <c r="AG7" s="627">
        <v>7085430566</v>
      </c>
      <c r="AH7" s="494" t="s">
        <v>1050</v>
      </c>
      <c r="AI7" s="625" t="s">
        <v>1051</v>
      </c>
      <c r="AK7" s="623" t="s">
        <v>1052</v>
      </c>
      <c r="AL7" s="627">
        <v>7089283086</v>
      </c>
      <c r="AM7" s="494" t="s">
        <v>786</v>
      </c>
      <c r="AN7" s="625" t="s">
        <v>901</v>
      </c>
      <c r="AO7" s="627">
        <v>22230</v>
      </c>
      <c r="AP7" s="623" t="s">
        <v>882</v>
      </c>
      <c r="AQ7" s="627">
        <v>7089327433</v>
      </c>
    </row>
    <row r="8" spans="1:43" x14ac:dyDescent="0.25">
      <c r="A8" s="625">
        <v>247</v>
      </c>
      <c r="B8" s="494" t="s">
        <v>686</v>
      </c>
      <c r="C8" s="625">
        <v>127</v>
      </c>
      <c r="D8" s="494" t="s">
        <v>1064</v>
      </c>
      <c r="E8" s="627">
        <v>9504613</v>
      </c>
      <c r="F8" s="627">
        <v>29438</v>
      </c>
      <c r="G8" s="494" t="s">
        <v>1068</v>
      </c>
      <c r="S8" s="629">
        <f t="shared" si="0"/>
        <v>0.45833333333333331</v>
      </c>
      <c r="T8" s="629">
        <f t="shared" si="1"/>
        <v>0.47916666666666663</v>
      </c>
      <c r="U8" s="494" t="s">
        <v>912</v>
      </c>
      <c r="V8" s="620" t="str">
        <f>Lasalle_table[[#This Row],[TimeSlot_Start_text]]</f>
        <v>1100</v>
      </c>
      <c r="W8" s="621" t="s">
        <v>710</v>
      </c>
      <c r="X8" s="621"/>
      <c r="Y8" s="621"/>
      <c r="Z8" s="621"/>
      <c r="AA8" s="621"/>
      <c r="AB8" s="494" t="s">
        <v>1076</v>
      </c>
      <c r="AC8" s="494" t="s">
        <v>1045</v>
      </c>
      <c r="AD8" s="625" t="s">
        <v>1046</v>
      </c>
      <c r="AE8" s="627">
        <v>29429</v>
      </c>
      <c r="AF8" s="623" t="s">
        <v>1048</v>
      </c>
      <c r="AG8" s="627">
        <v>7085430566</v>
      </c>
      <c r="AH8" s="494" t="s">
        <v>1050</v>
      </c>
      <c r="AI8" s="625" t="s">
        <v>1051</v>
      </c>
      <c r="AK8" s="623" t="s">
        <v>1052</v>
      </c>
      <c r="AL8" s="627">
        <v>7089283086</v>
      </c>
      <c r="AM8" s="494" t="s">
        <v>786</v>
      </c>
      <c r="AN8" s="625" t="s">
        <v>901</v>
      </c>
      <c r="AO8" s="627">
        <v>22230</v>
      </c>
      <c r="AP8" s="623" t="s">
        <v>882</v>
      </c>
      <c r="AQ8" s="627">
        <v>7089327433</v>
      </c>
    </row>
    <row r="9" spans="1:43" x14ac:dyDescent="0.25">
      <c r="A9" s="625">
        <v>248</v>
      </c>
      <c r="B9" s="494" t="s">
        <v>686</v>
      </c>
      <c r="C9" s="625">
        <v>127</v>
      </c>
      <c r="D9" s="494" t="s">
        <v>1064</v>
      </c>
      <c r="E9" s="627">
        <v>9504613</v>
      </c>
      <c r="F9" s="627">
        <v>29438</v>
      </c>
      <c r="G9" s="494" t="s">
        <v>1068</v>
      </c>
      <c r="S9" s="629">
        <f t="shared" si="0"/>
        <v>0.47916666666666669</v>
      </c>
      <c r="T9" s="629">
        <f t="shared" si="1"/>
        <v>0.5</v>
      </c>
      <c r="U9" s="494" t="s">
        <v>913</v>
      </c>
      <c r="V9" s="620" t="str">
        <f>Lasalle_table[[#This Row],[TimeSlot_Start_text]]</f>
        <v>1130</v>
      </c>
      <c r="W9" s="621" t="s">
        <v>710</v>
      </c>
      <c r="X9" s="621"/>
      <c r="Y9" s="621"/>
      <c r="Z9" s="621"/>
      <c r="AA9" s="621"/>
      <c r="AB9" s="494" t="s">
        <v>1075</v>
      </c>
      <c r="AC9" s="494" t="s">
        <v>1045</v>
      </c>
      <c r="AD9" s="625" t="s">
        <v>1046</v>
      </c>
      <c r="AE9" s="627">
        <v>29429</v>
      </c>
      <c r="AF9" s="623" t="s">
        <v>1048</v>
      </c>
      <c r="AG9" s="627">
        <v>7085430566</v>
      </c>
      <c r="AH9" s="494" t="s">
        <v>1050</v>
      </c>
      <c r="AI9" s="625" t="s">
        <v>1051</v>
      </c>
      <c r="AK9" s="623" t="s">
        <v>1052</v>
      </c>
      <c r="AL9" s="627">
        <v>7089283086</v>
      </c>
      <c r="AM9" s="494" t="s">
        <v>786</v>
      </c>
      <c r="AN9" s="625" t="s">
        <v>901</v>
      </c>
      <c r="AO9" s="627">
        <v>22230</v>
      </c>
      <c r="AP9" s="623" t="s">
        <v>882</v>
      </c>
      <c r="AQ9" s="627">
        <v>7089327433</v>
      </c>
    </row>
    <row r="10" spans="1:43" ht="15" customHeight="1" x14ac:dyDescent="0.25">
      <c r="A10" s="625">
        <v>249</v>
      </c>
      <c r="B10" s="494" t="s">
        <v>686</v>
      </c>
      <c r="C10" s="625">
        <v>127</v>
      </c>
      <c r="D10" s="494" t="s">
        <v>1064</v>
      </c>
      <c r="E10" s="627">
        <v>9504613</v>
      </c>
      <c r="F10" s="627">
        <v>29438</v>
      </c>
      <c r="G10" s="494" t="s">
        <v>1068</v>
      </c>
      <c r="S10" s="629">
        <f t="shared" si="0"/>
        <v>0.5</v>
      </c>
      <c r="T10" s="629">
        <f t="shared" si="1"/>
        <v>0.52083333333333337</v>
      </c>
      <c r="U10" s="494" t="s">
        <v>914</v>
      </c>
      <c r="V10" s="620" t="str">
        <f>Lasalle_table[[#This Row],[TimeSlot_Start_text]]</f>
        <v>1200</v>
      </c>
      <c r="W10" s="621" t="s">
        <v>354</v>
      </c>
      <c r="X10" s="621" t="s">
        <v>354</v>
      </c>
      <c r="Y10" s="621" t="s">
        <v>354</v>
      </c>
      <c r="Z10" s="621" t="s">
        <v>354</v>
      </c>
      <c r="AA10" s="621" t="s">
        <v>354</v>
      </c>
      <c r="AB10" s="494" t="s">
        <v>1077</v>
      </c>
      <c r="AC10" s="494" t="s">
        <v>1045</v>
      </c>
      <c r="AD10" s="625" t="s">
        <v>1046</v>
      </c>
      <c r="AE10" s="627">
        <v>29429</v>
      </c>
      <c r="AF10" s="623" t="s">
        <v>1048</v>
      </c>
      <c r="AG10" s="627">
        <v>7085430566</v>
      </c>
      <c r="AH10" s="494" t="s">
        <v>1050</v>
      </c>
      <c r="AI10" s="625" t="s">
        <v>1051</v>
      </c>
      <c r="AK10" s="623" t="s">
        <v>1052</v>
      </c>
      <c r="AL10" s="627">
        <v>7089283086</v>
      </c>
      <c r="AM10" s="494" t="s">
        <v>786</v>
      </c>
      <c r="AN10" s="625" t="s">
        <v>901</v>
      </c>
      <c r="AO10" s="627">
        <v>22230</v>
      </c>
      <c r="AP10" s="623" t="s">
        <v>882</v>
      </c>
      <c r="AQ10" s="627">
        <v>7089327433</v>
      </c>
    </row>
    <row r="11" spans="1:43" ht="15.75" customHeight="1" x14ac:dyDescent="0.25">
      <c r="A11" s="625">
        <v>250</v>
      </c>
      <c r="B11" s="494" t="s">
        <v>686</v>
      </c>
      <c r="C11" s="625">
        <v>127</v>
      </c>
      <c r="D11" s="494" t="s">
        <v>1064</v>
      </c>
      <c r="E11" s="627">
        <v>9504613</v>
      </c>
      <c r="F11" s="627">
        <v>29438</v>
      </c>
      <c r="G11" s="494" t="s">
        <v>1068</v>
      </c>
      <c r="S11" s="629">
        <f t="shared" si="0"/>
        <v>0.52083333333333337</v>
      </c>
      <c r="T11" s="629">
        <f t="shared" si="1"/>
        <v>0.54166666666666674</v>
      </c>
      <c r="U11" s="494" t="s">
        <v>915</v>
      </c>
      <c r="V11" s="620" t="str">
        <f>Lasalle_table[[#This Row],[TimeSlot_Start_text]]</f>
        <v>1230</v>
      </c>
      <c r="W11" s="621" t="s">
        <v>354</v>
      </c>
      <c r="X11" s="621" t="s">
        <v>354</v>
      </c>
      <c r="Y11" s="621" t="s">
        <v>354</v>
      </c>
      <c r="Z11" s="621" t="s">
        <v>354</v>
      </c>
      <c r="AA11" s="621" t="s">
        <v>354</v>
      </c>
      <c r="AB11" s="494" t="s">
        <v>1078</v>
      </c>
      <c r="AC11" s="494" t="s">
        <v>1045</v>
      </c>
      <c r="AD11" s="625" t="s">
        <v>1046</v>
      </c>
      <c r="AE11" s="627">
        <v>29429</v>
      </c>
      <c r="AF11" s="623" t="s">
        <v>1048</v>
      </c>
      <c r="AG11" s="627">
        <v>7085430566</v>
      </c>
      <c r="AH11" s="494" t="s">
        <v>1050</v>
      </c>
      <c r="AI11" s="625" t="s">
        <v>1051</v>
      </c>
      <c r="AK11" s="623" t="s">
        <v>1052</v>
      </c>
      <c r="AL11" s="627">
        <v>7089283086</v>
      </c>
      <c r="AM11" s="494" t="s">
        <v>786</v>
      </c>
      <c r="AN11" s="625" t="s">
        <v>901</v>
      </c>
      <c r="AO11" s="627">
        <v>22230</v>
      </c>
      <c r="AP11" s="623" t="s">
        <v>882</v>
      </c>
      <c r="AQ11" s="627">
        <v>7089327433</v>
      </c>
    </row>
    <row r="12" spans="1:43" x14ac:dyDescent="0.25">
      <c r="A12" s="625">
        <v>251</v>
      </c>
      <c r="B12" s="494" t="s">
        <v>686</v>
      </c>
      <c r="C12" s="625">
        <v>127</v>
      </c>
      <c r="D12" s="494" t="s">
        <v>1064</v>
      </c>
      <c r="E12" s="627">
        <v>9504613</v>
      </c>
      <c r="F12" s="627">
        <v>29438</v>
      </c>
      <c r="G12" s="494" t="s">
        <v>1068</v>
      </c>
      <c r="S12" s="629">
        <f t="shared" si="0"/>
        <v>0.54166666666666663</v>
      </c>
      <c r="T12" s="629">
        <f t="shared" si="1"/>
        <v>0.5625</v>
      </c>
      <c r="U12" s="494" t="s">
        <v>916</v>
      </c>
      <c r="V12" s="620" t="str">
        <f>Lasalle_table[[#This Row],[TimeSlot_Start_text]]</f>
        <v>1300</v>
      </c>
      <c r="W12" s="621"/>
      <c r="X12" s="621" t="s">
        <v>718</v>
      </c>
      <c r="Y12" s="621" t="s">
        <v>718</v>
      </c>
      <c r="Z12" s="621"/>
      <c r="AA12" s="621"/>
      <c r="AB12" s="494" t="s">
        <v>1071</v>
      </c>
      <c r="AC12" s="494" t="s">
        <v>1045</v>
      </c>
      <c r="AD12" s="625" t="s">
        <v>1046</v>
      </c>
      <c r="AE12" s="627">
        <v>29429</v>
      </c>
      <c r="AF12" s="623" t="s">
        <v>1048</v>
      </c>
      <c r="AG12" s="627">
        <v>7085430566</v>
      </c>
      <c r="AH12" s="494" t="s">
        <v>1050</v>
      </c>
      <c r="AI12" s="625" t="s">
        <v>1051</v>
      </c>
      <c r="AK12" s="623" t="s">
        <v>1052</v>
      </c>
      <c r="AL12" s="627">
        <v>7089283086</v>
      </c>
      <c r="AM12" s="494" t="s">
        <v>786</v>
      </c>
      <c r="AN12" s="625" t="s">
        <v>901</v>
      </c>
      <c r="AO12" s="627">
        <v>22230</v>
      </c>
      <c r="AP12" s="623" t="s">
        <v>882</v>
      </c>
      <c r="AQ12" s="627">
        <v>7089327433</v>
      </c>
    </row>
    <row r="13" spans="1:43" x14ac:dyDescent="0.25">
      <c r="A13" s="625">
        <v>252</v>
      </c>
      <c r="B13" s="494" t="s">
        <v>686</v>
      </c>
      <c r="C13" s="625">
        <v>127</v>
      </c>
      <c r="D13" s="494" t="s">
        <v>1064</v>
      </c>
      <c r="E13" s="627">
        <v>9504613</v>
      </c>
      <c r="F13" s="627">
        <v>29438</v>
      </c>
      <c r="G13" s="494" t="s">
        <v>1068</v>
      </c>
      <c r="S13" s="629">
        <f t="shared" si="0"/>
        <v>0.5625</v>
      </c>
      <c r="T13" s="629">
        <f t="shared" si="1"/>
        <v>0.58333333333333337</v>
      </c>
      <c r="U13" s="494" t="s">
        <v>917</v>
      </c>
      <c r="V13" s="620" t="str">
        <f>Lasalle_table[[#This Row],[TimeSlot_Start_text]]</f>
        <v>1330</v>
      </c>
      <c r="W13" s="621"/>
      <c r="X13" s="621" t="s">
        <v>718</v>
      </c>
      <c r="Y13" s="621" t="s">
        <v>718</v>
      </c>
      <c r="Z13" s="621"/>
      <c r="AA13" s="621"/>
      <c r="AB13" s="494" t="s">
        <v>1072</v>
      </c>
      <c r="AC13" s="494" t="s">
        <v>1045</v>
      </c>
      <c r="AD13" s="625" t="s">
        <v>1046</v>
      </c>
      <c r="AE13" s="627">
        <v>29429</v>
      </c>
      <c r="AF13" s="623" t="s">
        <v>1048</v>
      </c>
      <c r="AG13" s="627">
        <v>7085430566</v>
      </c>
      <c r="AH13" s="494" t="s">
        <v>1050</v>
      </c>
      <c r="AI13" s="625" t="s">
        <v>1051</v>
      </c>
      <c r="AK13" s="623" t="s">
        <v>1052</v>
      </c>
      <c r="AL13" s="627">
        <v>7089283086</v>
      </c>
      <c r="AM13" s="494" t="s">
        <v>786</v>
      </c>
      <c r="AN13" s="625" t="s">
        <v>901</v>
      </c>
      <c r="AO13" s="627">
        <v>22230</v>
      </c>
      <c r="AP13" s="623" t="s">
        <v>882</v>
      </c>
      <c r="AQ13" s="627">
        <v>7089327433</v>
      </c>
    </row>
    <row r="14" spans="1:43" x14ac:dyDescent="0.25">
      <c r="A14" s="625">
        <v>253</v>
      </c>
      <c r="B14" s="494" t="s">
        <v>686</v>
      </c>
      <c r="C14" s="625">
        <v>127</v>
      </c>
      <c r="D14" s="494" t="s">
        <v>1064</v>
      </c>
      <c r="E14" s="627">
        <v>9504613</v>
      </c>
      <c r="F14" s="627">
        <v>29438</v>
      </c>
      <c r="G14" s="494" t="s">
        <v>1068</v>
      </c>
      <c r="S14" s="629">
        <f t="shared" si="0"/>
        <v>0.58333333333333337</v>
      </c>
      <c r="T14" s="629">
        <f t="shared" si="1"/>
        <v>0.60416666666666674</v>
      </c>
      <c r="U14" s="494" t="s">
        <v>918</v>
      </c>
      <c r="V14" s="620" t="str">
        <f>Lasalle_table[[#This Row],[TimeSlot_Start_text]]</f>
        <v>1400</v>
      </c>
      <c r="W14" s="621"/>
      <c r="X14" s="621" t="s">
        <v>718</v>
      </c>
      <c r="Y14" s="621" t="s">
        <v>718</v>
      </c>
      <c r="Z14" s="621"/>
      <c r="AA14" s="621"/>
      <c r="AB14" s="494" t="s">
        <v>1079</v>
      </c>
      <c r="AC14" s="494" t="s">
        <v>1045</v>
      </c>
      <c r="AD14" s="625" t="s">
        <v>1046</v>
      </c>
      <c r="AE14" s="627">
        <v>29429</v>
      </c>
      <c r="AF14" s="623" t="s">
        <v>1048</v>
      </c>
      <c r="AG14" s="627">
        <v>7085430566</v>
      </c>
      <c r="AH14" s="494" t="s">
        <v>1050</v>
      </c>
      <c r="AI14" s="625" t="s">
        <v>1051</v>
      </c>
      <c r="AK14" s="623" t="s">
        <v>1052</v>
      </c>
      <c r="AL14" s="627">
        <v>7089283086</v>
      </c>
      <c r="AM14" s="494" t="s">
        <v>786</v>
      </c>
      <c r="AN14" s="625" t="s">
        <v>901</v>
      </c>
      <c r="AO14" s="627">
        <v>22230</v>
      </c>
      <c r="AP14" s="623" t="s">
        <v>882</v>
      </c>
      <c r="AQ14" s="627">
        <v>7089327433</v>
      </c>
    </row>
    <row r="15" spans="1:43" x14ac:dyDescent="0.25">
      <c r="A15" s="625">
        <v>254</v>
      </c>
      <c r="B15" s="494" t="s">
        <v>686</v>
      </c>
      <c r="C15" s="625">
        <v>127</v>
      </c>
      <c r="D15" s="494" t="s">
        <v>1064</v>
      </c>
      <c r="E15" s="627">
        <v>9504613</v>
      </c>
      <c r="F15" s="627">
        <v>29438</v>
      </c>
      <c r="G15" s="494" t="s">
        <v>1068</v>
      </c>
      <c r="S15" s="629">
        <f t="shared" si="0"/>
        <v>0.60416666666666663</v>
      </c>
      <c r="T15" s="629">
        <f t="shared" si="1"/>
        <v>0.625</v>
      </c>
      <c r="U15" s="494" t="s">
        <v>919</v>
      </c>
      <c r="V15" s="620" t="str">
        <f>Lasalle_table[[#This Row],[TimeSlot_Start_text]]</f>
        <v>1430</v>
      </c>
      <c r="W15" s="621"/>
      <c r="X15" s="621" t="s">
        <v>718</v>
      </c>
      <c r="Y15" s="621" t="s">
        <v>718</v>
      </c>
      <c r="Z15" s="621"/>
      <c r="AA15" s="621"/>
      <c r="AB15" s="494" t="s">
        <v>1080</v>
      </c>
      <c r="AC15" s="494" t="s">
        <v>1045</v>
      </c>
      <c r="AD15" s="625" t="s">
        <v>1046</v>
      </c>
      <c r="AE15" s="627">
        <v>29429</v>
      </c>
      <c r="AF15" s="623" t="s">
        <v>1048</v>
      </c>
      <c r="AG15" s="627">
        <v>7085430566</v>
      </c>
      <c r="AH15" s="494" t="s">
        <v>1050</v>
      </c>
      <c r="AI15" s="625" t="s">
        <v>1051</v>
      </c>
      <c r="AK15" s="623" t="s">
        <v>1052</v>
      </c>
      <c r="AL15" s="627">
        <v>7089283086</v>
      </c>
      <c r="AM15" s="494" t="s">
        <v>786</v>
      </c>
      <c r="AN15" s="625" t="s">
        <v>901</v>
      </c>
      <c r="AO15" s="627">
        <v>22230</v>
      </c>
      <c r="AP15" s="623" t="s">
        <v>882</v>
      </c>
      <c r="AQ15" s="627">
        <v>7089327433</v>
      </c>
    </row>
    <row r="16" spans="1:43" x14ac:dyDescent="0.25">
      <c r="A16" s="625">
        <v>255</v>
      </c>
      <c r="B16" s="494" t="s">
        <v>686</v>
      </c>
      <c r="C16" s="625">
        <v>127</v>
      </c>
      <c r="D16" s="494" t="s">
        <v>1064</v>
      </c>
      <c r="E16" s="627">
        <v>9504613</v>
      </c>
      <c r="F16" s="627">
        <v>29438</v>
      </c>
      <c r="G16" s="494" t="s">
        <v>1068</v>
      </c>
      <c r="S16" s="629">
        <f t="shared" si="0"/>
        <v>0.625</v>
      </c>
      <c r="T16" s="629">
        <f t="shared" si="1"/>
        <v>0.64583333333333337</v>
      </c>
      <c r="U16" s="494" t="s">
        <v>920</v>
      </c>
      <c r="V16" s="620" t="str">
        <f>Lasalle_table[[#This Row],[TimeSlot_Start_text]]</f>
        <v>1500</v>
      </c>
      <c r="W16" s="621"/>
      <c r="X16" s="621" t="s">
        <v>718</v>
      </c>
      <c r="Y16" s="621" t="s">
        <v>718</v>
      </c>
      <c r="Z16" s="621"/>
      <c r="AA16" s="621"/>
      <c r="AB16" s="494" t="s">
        <v>1081</v>
      </c>
      <c r="AC16" s="494" t="s">
        <v>1045</v>
      </c>
      <c r="AD16" s="625" t="s">
        <v>1046</v>
      </c>
      <c r="AE16" s="627">
        <v>29429</v>
      </c>
      <c r="AF16" s="623" t="s">
        <v>1048</v>
      </c>
      <c r="AG16" s="627">
        <v>7085430566</v>
      </c>
      <c r="AH16" s="494" t="s">
        <v>1050</v>
      </c>
      <c r="AI16" s="625" t="s">
        <v>1051</v>
      </c>
      <c r="AK16" s="623" t="s">
        <v>1052</v>
      </c>
      <c r="AL16" s="627">
        <v>7089283086</v>
      </c>
      <c r="AM16" s="494" t="s">
        <v>786</v>
      </c>
      <c r="AN16" s="625" t="s">
        <v>901</v>
      </c>
      <c r="AO16" s="627">
        <v>22230</v>
      </c>
      <c r="AP16" s="623" t="s">
        <v>882</v>
      </c>
      <c r="AQ16" s="627">
        <v>7089327433</v>
      </c>
    </row>
    <row r="17" spans="1:43" x14ac:dyDescent="0.25">
      <c r="A17" s="625">
        <v>256</v>
      </c>
      <c r="B17" s="494" t="s">
        <v>686</v>
      </c>
      <c r="C17" s="625">
        <v>127</v>
      </c>
      <c r="D17" s="494" t="s">
        <v>1064</v>
      </c>
      <c r="E17" s="627">
        <v>9504613</v>
      </c>
      <c r="F17" s="627">
        <v>29438</v>
      </c>
      <c r="G17" s="494" t="s">
        <v>1068</v>
      </c>
      <c r="S17" s="629">
        <f t="shared" si="0"/>
        <v>0.64583333333333337</v>
      </c>
      <c r="T17" s="629">
        <f t="shared" si="1"/>
        <v>0.66666666666666674</v>
      </c>
      <c r="U17" s="494" t="s">
        <v>921</v>
      </c>
      <c r="V17" s="620" t="str">
        <f>Lasalle_table[[#This Row],[TimeSlot_Start_text]]</f>
        <v>1530</v>
      </c>
      <c r="W17" s="621"/>
      <c r="X17" s="621" t="s">
        <v>718</v>
      </c>
      <c r="Y17" s="621" t="s">
        <v>718</v>
      </c>
      <c r="Z17" s="621"/>
      <c r="AA17" s="621"/>
      <c r="AB17" s="494" t="s">
        <v>1082</v>
      </c>
      <c r="AC17" s="494" t="s">
        <v>1045</v>
      </c>
      <c r="AD17" s="625" t="s">
        <v>1046</v>
      </c>
      <c r="AE17" s="627">
        <v>29429</v>
      </c>
      <c r="AF17" s="623" t="s">
        <v>1048</v>
      </c>
      <c r="AG17" s="627">
        <v>7085430566</v>
      </c>
      <c r="AH17" s="494" t="s">
        <v>1050</v>
      </c>
      <c r="AI17" s="625" t="s">
        <v>1051</v>
      </c>
      <c r="AK17" s="623" t="s">
        <v>1052</v>
      </c>
      <c r="AL17" s="627">
        <v>7089283086</v>
      </c>
      <c r="AM17" s="494" t="s">
        <v>786</v>
      </c>
      <c r="AN17" s="625" t="s">
        <v>901</v>
      </c>
      <c r="AO17" s="627">
        <v>22230</v>
      </c>
      <c r="AP17" s="623" t="s">
        <v>882</v>
      </c>
      <c r="AQ17" s="627">
        <v>7089327433</v>
      </c>
    </row>
    <row r="18" spans="1:43" ht="15" customHeight="1" x14ac:dyDescent="0.25">
      <c r="A18" s="625">
        <v>257</v>
      </c>
      <c r="B18" s="494" t="s">
        <v>686</v>
      </c>
      <c r="C18" s="625">
        <v>128</v>
      </c>
      <c r="D18" s="494" t="s">
        <v>1059</v>
      </c>
      <c r="E18" s="627">
        <v>9504621</v>
      </c>
      <c r="F18" s="627">
        <v>29439</v>
      </c>
      <c r="G18" s="494" t="s">
        <v>1063</v>
      </c>
      <c r="S18" s="629">
        <f t="shared" ref="S18:S65" si="2">TIME(LEFT(U18,2),RIGHT(U18,2),"00")</f>
        <v>0.33333333333333331</v>
      </c>
      <c r="T18" s="629">
        <f t="shared" ref="T18:T65" si="3">S18+(TIME("00","30","00"))</f>
        <v>0.35416666666666663</v>
      </c>
      <c r="U18" s="494" t="s">
        <v>906</v>
      </c>
      <c r="V18" s="620" t="str">
        <f>Lasalle_table[[#This Row],[TimeSlot_Start_text]]</f>
        <v>0800</v>
      </c>
      <c r="W18" s="621"/>
      <c r="X18" s="621" t="s">
        <v>381</v>
      </c>
      <c r="Y18" s="621"/>
      <c r="Z18" s="621"/>
      <c r="AA18" s="621"/>
      <c r="AB18" s="494" t="s">
        <v>1083</v>
      </c>
      <c r="AC18" s="494" t="s">
        <v>1045</v>
      </c>
      <c r="AD18" s="625" t="s">
        <v>1046</v>
      </c>
      <c r="AE18" s="627">
        <v>29429</v>
      </c>
      <c r="AF18" s="623" t="s">
        <v>1048</v>
      </c>
      <c r="AG18" s="627">
        <v>7085430566</v>
      </c>
      <c r="AH18" s="494" t="s">
        <v>1050</v>
      </c>
      <c r="AI18" s="625" t="s">
        <v>1051</v>
      </c>
      <c r="AK18" s="623" t="s">
        <v>1052</v>
      </c>
      <c r="AL18" s="627">
        <v>7089283086</v>
      </c>
      <c r="AM18" s="494" t="s">
        <v>786</v>
      </c>
      <c r="AN18" s="625" t="s">
        <v>901</v>
      </c>
      <c r="AO18" s="627">
        <v>22230</v>
      </c>
      <c r="AP18" s="623" t="s">
        <v>882</v>
      </c>
      <c r="AQ18" s="627">
        <v>7089327433</v>
      </c>
    </row>
    <row r="19" spans="1:43" ht="15" customHeight="1" x14ac:dyDescent="0.25">
      <c r="A19" s="625">
        <v>258</v>
      </c>
      <c r="B19" s="494" t="s">
        <v>686</v>
      </c>
      <c r="C19" s="625">
        <v>128</v>
      </c>
      <c r="D19" s="494" t="s">
        <v>1059</v>
      </c>
      <c r="E19" s="627">
        <v>9504621</v>
      </c>
      <c r="F19" s="627">
        <v>29439</v>
      </c>
      <c r="G19" s="494" t="s">
        <v>1063</v>
      </c>
      <c r="S19" s="629">
        <f t="shared" si="2"/>
        <v>0.35416666666666669</v>
      </c>
      <c r="T19" s="629">
        <f t="shared" si="3"/>
        <v>0.375</v>
      </c>
      <c r="U19" s="494" t="s">
        <v>907</v>
      </c>
      <c r="V19" s="620" t="str">
        <f>Lasalle_table[[#This Row],[TimeSlot_Start_text]]</f>
        <v>0830</v>
      </c>
      <c r="W19" s="621"/>
      <c r="X19" s="621"/>
      <c r="Y19" s="621"/>
      <c r="Z19" s="621"/>
      <c r="AA19" s="621"/>
      <c r="AB19" s="494" t="s">
        <v>1084</v>
      </c>
      <c r="AC19" s="494" t="s">
        <v>1045</v>
      </c>
      <c r="AD19" s="625" t="s">
        <v>1046</v>
      </c>
      <c r="AE19" s="627">
        <v>29429</v>
      </c>
      <c r="AF19" s="623" t="s">
        <v>1048</v>
      </c>
      <c r="AG19" s="627">
        <v>7085430566</v>
      </c>
      <c r="AH19" s="494" t="s">
        <v>1050</v>
      </c>
      <c r="AI19" s="625" t="s">
        <v>1051</v>
      </c>
      <c r="AK19" s="623" t="s">
        <v>1052</v>
      </c>
      <c r="AL19" s="627">
        <v>7089283086</v>
      </c>
      <c r="AM19" s="494" t="s">
        <v>786</v>
      </c>
      <c r="AN19" s="625" t="s">
        <v>901</v>
      </c>
      <c r="AO19" s="627">
        <v>22230</v>
      </c>
      <c r="AP19" s="623" t="s">
        <v>882</v>
      </c>
      <c r="AQ19" s="627">
        <v>7089327433</v>
      </c>
    </row>
    <row r="20" spans="1:43" ht="15" customHeight="1" x14ac:dyDescent="0.25">
      <c r="A20" s="625">
        <v>259</v>
      </c>
      <c r="B20" s="494" t="s">
        <v>686</v>
      </c>
      <c r="C20" s="625">
        <v>128</v>
      </c>
      <c r="D20" s="494" t="s">
        <v>1059</v>
      </c>
      <c r="E20" s="627">
        <v>9504621</v>
      </c>
      <c r="F20" s="627">
        <v>29439</v>
      </c>
      <c r="G20" s="494" t="s">
        <v>1063</v>
      </c>
      <c r="S20" s="629">
        <f t="shared" si="2"/>
        <v>0.375</v>
      </c>
      <c r="T20" s="629">
        <f t="shared" si="3"/>
        <v>0.39583333333333331</v>
      </c>
      <c r="U20" s="494" t="s">
        <v>908</v>
      </c>
      <c r="V20" s="620" t="str">
        <f>Lasalle_table[[#This Row],[TimeSlot_Start_text]]</f>
        <v>0900</v>
      </c>
      <c r="W20" s="621"/>
      <c r="X20" s="621"/>
      <c r="Y20" s="621"/>
      <c r="Z20" s="621"/>
      <c r="AA20" s="621"/>
      <c r="AB20" s="494" t="s">
        <v>1085</v>
      </c>
      <c r="AC20" s="494" t="s">
        <v>1045</v>
      </c>
      <c r="AD20" s="625" t="s">
        <v>1046</v>
      </c>
      <c r="AE20" s="627">
        <v>29429</v>
      </c>
      <c r="AF20" s="623" t="s">
        <v>1048</v>
      </c>
      <c r="AG20" s="627">
        <v>7085430566</v>
      </c>
      <c r="AH20" s="494" t="s">
        <v>1050</v>
      </c>
      <c r="AI20" s="625" t="s">
        <v>1051</v>
      </c>
      <c r="AK20" s="623" t="s">
        <v>1052</v>
      </c>
      <c r="AL20" s="627">
        <v>7089283086</v>
      </c>
      <c r="AM20" s="494" t="s">
        <v>786</v>
      </c>
      <c r="AN20" s="625" t="s">
        <v>901</v>
      </c>
      <c r="AO20" s="627">
        <v>22230</v>
      </c>
      <c r="AP20" s="623" t="s">
        <v>882</v>
      </c>
      <c r="AQ20" s="627">
        <v>7089327433</v>
      </c>
    </row>
    <row r="21" spans="1:43" ht="15" customHeight="1" x14ac:dyDescent="0.25">
      <c r="A21" s="625">
        <v>260</v>
      </c>
      <c r="B21" s="494" t="s">
        <v>686</v>
      </c>
      <c r="C21" s="625">
        <v>128</v>
      </c>
      <c r="D21" s="494" t="s">
        <v>1059</v>
      </c>
      <c r="E21" s="627">
        <v>9504621</v>
      </c>
      <c r="F21" s="627">
        <v>29439</v>
      </c>
      <c r="G21" s="494" t="s">
        <v>1063</v>
      </c>
      <c r="S21" s="629">
        <f t="shared" si="2"/>
        <v>0.39583333333333331</v>
      </c>
      <c r="T21" s="629">
        <f t="shared" si="3"/>
        <v>0.41666666666666663</v>
      </c>
      <c r="U21" s="494" t="s">
        <v>909</v>
      </c>
      <c r="V21" s="620" t="str">
        <f>Lasalle_table[[#This Row],[TimeSlot_Start_text]]</f>
        <v>0930</v>
      </c>
      <c r="W21" s="621"/>
      <c r="X21" s="621"/>
      <c r="Y21" s="621"/>
      <c r="Z21" s="621"/>
      <c r="AA21" s="621"/>
      <c r="AB21" s="494" t="s">
        <v>1086</v>
      </c>
      <c r="AC21" s="494" t="s">
        <v>1045</v>
      </c>
      <c r="AD21" s="625" t="s">
        <v>1046</v>
      </c>
      <c r="AE21" s="627">
        <v>29429</v>
      </c>
      <c r="AF21" s="623" t="s">
        <v>1048</v>
      </c>
      <c r="AG21" s="627">
        <v>7085430566</v>
      </c>
      <c r="AH21" s="494" t="s">
        <v>1050</v>
      </c>
      <c r="AI21" s="625" t="s">
        <v>1051</v>
      </c>
      <c r="AK21" s="623" t="s">
        <v>1052</v>
      </c>
      <c r="AL21" s="627">
        <v>7089283086</v>
      </c>
      <c r="AM21" s="494" t="s">
        <v>786</v>
      </c>
      <c r="AN21" s="625" t="s">
        <v>901</v>
      </c>
      <c r="AO21" s="627">
        <v>22230</v>
      </c>
      <c r="AP21" s="623" t="s">
        <v>882</v>
      </c>
      <c r="AQ21" s="627">
        <v>7089327433</v>
      </c>
    </row>
    <row r="22" spans="1:43" x14ac:dyDescent="0.25">
      <c r="A22" s="625">
        <v>261</v>
      </c>
      <c r="B22" s="494" t="s">
        <v>686</v>
      </c>
      <c r="C22" s="625">
        <v>128</v>
      </c>
      <c r="D22" s="494" t="s">
        <v>1059</v>
      </c>
      <c r="E22" s="627">
        <v>9504621</v>
      </c>
      <c r="F22" s="627">
        <v>29439</v>
      </c>
      <c r="G22" s="494" t="s">
        <v>1063</v>
      </c>
      <c r="S22" s="629">
        <f t="shared" si="2"/>
        <v>0.41666666666666669</v>
      </c>
      <c r="T22" s="629">
        <f t="shared" si="3"/>
        <v>0.4375</v>
      </c>
      <c r="U22" s="494" t="s">
        <v>910</v>
      </c>
      <c r="V22" s="620" t="str">
        <f>Lasalle_table[[#This Row],[TimeSlot_Start_text]]</f>
        <v>1000</v>
      </c>
      <c r="W22" s="621"/>
      <c r="X22" s="621"/>
      <c r="Y22" s="621"/>
      <c r="Z22" s="621" t="s">
        <v>381</v>
      </c>
      <c r="AA22" s="621"/>
      <c r="AB22" s="494" t="s">
        <v>1073</v>
      </c>
      <c r="AC22" s="494" t="s">
        <v>1045</v>
      </c>
      <c r="AD22" s="625" t="s">
        <v>1046</v>
      </c>
      <c r="AE22" s="627">
        <v>29429</v>
      </c>
      <c r="AF22" s="623" t="s">
        <v>1048</v>
      </c>
      <c r="AG22" s="627">
        <v>7085430566</v>
      </c>
      <c r="AH22" s="494" t="s">
        <v>1050</v>
      </c>
      <c r="AI22" s="625" t="s">
        <v>1051</v>
      </c>
      <c r="AK22" s="623" t="s">
        <v>1052</v>
      </c>
      <c r="AL22" s="627">
        <v>7089283086</v>
      </c>
      <c r="AM22" s="494" t="s">
        <v>786</v>
      </c>
      <c r="AN22" s="625" t="s">
        <v>901</v>
      </c>
      <c r="AO22" s="627">
        <v>22230</v>
      </c>
      <c r="AP22" s="623" t="s">
        <v>882</v>
      </c>
      <c r="AQ22" s="627">
        <v>7089327433</v>
      </c>
    </row>
    <row r="23" spans="1:43" x14ac:dyDescent="0.25">
      <c r="A23" s="625">
        <v>262</v>
      </c>
      <c r="B23" s="494" t="s">
        <v>686</v>
      </c>
      <c r="C23" s="625">
        <v>128</v>
      </c>
      <c r="D23" s="494" t="s">
        <v>1059</v>
      </c>
      <c r="E23" s="627">
        <v>9504621</v>
      </c>
      <c r="F23" s="627">
        <v>29439</v>
      </c>
      <c r="G23" s="494" t="s">
        <v>1063</v>
      </c>
      <c r="S23" s="629">
        <f t="shared" si="2"/>
        <v>0.4375</v>
      </c>
      <c r="T23" s="629">
        <f t="shared" si="3"/>
        <v>0.45833333333333331</v>
      </c>
      <c r="U23" s="494" t="s">
        <v>911</v>
      </c>
      <c r="V23" s="620" t="str">
        <f>Lasalle_table[[#This Row],[TimeSlot_Start_text]]</f>
        <v>1030</v>
      </c>
      <c r="W23" s="621"/>
      <c r="X23" s="621"/>
      <c r="Y23" s="621"/>
      <c r="Z23" s="621"/>
      <c r="AA23" s="621"/>
      <c r="AB23" s="494" t="s">
        <v>1074</v>
      </c>
      <c r="AC23" s="494" t="s">
        <v>1045</v>
      </c>
      <c r="AD23" s="625" t="s">
        <v>1046</v>
      </c>
      <c r="AE23" s="627">
        <v>29429</v>
      </c>
      <c r="AF23" s="623" t="s">
        <v>1048</v>
      </c>
      <c r="AG23" s="627">
        <v>7085430566</v>
      </c>
      <c r="AH23" s="494" t="s">
        <v>1050</v>
      </c>
      <c r="AI23" s="625" t="s">
        <v>1051</v>
      </c>
      <c r="AK23" s="623" t="s">
        <v>1052</v>
      </c>
      <c r="AL23" s="627">
        <v>7089283086</v>
      </c>
      <c r="AM23" s="494" t="s">
        <v>786</v>
      </c>
      <c r="AN23" s="625" t="s">
        <v>901</v>
      </c>
      <c r="AO23" s="627">
        <v>22230</v>
      </c>
      <c r="AP23" s="623" t="s">
        <v>882</v>
      </c>
      <c r="AQ23" s="627">
        <v>7089327433</v>
      </c>
    </row>
    <row r="24" spans="1:43" x14ac:dyDescent="0.25">
      <c r="A24" s="625">
        <v>263</v>
      </c>
      <c r="B24" s="494" t="s">
        <v>686</v>
      </c>
      <c r="C24" s="625">
        <v>128</v>
      </c>
      <c r="D24" s="494" t="s">
        <v>1059</v>
      </c>
      <c r="E24" s="627">
        <v>9504621</v>
      </c>
      <c r="F24" s="627">
        <v>29439</v>
      </c>
      <c r="G24" s="494" t="s">
        <v>1063</v>
      </c>
      <c r="S24" s="629">
        <f t="shared" si="2"/>
        <v>0.45833333333333331</v>
      </c>
      <c r="T24" s="629">
        <f t="shared" si="3"/>
        <v>0.47916666666666663</v>
      </c>
      <c r="U24" s="494" t="s">
        <v>912</v>
      </c>
      <c r="V24" s="620" t="str">
        <f>Lasalle_table[[#This Row],[TimeSlot_Start_text]]</f>
        <v>1100</v>
      </c>
      <c r="W24" s="621"/>
      <c r="X24" s="621"/>
      <c r="Y24" s="621"/>
      <c r="Z24" s="621"/>
      <c r="AA24" s="621"/>
      <c r="AB24" s="494" t="s">
        <v>1076</v>
      </c>
      <c r="AC24" s="494" t="s">
        <v>1045</v>
      </c>
      <c r="AD24" s="625" t="s">
        <v>1046</v>
      </c>
      <c r="AE24" s="627">
        <v>29429</v>
      </c>
      <c r="AF24" s="623" t="s">
        <v>1048</v>
      </c>
      <c r="AG24" s="627">
        <v>7085430566</v>
      </c>
      <c r="AH24" s="494" t="s">
        <v>1050</v>
      </c>
      <c r="AI24" s="625" t="s">
        <v>1051</v>
      </c>
      <c r="AK24" s="623" t="s">
        <v>1052</v>
      </c>
      <c r="AL24" s="627">
        <v>7089283086</v>
      </c>
      <c r="AM24" s="494" t="s">
        <v>786</v>
      </c>
      <c r="AN24" s="625" t="s">
        <v>901</v>
      </c>
      <c r="AO24" s="627">
        <v>22230</v>
      </c>
      <c r="AP24" s="623" t="s">
        <v>882</v>
      </c>
      <c r="AQ24" s="627">
        <v>7089327433</v>
      </c>
    </row>
    <row r="25" spans="1:43" x14ac:dyDescent="0.25">
      <c r="A25" s="625">
        <v>264</v>
      </c>
      <c r="B25" s="494" t="s">
        <v>686</v>
      </c>
      <c r="C25" s="625">
        <v>128</v>
      </c>
      <c r="D25" s="494" t="s">
        <v>1059</v>
      </c>
      <c r="E25" s="627">
        <v>9504621</v>
      </c>
      <c r="F25" s="627">
        <v>29439</v>
      </c>
      <c r="G25" s="494" t="s">
        <v>1063</v>
      </c>
      <c r="S25" s="629">
        <f t="shared" si="2"/>
        <v>0.47916666666666669</v>
      </c>
      <c r="T25" s="629">
        <f t="shared" si="3"/>
        <v>0.5</v>
      </c>
      <c r="U25" s="494" t="s">
        <v>913</v>
      </c>
      <c r="V25" s="620" t="str">
        <f>Lasalle_table[[#This Row],[TimeSlot_Start_text]]</f>
        <v>1130</v>
      </c>
      <c r="W25" s="621"/>
      <c r="X25" s="621"/>
      <c r="Y25" s="621"/>
      <c r="Z25" s="621"/>
      <c r="AA25" s="621"/>
      <c r="AB25" s="494" t="s">
        <v>1075</v>
      </c>
      <c r="AC25" s="494" t="s">
        <v>1045</v>
      </c>
      <c r="AD25" s="625" t="s">
        <v>1046</v>
      </c>
      <c r="AE25" s="627">
        <v>29429</v>
      </c>
      <c r="AF25" s="623" t="s">
        <v>1048</v>
      </c>
      <c r="AG25" s="627">
        <v>7085430566</v>
      </c>
      <c r="AH25" s="494" t="s">
        <v>1050</v>
      </c>
      <c r="AI25" s="625" t="s">
        <v>1051</v>
      </c>
      <c r="AK25" s="623" t="s">
        <v>1052</v>
      </c>
      <c r="AL25" s="627">
        <v>7089283086</v>
      </c>
      <c r="AM25" s="494" t="s">
        <v>786</v>
      </c>
      <c r="AN25" s="625" t="s">
        <v>901</v>
      </c>
      <c r="AO25" s="627">
        <v>22230</v>
      </c>
      <c r="AP25" s="623" t="s">
        <v>882</v>
      </c>
      <c r="AQ25" s="627">
        <v>7089327433</v>
      </c>
    </row>
    <row r="26" spans="1:43" ht="15" customHeight="1" x14ac:dyDescent="0.25">
      <c r="A26" s="625">
        <v>265</v>
      </c>
      <c r="B26" s="494" t="s">
        <v>686</v>
      </c>
      <c r="C26" s="625">
        <v>128</v>
      </c>
      <c r="D26" s="494" t="s">
        <v>1059</v>
      </c>
      <c r="E26" s="627">
        <v>9504621</v>
      </c>
      <c r="F26" s="627">
        <v>29439</v>
      </c>
      <c r="G26" s="494" t="s">
        <v>1063</v>
      </c>
      <c r="S26" s="629">
        <f t="shared" si="2"/>
        <v>0.5</v>
      </c>
      <c r="T26" s="629">
        <f t="shared" si="3"/>
        <v>0.52083333333333337</v>
      </c>
      <c r="U26" s="494" t="s">
        <v>914</v>
      </c>
      <c r="V26" s="620" t="str">
        <f>Lasalle_table[[#This Row],[TimeSlot_Start_text]]</f>
        <v>1200</v>
      </c>
      <c r="W26" s="621" t="s">
        <v>354</v>
      </c>
      <c r="X26" s="621" t="s">
        <v>354</v>
      </c>
      <c r="Y26" s="621" t="s">
        <v>354</v>
      </c>
      <c r="Z26" s="621" t="s">
        <v>354</v>
      </c>
      <c r="AA26" s="621" t="s">
        <v>354</v>
      </c>
      <c r="AB26" s="494" t="s">
        <v>1077</v>
      </c>
      <c r="AC26" s="494" t="s">
        <v>1045</v>
      </c>
      <c r="AD26" s="625" t="s">
        <v>1046</v>
      </c>
      <c r="AE26" s="627">
        <v>29429</v>
      </c>
      <c r="AF26" s="623" t="s">
        <v>1048</v>
      </c>
      <c r="AG26" s="627">
        <v>7085430566</v>
      </c>
      <c r="AH26" s="494" t="s">
        <v>1050</v>
      </c>
      <c r="AI26" s="625" t="s">
        <v>1051</v>
      </c>
      <c r="AK26" s="623" t="s">
        <v>1052</v>
      </c>
      <c r="AL26" s="627">
        <v>7089283086</v>
      </c>
      <c r="AM26" s="494" t="s">
        <v>786</v>
      </c>
      <c r="AN26" s="625" t="s">
        <v>901</v>
      </c>
      <c r="AO26" s="627">
        <v>22230</v>
      </c>
      <c r="AP26" s="623" t="s">
        <v>882</v>
      </c>
      <c r="AQ26" s="627">
        <v>7089327433</v>
      </c>
    </row>
    <row r="27" spans="1:43" ht="15.75" customHeight="1" x14ac:dyDescent="0.25">
      <c r="A27" s="625">
        <v>266</v>
      </c>
      <c r="B27" s="494" t="s">
        <v>686</v>
      </c>
      <c r="C27" s="625">
        <v>128</v>
      </c>
      <c r="D27" s="494" t="s">
        <v>1059</v>
      </c>
      <c r="E27" s="627">
        <v>9504621</v>
      </c>
      <c r="F27" s="627">
        <v>29439</v>
      </c>
      <c r="G27" s="494" t="s">
        <v>1063</v>
      </c>
      <c r="S27" s="629">
        <f t="shared" si="2"/>
        <v>0.52083333333333337</v>
      </c>
      <c r="T27" s="629">
        <f t="shared" si="3"/>
        <v>0.54166666666666674</v>
      </c>
      <c r="U27" s="494" t="s">
        <v>915</v>
      </c>
      <c r="V27" s="620" t="str">
        <f>Lasalle_table[[#This Row],[TimeSlot_Start_text]]</f>
        <v>1230</v>
      </c>
      <c r="W27" s="621" t="s">
        <v>354</v>
      </c>
      <c r="X27" s="621" t="s">
        <v>354</v>
      </c>
      <c r="Y27" s="621" t="s">
        <v>354</v>
      </c>
      <c r="Z27" s="621" t="s">
        <v>354</v>
      </c>
      <c r="AA27" s="621" t="s">
        <v>354</v>
      </c>
      <c r="AB27" s="494" t="s">
        <v>1078</v>
      </c>
      <c r="AC27" s="494" t="s">
        <v>1045</v>
      </c>
      <c r="AD27" s="625" t="s">
        <v>1046</v>
      </c>
      <c r="AE27" s="627">
        <v>29429</v>
      </c>
      <c r="AF27" s="623" t="s">
        <v>1048</v>
      </c>
      <c r="AG27" s="627">
        <v>7085430566</v>
      </c>
      <c r="AH27" s="494" t="s">
        <v>1050</v>
      </c>
      <c r="AI27" s="625" t="s">
        <v>1051</v>
      </c>
      <c r="AK27" s="623" t="s">
        <v>1052</v>
      </c>
      <c r="AL27" s="627">
        <v>7089283086</v>
      </c>
      <c r="AM27" s="494" t="s">
        <v>786</v>
      </c>
      <c r="AN27" s="625" t="s">
        <v>901</v>
      </c>
      <c r="AO27" s="627">
        <v>22230</v>
      </c>
      <c r="AP27" s="623" t="s">
        <v>882</v>
      </c>
      <c r="AQ27" s="627">
        <v>7089327433</v>
      </c>
    </row>
    <row r="28" spans="1:43" x14ac:dyDescent="0.25">
      <c r="A28" s="625">
        <v>267</v>
      </c>
      <c r="B28" s="494" t="s">
        <v>686</v>
      </c>
      <c r="C28" s="625">
        <v>128</v>
      </c>
      <c r="D28" s="494" t="s">
        <v>1059</v>
      </c>
      <c r="E28" s="627">
        <v>9504621</v>
      </c>
      <c r="F28" s="627">
        <v>29439</v>
      </c>
      <c r="G28" s="494" t="s">
        <v>1063</v>
      </c>
      <c r="S28" s="629">
        <f t="shared" si="2"/>
        <v>0.54166666666666663</v>
      </c>
      <c r="T28" s="629">
        <f t="shared" si="3"/>
        <v>0.5625</v>
      </c>
      <c r="U28" s="494" t="s">
        <v>916</v>
      </c>
      <c r="V28" s="620" t="str">
        <f>Lasalle_table[[#This Row],[TimeSlot_Start_text]]</f>
        <v>1300</v>
      </c>
      <c r="W28" s="621" t="s">
        <v>717</v>
      </c>
      <c r="X28" s="621"/>
      <c r="Y28" s="621" t="s">
        <v>381</v>
      </c>
      <c r="Z28" s="621"/>
      <c r="AA28" s="621"/>
      <c r="AB28" s="494" t="s">
        <v>1071</v>
      </c>
      <c r="AC28" s="494" t="s">
        <v>1045</v>
      </c>
      <c r="AD28" s="625" t="s">
        <v>1046</v>
      </c>
      <c r="AE28" s="627">
        <v>29429</v>
      </c>
      <c r="AF28" s="623" t="s">
        <v>1048</v>
      </c>
      <c r="AG28" s="627">
        <v>7085430566</v>
      </c>
      <c r="AH28" s="494" t="s">
        <v>1050</v>
      </c>
      <c r="AI28" s="625" t="s">
        <v>1051</v>
      </c>
      <c r="AK28" s="623" t="s">
        <v>1052</v>
      </c>
      <c r="AL28" s="627">
        <v>7089283086</v>
      </c>
      <c r="AM28" s="494" t="s">
        <v>786</v>
      </c>
      <c r="AN28" s="625" t="s">
        <v>901</v>
      </c>
      <c r="AO28" s="627">
        <v>22230</v>
      </c>
      <c r="AP28" s="623" t="s">
        <v>882</v>
      </c>
      <c r="AQ28" s="627">
        <v>7089327433</v>
      </c>
    </row>
    <row r="29" spans="1:43" x14ac:dyDescent="0.25">
      <c r="A29" s="625">
        <v>268</v>
      </c>
      <c r="B29" s="494" t="s">
        <v>686</v>
      </c>
      <c r="C29" s="625">
        <v>128</v>
      </c>
      <c r="D29" s="494" t="s">
        <v>1059</v>
      </c>
      <c r="E29" s="627">
        <v>9504621</v>
      </c>
      <c r="F29" s="627">
        <v>29439</v>
      </c>
      <c r="G29" s="494" t="s">
        <v>1063</v>
      </c>
      <c r="S29" s="629">
        <f t="shared" si="2"/>
        <v>0.5625</v>
      </c>
      <c r="T29" s="629">
        <f t="shared" si="3"/>
        <v>0.58333333333333337</v>
      </c>
      <c r="U29" s="494" t="s">
        <v>917</v>
      </c>
      <c r="V29" s="620" t="str">
        <f>Lasalle_table[[#This Row],[TimeSlot_Start_text]]</f>
        <v>1330</v>
      </c>
      <c r="W29" s="621" t="s">
        <v>717</v>
      </c>
      <c r="X29" s="621"/>
      <c r="Y29" s="621"/>
      <c r="Z29" s="621"/>
      <c r="AA29" s="621"/>
      <c r="AB29" s="494" t="s">
        <v>1072</v>
      </c>
      <c r="AC29" s="494" t="s">
        <v>1045</v>
      </c>
      <c r="AD29" s="625" t="s">
        <v>1046</v>
      </c>
      <c r="AE29" s="627">
        <v>29429</v>
      </c>
      <c r="AF29" s="623" t="s">
        <v>1048</v>
      </c>
      <c r="AG29" s="627">
        <v>7085430566</v>
      </c>
      <c r="AH29" s="494" t="s">
        <v>1050</v>
      </c>
      <c r="AI29" s="625" t="s">
        <v>1051</v>
      </c>
      <c r="AK29" s="623" t="s">
        <v>1052</v>
      </c>
      <c r="AL29" s="627">
        <v>7089283086</v>
      </c>
      <c r="AM29" s="494" t="s">
        <v>786</v>
      </c>
      <c r="AN29" s="625" t="s">
        <v>901</v>
      </c>
      <c r="AO29" s="627">
        <v>22230</v>
      </c>
      <c r="AP29" s="623" t="s">
        <v>882</v>
      </c>
      <c r="AQ29" s="627">
        <v>7089327433</v>
      </c>
    </row>
    <row r="30" spans="1:43" x14ac:dyDescent="0.25">
      <c r="A30" s="625">
        <v>269</v>
      </c>
      <c r="B30" s="494" t="s">
        <v>686</v>
      </c>
      <c r="C30" s="625">
        <v>128</v>
      </c>
      <c r="D30" s="494" t="s">
        <v>1059</v>
      </c>
      <c r="E30" s="627">
        <v>9504621</v>
      </c>
      <c r="F30" s="627">
        <v>29439</v>
      </c>
      <c r="G30" s="494" t="s">
        <v>1063</v>
      </c>
      <c r="S30" s="629">
        <f t="shared" si="2"/>
        <v>0.58333333333333337</v>
      </c>
      <c r="T30" s="629">
        <f t="shared" si="3"/>
        <v>0.60416666666666674</v>
      </c>
      <c r="U30" s="494" t="s">
        <v>918</v>
      </c>
      <c r="V30" s="620" t="str">
        <f>Lasalle_table[[#This Row],[TimeSlot_Start_text]]</f>
        <v>1400</v>
      </c>
      <c r="W30" s="621" t="s">
        <v>717</v>
      </c>
      <c r="X30" s="621" t="s">
        <v>381</v>
      </c>
      <c r="Y30" s="621"/>
      <c r="Z30" s="621"/>
      <c r="AA30" s="621"/>
      <c r="AB30" s="494" t="s">
        <v>1079</v>
      </c>
      <c r="AC30" s="494" t="s">
        <v>1045</v>
      </c>
      <c r="AD30" s="625" t="s">
        <v>1046</v>
      </c>
      <c r="AE30" s="627">
        <v>29429</v>
      </c>
      <c r="AF30" s="623" t="s">
        <v>1048</v>
      </c>
      <c r="AG30" s="627">
        <v>7085430566</v>
      </c>
      <c r="AH30" s="494" t="s">
        <v>1050</v>
      </c>
      <c r="AI30" s="625" t="s">
        <v>1051</v>
      </c>
      <c r="AK30" s="623" t="s">
        <v>1052</v>
      </c>
      <c r="AL30" s="627">
        <v>7089283086</v>
      </c>
      <c r="AM30" s="494" t="s">
        <v>786</v>
      </c>
      <c r="AN30" s="625" t="s">
        <v>901</v>
      </c>
      <c r="AO30" s="627">
        <v>22230</v>
      </c>
      <c r="AP30" s="623" t="s">
        <v>882</v>
      </c>
      <c r="AQ30" s="627">
        <v>7089327433</v>
      </c>
    </row>
    <row r="31" spans="1:43" x14ac:dyDescent="0.25">
      <c r="A31" s="625">
        <v>270</v>
      </c>
      <c r="B31" s="494" t="s">
        <v>686</v>
      </c>
      <c r="C31" s="625">
        <v>128</v>
      </c>
      <c r="D31" s="494" t="s">
        <v>1059</v>
      </c>
      <c r="E31" s="627">
        <v>9504621</v>
      </c>
      <c r="F31" s="627">
        <v>29439</v>
      </c>
      <c r="G31" s="494" t="s">
        <v>1063</v>
      </c>
      <c r="S31" s="629">
        <f t="shared" si="2"/>
        <v>0.60416666666666663</v>
      </c>
      <c r="T31" s="629">
        <f t="shared" si="3"/>
        <v>0.625</v>
      </c>
      <c r="U31" s="494" t="s">
        <v>919</v>
      </c>
      <c r="V31" s="620" t="str">
        <f>Lasalle_table[[#This Row],[TimeSlot_Start_text]]</f>
        <v>1430</v>
      </c>
      <c r="W31" s="621" t="s">
        <v>717</v>
      </c>
      <c r="X31" s="621"/>
      <c r="Y31" s="621"/>
      <c r="Z31" s="621"/>
      <c r="AA31" s="621"/>
      <c r="AB31" s="494" t="s">
        <v>1080</v>
      </c>
      <c r="AC31" s="494" t="s">
        <v>1045</v>
      </c>
      <c r="AD31" s="625" t="s">
        <v>1046</v>
      </c>
      <c r="AE31" s="627">
        <v>29429</v>
      </c>
      <c r="AF31" s="623" t="s">
        <v>1048</v>
      </c>
      <c r="AG31" s="627">
        <v>7085430566</v>
      </c>
      <c r="AH31" s="494" t="s">
        <v>1050</v>
      </c>
      <c r="AI31" s="625" t="s">
        <v>1051</v>
      </c>
      <c r="AK31" s="623" t="s">
        <v>1052</v>
      </c>
      <c r="AL31" s="627">
        <v>7089283086</v>
      </c>
      <c r="AM31" s="494" t="s">
        <v>786</v>
      </c>
      <c r="AN31" s="625" t="s">
        <v>901</v>
      </c>
      <c r="AO31" s="627">
        <v>22230</v>
      </c>
      <c r="AP31" s="623" t="s">
        <v>882</v>
      </c>
      <c r="AQ31" s="627">
        <v>7089327433</v>
      </c>
    </row>
    <row r="32" spans="1:43" x14ac:dyDescent="0.25">
      <c r="A32" s="625">
        <v>271</v>
      </c>
      <c r="B32" s="494" t="s">
        <v>686</v>
      </c>
      <c r="C32" s="625">
        <v>128</v>
      </c>
      <c r="D32" s="494" t="s">
        <v>1059</v>
      </c>
      <c r="E32" s="627">
        <v>9504621</v>
      </c>
      <c r="F32" s="627">
        <v>29439</v>
      </c>
      <c r="G32" s="494" t="s">
        <v>1063</v>
      </c>
      <c r="S32" s="629">
        <f t="shared" si="2"/>
        <v>0.625</v>
      </c>
      <c r="T32" s="629">
        <f t="shared" si="3"/>
        <v>0.64583333333333337</v>
      </c>
      <c r="U32" s="494" t="s">
        <v>920</v>
      </c>
      <c r="V32" s="620" t="str">
        <f>Lasalle_table[[#This Row],[TimeSlot_Start_text]]</f>
        <v>1500</v>
      </c>
      <c r="W32" s="621" t="s">
        <v>717</v>
      </c>
      <c r="X32" s="621"/>
      <c r="Y32" s="621"/>
      <c r="Z32" s="621"/>
      <c r="AA32" s="621"/>
      <c r="AB32" s="494" t="s">
        <v>1081</v>
      </c>
      <c r="AC32" s="494" t="s">
        <v>1045</v>
      </c>
      <c r="AD32" s="625" t="s">
        <v>1046</v>
      </c>
      <c r="AE32" s="627">
        <v>29429</v>
      </c>
      <c r="AF32" s="623" t="s">
        <v>1048</v>
      </c>
      <c r="AG32" s="627">
        <v>7085430566</v>
      </c>
      <c r="AH32" s="494" t="s">
        <v>1050</v>
      </c>
      <c r="AI32" s="625" t="s">
        <v>1051</v>
      </c>
      <c r="AK32" s="623" t="s">
        <v>1052</v>
      </c>
      <c r="AL32" s="627">
        <v>7089283086</v>
      </c>
      <c r="AM32" s="494" t="s">
        <v>786</v>
      </c>
      <c r="AN32" s="625" t="s">
        <v>901</v>
      </c>
      <c r="AO32" s="627">
        <v>22230</v>
      </c>
      <c r="AP32" s="623" t="s">
        <v>882</v>
      </c>
      <c r="AQ32" s="627">
        <v>7089327433</v>
      </c>
    </row>
    <row r="33" spans="1:43" x14ac:dyDescent="0.25">
      <c r="A33" s="625">
        <v>272</v>
      </c>
      <c r="B33" s="494" t="s">
        <v>686</v>
      </c>
      <c r="C33" s="625">
        <v>128</v>
      </c>
      <c r="D33" s="494" t="s">
        <v>1059</v>
      </c>
      <c r="E33" s="627">
        <v>9504621</v>
      </c>
      <c r="F33" s="627">
        <v>29439</v>
      </c>
      <c r="G33" s="494" t="s">
        <v>1063</v>
      </c>
      <c r="S33" s="629">
        <f t="shared" si="2"/>
        <v>0.64583333333333337</v>
      </c>
      <c r="T33" s="629">
        <f t="shared" si="3"/>
        <v>0.66666666666666674</v>
      </c>
      <c r="U33" s="494" t="s">
        <v>921</v>
      </c>
      <c r="V33" s="620" t="str">
        <f>Lasalle_table[[#This Row],[TimeSlot_Start_text]]</f>
        <v>1530</v>
      </c>
      <c r="W33" s="621"/>
      <c r="X33" s="621"/>
      <c r="Y33" s="621"/>
      <c r="Z33" s="621"/>
      <c r="AA33" s="621"/>
      <c r="AB33" s="494" t="s">
        <v>1082</v>
      </c>
      <c r="AC33" s="494" t="s">
        <v>1045</v>
      </c>
      <c r="AD33" s="625" t="s">
        <v>1046</v>
      </c>
      <c r="AE33" s="627">
        <v>29429</v>
      </c>
      <c r="AF33" s="623" t="s">
        <v>1048</v>
      </c>
      <c r="AG33" s="627">
        <v>7085430566</v>
      </c>
      <c r="AH33" s="494" t="s">
        <v>1050</v>
      </c>
      <c r="AI33" s="625" t="s">
        <v>1051</v>
      </c>
      <c r="AK33" s="623" t="s">
        <v>1052</v>
      </c>
      <c r="AL33" s="627">
        <v>7089283086</v>
      </c>
      <c r="AM33" s="494" t="s">
        <v>786</v>
      </c>
      <c r="AN33" s="625" t="s">
        <v>901</v>
      </c>
      <c r="AO33" s="627">
        <v>22230</v>
      </c>
      <c r="AP33" s="623" t="s">
        <v>882</v>
      </c>
      <c r="AQ33" s="627">
        <v>7089327433</v>
      </c>
    </row>
    <row r="34" spans="1:43" ht="15" customHeight="1" x14ac:dyDescent="0.25">
      <c r="A34" s="625">
        <v>273</v>
      </c>
      <c r="B34" s="494" t="s">
        <v>686</v>
      </c>
      <c r="C34" s="625">
        <v>129</v>
      </c>
      <c r="D34" s="494" t="s">
        <v>1054</v>
      </c>
      <c r="E34" s="627">
        <v>9504612</v>
      </c>
      <c r="F34" s="627">
        <v>29441</v>
      </c>
      <c r="G34" s="494" t="s">
        <v>1058</v>
      </c>
      <c r="S34" s="629">
        <f t="shared" si="2"/>
        <v>0.33333333333333331</v>
      </c>
      <c r="T34" s="629">
        <f t="shared" si="3"/>
        <v>0.35416666666666663</v>
      </c>
      <c r="U34" s="494" t="s">
        <v>906</v>
      </c>
      <c r="V34" s="620" t="str">
        <f>Lasalle_table[[#This Row],[TimeSlot_Start_text]]</f>
        <v>0800</v>
      </c>
      <c r="W34" s="621"/>
      <c r="X34" s="621"/>
      <c r="Y34" s="621"/>
      <c r="Z34" s="621"/>
      <c r="AA34" s="621"/>
      <c r="AB34" s="494" t="s">
        <v>1083</v>
      </c>
      <c r="AC34" s="494" t="s">
        <v>1045</v>
      </c>
      <c r="AD34" s="625" t="s">
        <v>1046</v>
      </c>
      <c r="AE34" s="627">
        <v>29429</v>
      </c>
      <c r="AF34" s="623" t="s">
        <v>1048</v>
      </c>
      <c r="AG34" s="627">
        <v>7085430566</v>
      </c>
      <c r="AH34" s="494" t="s">
        <v>1050</v>
      </c>
      <c r="AI34" s="625" t="s">
        <v>1051</v>
      </c>
      <c r="AK34" s="623" t="s">
        <v>1052</v>
      </c>
      <c r="AL34" s="627">
        <v>7089283086</v>
      </c>
      <c r="AM34" s="494" t="s">
        <v>786</v>
      </c>
      <c r="AN34" s="625" t="s">
        <v>901</v>
      </c>
      <c r="AO34" s="627">
        <v>22230</v>
      </c>
      <c r="AP34" s="623" t="s">
        <v>882</v>
      </c>
      <c r="AQ34" s="627">
        <v>7089327433</v>
      </c>
    </row>
    <row r="35" spans="1:43" ht="15" customHeight="1" x14ac:dyDescent="0.25">
      <c r="A35" s="625">
        <v>274</v>
      </c>
      <c r="B35" s="494" t="s">
        <v>686</v>
      </c>
      <c r="C35" s="625">
        <v>129</v>
      </c>
      <c r="D35" s="494" t="s">
        <v>1054</v>
      </c>
      <c r="E35" s="627">
        <v>9504612</v>
      </c>
      <c r="F35" s="627">
        <v>29441</v>
      </c>
      <c r="G35" s="494" t="s">
        <v>1058</v>
      </c>
      <c r="S35" s="629">
        <f t="shared" si="2"/>
        <v>0.35416666666666669</v>
      </c>
      <c r="T35" s="629">
        <f t="shared" si="3"/>
        <v>0.375</v>
      </c>
      <c r="U35" s="494" t="s">
        <v>907</v>
      </c>
      <c r="V35" s="620" t="str">
        <f>Lasalle_table[[#This Row],[TimeSlot_Start_text]]</f>
        <v>0830</v>
      </c>
      <c r="W35" s="621"/>
      <c r="X35" s="621"/>
      <c r="Y35" s="621"/>
      <c r="Z35" s="621"/>
      <c r="AA35" s="621" t="s">
        <v>709</v>
      </c>
      <c r="AB35" s="494" t="s">
        <v>1084</v>
      </c>
      <c r="AC35" s="494" t="s">
        <v>1045</v>
      </c>
      <c r="AD35" s="625" t="s">
        <v>1046</v>
      </c>
      <c r="AE35" s="627">
        <v>29429</v>
      </c>
      <c r="AF35" s="623" t="s">
        <v>1048</v>
      </c>
      <c r="AG35" s="627">
        <v>7085430566</v>
      </c>
      <c r="AH35" s="494" t="s">
        <v>1050</v>
      </c>
      <c r="AI35" s="625" t="s">
        <v>1051</v>
      </c>
      <c r="AK35" s="623" t="s">
        <v>1052</v>
      </c>
      <c r="AL35" s="627">
        <v>7089283086</v>
      </c>
      <c r="AM35" s="494" t="s">
        <v>786</v>
      </c>
      <c r="AN35" s="625" t="s">
        <v>901</v>
      </c>
      <c r="AO35" s="627">
        <v>22230</v>
      </c>
      <c r="AP35" s="623" t="s">
        <v>882</v>
      </c>
      <c r="AQ35" s="627">
        <v>7089327433</v>
      </c>
    </row>
    <row r="36" spans="1:43" ht="15" customHeight="1" x14ac:dyDescent="0.25">
      <c r="A36" s="625">
        <v>275</v>
      </c>
      <c r="B36" s="494" t="s">
        <v>686</v>
      </c>
      <c r="C36" s="625">
        <v>129</v>
      </c>
      <c r="D36" s="494" t="s">
        <v>1054</v>
      </c>
      <c r="E36" s="627">
        <v>9504612</v>
      </c>
      <c r="F36" s="627">
        <v>29441</v>
      </c>
      <c r="G36" s="494" t="s">
        <v>1058</v>
      </c>
      <c r="S36" s="629">
        <f t="shared" si="2"/>
        <v>0.375</v>
      </c>
      <c r="T36" s="629">
        <f t="shared" si="3"/>
        <v>0.39583333333333331</v>
      </c>
      <c r="U36" s="494" t="s">
        <v>908</v>
      </c>
      <c r="V36" s="620" t="str">
        <f>Lasalle_table[[#This Row],[TimeSlot_Start_text]]</f>
        <v>0900</v>
      </c>
      <c r="W36" s="621"/>
      <c r="X36" s="621"/>
      <c r="Y36" s="621"/>
      <c r="Z36" s="621"/>
      <c r="AA36" s="621" t="s">
        <v>709</v>
      </c>
      <c r="AB36" s="494" t="s">
        <v>1085</v>
      </c>
      <c r="AC36" s="494" t="s">
        <v>1045</v>
      </c>
      <c r="AD36" s="625" t="s">
        <v>1046</v>
      </c>
      <c r="AE36" s="627">
        <v>29429</v>
      </c>
      <c r="AF36" s="623" t="s">
        <v>1048</v>
      </c>
      <c r="AG36" s="627">
        <v>7085430566</v>
      </c>
      <c r="AH36" s="494" t="s">
        <v>1050</v>
      </c>
      <c r="AI36" s="625" t="s">
        <v>1051</v>
      </c>
      <c r="AK36" s="623" t="s">
        <v>1052</v>
      </c>
      <c r="AL36" s="627">
        <v>7089283086</v>
      </c>
      <c r="AM36" s="494" t="s">
        <v>786</v>
      </c>
      <c r="AN36" s="625" t="s">
        <v>901</v>
      </c>
      <c r="AO36" s="627">
        <v>22230</v>
      </c>
      <c r="AP36" s="623" t="s">
        <v>882</v>
      </c>
      <c r="AQ36" s="627">
        <v>7089327433</v>
      </c>
    </row>
    <row r="37" spans="1:43" ht="15" customHeight="1" x14ac:dyDescent="0.25">
      <c r="A37" s="625">
        <v>276</v>
      </c>
      <c r="B37" s="494" t="s">
        <v>686</v>
      </c>
      <c r="C37" s="625">
        <v>129</v>
      </c>
      <c r="D37" s="494" t="s">
        <v>1054</v>
      </c>
      <c r="E37" s="627">
        <v>9504612</v>
      </c>
      <c r="F37" s="627">
        <v>29441</v>
      </c>
      <c r="G37" s="494" t="s">
        <v>1058</v>
      </c>
      <c r="S37" s="629">
        <f t="shared" si="2"/>
        <v>0.39583333333333331</v>
      </c>
      <c r="T37" s="629">
        <f t="shared" si="3"/>
        <v>0.41666666666666663</v>
      </c>
      <c r="U37" s="494" t="s">
        <v>909</v>
      </c>
      <c r="V37" s="620" t="str">
        <f>Lasalle_table[[#This Row],[TimeSlot_Start_text]]</f>
        <v>0930</v>
      </c>
      <c r="W37" s="621"/>
      <c r="X37" s="621"/>
      <c r="Y37" s="621"/>
      <c r="Z37" s="621"/>
      <c r="AA37" s="621"/>
      <c r="AB37" s="494" t="s">
        <v>1086</v>
      </c>
      <c r="AC37" s="494" t="s">
        <v>1045</v>
      </c>
      <c r="AD37" s="625" t="s">
        <v>1046</v>
      </c>
      <c r="AE37" s="627">
        <v>29429</v>
      </c>
      <c r="AF37" s="623" t="s">
        <v>1048</v>
      </c>
      <c r="AG37" s="627">
        <v>7085430566</v>
      </c>
      <c r="AH37" s="494" t="s">
        <v>1050</v>
      </c>
      <c r="AI37" s="625" t="s">
        <v>1051</v>
      </c>
      <c r="AK37" s="623" t="s">
        <v>1052</v>
      </c>
      <c r="AL37" s="627">
        <v>7089283086</v>
      </c>
      <c r="AM37" s="494" t="s">
        <v>786</v>
      </c>
      <c r="AN37" s="625" t="s">
        <v>901</v>
      </c>
      <c r="AO37" s="627">
        <v>22230</v>
      </c>
      <c r="AP37" s="623" t="s">
        <v>882</v>
      </c>
      <c r="AQ37" s="627">
        <v>7089327433</v>
      </c>
    </row>
    <row r="38" spans="1:43" x14ac:dyDescent="0.25">
      <c r="A38" s="625">
        <v>277</v>
      </c>
      <c r="B38" s="494" t="s">
        <v>686</v>
      </c>
      <c r="C38" s="625">
        <v>129</v>
      </c>
      <c r="D38" s="494" t="s">
        <v>1054</v>
      </c>
      <c r="E38" s="627">
        <v>9504612</v>
      </c>
      <c r="F38" s="627">
        <v>29441</v>
      </c>
      <c r="G38" s="494" t="s">
        <v>1058</v>
      </c>
      <c r="S38" s="629">
        <f t="shared" si="2"/>
        <v>0.41666666666666669</v>
      </c>
      <c r="T38" s="629">
        <f t="shared" si="3"/>
        <v>0.4375</v>
      </c>
      <c r="U38" s="494" t="s">
        <v>910</v>
      </c>
      <c r="V38" s="620" t="str">
        <f>Lasalle_table[[#This Row],[TimeSlot_Start_text]]</f>
        <v>1000</v>
      </c>
      <c r="W38" s="621"/>
      <c r="X38" s="621" t="s">
        <v>713</v>
      </c>
      <c r="Y38" s="621"/>
      <c r="Z38" s="621"/>
      <c r="AA38" s="621"/>
      <c r="AB38" s="494" t="s">
        <v>1073</v>
      </c>
      <c r="AC38" s="494" t="s">
        <v>1045</v>
      </c>
      <c r="AD38" s="625" t="s">
        <v>1046</v>
      </c>
      <c r="AE38" s="627">
        <v>29429</v>
      </c>
      <c r="AF38" s="623" t="s">
        <v>1048</v>
      </c>
      <c r="AG38" s="627">
        <v>7085430566</v>
      </c>
      <c r="AH38" s="494" t="s">
        <v>1050</v>
      </c>
      <c r="AI38" s="625" t="s">
        <v>1051</v>
      </c>
      <c r="AK38" s="623" t="s">
        <v>1052</v>
      </c>
      <c r="AL38" s="627">
        <v>7089283086</v>
      </c>
      <c r="AM38" s="494" t="s">
        <v>786</v>
      </c>
      <c r="AN38" s="625" t="s">
        <v>901</v>
      </c>
      <c r="AO38" s="627">
        <v>22230</v>
      </c>
      <c r="AP38" s="623" t="s">
        <v>882</v>
      </c>
      <c r="AQ38" s="627">
        <v>7089327433</v>
      </c>
    </row>
    <row r="39" spans="1:43" x14ac:dyDescent="0.25">
      <c r="A39" s="625">
        <v>278</v>
      </c>
      <c r="B39" s="494" t="s">
        <v>686</v>
      </c>
      <c r="C39" s="625">
        <v>129</v>
      </c>
      <c r="D39" s="494" t="s">
        <v>1054</v>
      </c>
      <c r="E39" s="627">
        <v>9504612</v>
      </c>
      <c r="F39" s="627">
        <v>29441</v>
      </c>
      <c r="G39" s="494" t="s">
        <v>1058</v>
      </c>
      <c r="S39" s="629">
        <f t="shared" si="2"/>
        <v>0.4375</v>
      </c>
      <c r="T39" s="629">
        <f t="shared" si="3"/>
        <v>0.45833333333333331</v>
      </c>
      <c r="U39" s="494" t="s">
        <v>911</v>
      </c>
      <c r="V39" s="620" t="str">
        <f>Lasalle_table[[#This Row],[TimeSlot_Start_text]]</f>
        <v>1030</v>
      </c>
      <c r="W39" s="621"/>
      <c r="X39" s="621" t="s">
        <v>713</v>
      </c>
      <c r="Y39" s="621" t="s">
        <v>713</v>
      </c>
      <c r="Z39" s="621"/>
      <c r="AA39" s="621" t="s">
        <v>709</v>
      </c>
      <c r="AB39" s="494" t="s">
        <v>1074</v>
      </c>
      <c r="AC39" s="494" t="s">
        <v>1045</v>
      </c>
      <c r="AD39" s="625" t="s">
        <v>1046</v>
      </c>
      <c r="AE39" s="627">
        <v>29429</v>
      </c>
      <c r="AF39" s="623" t="s">
        <v>1048</v>
      </c>
      <c r="AG39" s="627">
        <v>7085430566</v>
      </c>
      <c r="AH39" s="494" t="s">
        <v>1050</v>
      </c>
      <c r="AI39" s="625" t="s">
        <v>1051</v>
      </c>
      <c r="AK39" s="623" t="s">
        <v>1052</v>
      </c>
      <c r="AL39" s="627">
        <v>7089283086</v>
      </c>
      <c r="AM39" s="494" t="s">
        <v>786</v>
      </c>
      <c r="AN39" s="625" t="s">
        <v>901</v>
      </c>
      <c r="AO39" s="627">
        <v>22230</v>
      </c>
      <c r="AP39" s="623" t="s">
        <v>882</v>
      </c>
      <c r="AQ39" s="627">
        <v>7089327433</v>
      </c>
    </row>
    <row r="40" spans="1:43" x14ac:dyDescent="0.25">
      <c r="A40" s="625">
        <v>279</v>
      </c>
      <c r="B40" s="494" t="s">
        <v>686</v>
      </c>
      <c r="C40" s="625">
        <v>129</v>
      </c>
      <c r="D40" s="494" t="s">
        <v>1054</v>
      </c>
      <c r="E40" s="627">
        <v>9504612</v>
      </c>
      <c r="F40" s="627">
        <v>29441</v>
      </c>
      <c r="G40" s="494" t="s">
        <v>1058</v>
      </c>
      <c r="S40" s="629">
        <f t="shared" si="2"/>
        <v>0.45833333333333331</v>
      </c>
      <c r="T40" s="629">
        <f t="shared" si="3"/>
        <v>0.47916666666666663</v>
      </c>
      <c r="U40" s="494" t="s">
        <v>912</v>
      </c>
      <c r="V40" s="620" t="str">
        <f>Lasalle_table[[#This Row],[TimeSlot_Start_text]]</f>
        <v>1100</v>
      </c>
      <c r="W40" s="621"/>
      <c r="X40" s="621"/>
      <c r="Y40" s="621" t="s">
        <v>713</v>
      </c>
      <c r="Z40" s="621"/>
      <c r="AA40" s="621" t="s">
        <v>709</v>
      </c>
      <c r="AB40" s="494" t="s">
        <v>1076</v>
      </c>
      <c r="AC40" s="494" t="s">
        <v>1045</v>
      </c>
      <c r="AD40" s="625" t="s">
        <v>1046</v>
      </c>
      <c r="AE40" s="627">
        <v>29429</v>
      </c>
      <c r="AF40" s="623" t="s">
        <v>1048</v>
      </c>
      <c r="AG40" s="627">
        <v>7085430566</v>
      </c>
      <c r="AH40" s="494" t="s">
        <v>1050</v>
      </c>
      <c r="AI40" s="625" t="s">
        <v>1051</v>
      </c>
      <c r="AK40" s="623" t="s">
        <v>1052</v>
      </c>
      <c r="AL40" s="627">
        <v>7089283086</v>
      </c>
      <c r="AM40" s="494" t="s">
        <v>786</v>
      </c>
      <c r="AN40" s="625" t="s">
        <v>901</v>
      </c>
      <c r="AO40" s="627">
        <v>22230</v>
      </c>
      <c r="AP40" s="623" t="s">
        <v>882</v>
      </c>
      <c r="AQ40" s="627">
        <v>7089327433</v>
      </c>
    </row>
    <row r="41" spans="1:43" x14ac:dyDescent="0.25">
      <c r="A41" s="625">
        <v>280</v>
      </c>
      <c r="B41" s="494" t="s">
        <v>686</v>
      </c>
      <c r="C41" s="625">
        <v>129</v>
      </c>
      <c r="D41" s="494" t="s">
        <v>1054</v>
      </c>
      <c r="E41" s="627">
        <v>9504612</v>
      </c>
      <c r="F41" s="627">
        <v>29441</v>
      </c>
      <c r="G41" s="494" t="s">
        <v>1058</v>
      </c>
      <c r="S41" s="629">
        <f t="shared" si="2"/>
        <v>0.47916666666666669</v>
      </c>
      <c r="T41" s="629">
        <f t="shared" si="3"/>
        <v>0.5</v>
      </c>
      <c r="U41" s="494" t="s">
        <v>913</v>
      </c>
      <c r="V41" s="620" t="str">
        <f>Lasalle_table[[#This Row],[TimeSlot_Start_text]]</f>
        <v>1130</v>
      </c>
      <c r="W41" s="621"/>
      <c r="X41" s="621"/>
      <c r="Y41" s="621"/>
      <c r="Z41" s="621" t="s">
        <v>713</v>
      </c>
      <c r="AA41" s="621" t="s">
        <v>709</v>
      </c>
      <c r="AB41" s="494" t="s">
        <v>1075</v>
      </c>
      <c r="AC41" s="494" t="s">
        <v>1045</v>
      </c>
      <c r="AD41" s="625" t="s">
        <v>1046</v>
      </c>
      <c r="AE41" s="627">
        <v>29429</v>
      </c>
      <c r="AF41" s="623" t="s">
        <v>1048</v>
      </c>
      <c r="AG41" s="627">
        <v>7085430566</v>
      </c>
      <c r="AH41" s="494" t="s">
        <v>1050</v>
      </c>
      <c r="AI41" s="625" t="s">
        <v>1051</v>
      </c>
      <c r="AK41" s="623" t="s">
        <v>1052</v>
      </c>
      <c r="AL41" s="627">
        <v>7089283086</v>
      </c>
      <c r="AM41" s="494" t="s">
        <v>786</v>
      </c>
      <c r="AN41" s="625" t="s">
        <v>901</v>
      </c>
      <c r="AO41" s="627">
        <v>22230</v>
      </c>
      <c r="AP41" s="623" t="s">
        <v>882</v>
      </c>
      <c r="AQ41" s="627">
        <v>7089327433</v>
      </c>
    </row>
    <row r="42" spans="1:43" ht="15" customHeight="1" x14ac:dyDescent="0.25">
      <c r="A42" s="625">
        <v>281</v>
      </c>
      <c r="B42" s="494" t="s">
        <v>686</v>
      </c>
      <c r="C42" s="625">
        <v>129</v>
      </c>
      <c r="D42" s="494" t="s">
        <v>1054</v>
      </c>
      <c r="E42" s="627">
        <v>9504612</v>
      </c>
      <c r="F42" s="627">
        <v>29441</v>
      </c>
      <c r="G42" s="494" t="s">
        <v>1058</v>
      </c>
      <c r="S42" s="629">
        <f t="shared" si="2"/>
        <v>0.5</v>
      </c>
      <c r="T42" s="629">
        <f t="shared" si="3"/>
        <v>0.52083333333333337</v>
      </c>
      <c r="U42" s="494" t="s">
        <v>914</v>
      </c>
      <c r="V42" s="620" t="str">
        <f>Lasalle_table[[#This Row],[TimeSlot_Start_text]]</f>
        <v>1200</v>
      </c>
      <c r="W42" s="621" t="s">
        <v>354</v>
      </c>
      <c r="X42" s="621" t="s">
        <v>354</v>
      </c>
      <c r="Y42" s="621" t="s">
        <v>354</v>
      </c>
      <c r="Z42" s="621" t="s">
        <v>354</v>
      </c>
      <c r="AA42" s="621" t="s">
        <v>354</v>
      </c>
      <c r="AB42" s="494" t="s">
        <v>1077</v>
      </c>
      <c r="AC42" s="494" t="s">
        <v>1045</v>
      </c>
      <c r="AD42" s="625" t="s">
        <v>1046</v>
      </c>
      <c r="AE42" s="627">
        <v>29429</v>
      </c>
      <c r="AF42" s="623" t="s">
        <v>1048</v>
      </c>
      <c r="AG42" s="627">
        <v>7085430566</v>
      </c>
      <c r="AH42" s="494" t="s">
        <v>1050</v>
      </c>
      <c r="AI42" s="625" t="s">
        <v>1051</v>
      </c>
      <c r="AK42" s="623" t="s">
        <v>1052</v>
      </c>
      <c r="AL42" s="627">
        <v>7089283086</v>
      </c>
      <c r="AM42" s="494" t="s">
        <v>786</v>
      </c>
      <c r="AN42" s="625" t="s">
        <v>901</v>
      </c>
      <c r="AO42" s="627">
        <v>22230</v>
      </c>
      <c r="AP42" s="623" t="s">
        <v>882</v>
      </c>
      <c r="AQ42" s="627">
        <v>7089327433</v>
      </c>
    </row>
    <row r="43" spans="1:43" ht="15.75" customHeight="1" x14ac:dyDescent="0.25">
      <c r="A43" s="625">
        <v>282</v>
      </c>
      <c r="B43" s="494" t="s">
        <v>686</v>
      </c>
      <c r="C43" s="625">
        <v>129</v>
      </c>
      <c r="D43" s="494" t="s">
        <v>1054</v>
      </c>
      <c r="E43" s="627">
        <v>9504612</v>
      </c>
      <c r="F43" s="627">
        <v>29441</v>
      </c>
      <c r="G43" s="494" t="s">
        <v>1058</v>
      </c>
      <c r="S43" s="629">
        <f t="shared" si="2"/>
        <v>0.52083333333333337</v>
      </c>
      <c r="T43" s="629">
        <f t="shared" si="3"/>
        <v>0.54166666666666674</v>
      </c>
      <c r="U43" s="494" t="s">
        <v>915</v>
      </c>
      <c r="V43" s="620" t="str">
        <f>Lasalle_table[[#This Row],[TimeSlot_Start_text]]</f>
        <v>1230</v>
      </c>
      <c r="W43" s="621" t="s">
        <v>354</v>
      </c>
      <c r="X43" s="621" t="s">
        <v>354</v>
      </c>
      <c r="Y43" s="621" t="s">
        <v>354</v>
      </c>
      <c r="Z43" s="621" t="s">
        <v>354</v>
      </c>
      <c r="AA43" s="621" t="s">
        <v>354</v>
      </c>
      <c r="AB43" s="494" t="s">
        <v>1078</v>
      </c>
      <c r="AC43" s="494" t="s">
        <v>1045</v>
      </c>
      <c r="AD43" s="625" t="s">
        <v>1046</v>
      </c>
      <c r="AE43" s="627">
        <v>29429</v>
      </c>
      <c r="AF43" s="623" t="s">
        <v>1048</v>
      </c>
      <c r="AG43" s="627">
        <v>7085430566</v>
      </c>
      <c r="AH43" s="494" t="s">
        <v>1050</v>
      </c>
      <c r="AI43" s="625" t="s">
        <v>1051</v>
      </c>
      <c r="AK43" s="623" t="s">
        <v>1052</v>
      </c>
      <c r="AL43" s="627">
        <v>7089283086</v>
      </c>
      <c r="AM43" s="494" t="s">
        <v>786</v>
      </c>
      <c r="AN43" s="625" t="s">
        <v>901</v>
      </c>
      <c r="AO43" s="627">
        <v>22230</v>
      </c>
      <c r="AP43" s="623" t="s">
        <v>882</v>
      </c>
      <c r="AQ43" s="627">
        <v>7089327433</v>
      </c>
    </row>
    <row r="44" spans="1:43" x14ac:dyDescent="0.25">
      <c r="A44" s="625">
        <v>283</v>
      </c>
      <c r="B44" s="494" t="s">
        <v>686</v>
      </c>
      <c r="C44" s="625">
        <v>129</v>
      </c>
      <c r="D44" s="494" t="s">
        <v>1054</v>
      </c>
      <c r="E44" s="627">
        <v>9504612</v>
      </c>
      <c r="F44" s="627">
        <v>29441</v>
      </c>
      <c r="G44" s="494" t="s">
        <v>1058</v>
      </c>
      <c r="S44" s="629">
        <f t="shared" si="2"/>
        <v>0.54166666666666663</v>
      </c>
      <c r="T44" s="629">
        <f t="shared" si="3"/>
        <v>0.5625</v>
      </c>
      <c r="U44" s="494" t="s">
        <v>916</v>
      </c>
      <c r="V44" s="620" t="str">
        <f>Lasalle_table[[#This Row],[TimeSlot_Start_text]]</f>
        <v>1300</v>
      </c>
      <c r="W44" s="621"/>
      <c r="X44" s="621"/>
      <c r="Y44" s="621" t="s">
        <v>380</v>
      </c>
      <c r="Z44" s="621"/>
      <c r="AA44" s="621" t="s">
        <v>709</v>
      </c>
      <c r="AB44" s="494" t="s">
        <v>1071</v>
      </c>
      <c r="AC44" s="494" t="s">
        <v>1045</v>
      </c>
      <c r="AD44" s="625" t="s">
        <v>1046</v>
      </c>
      <c r="AE44" s="627">
        <v>29429</v>
      </c>
      <c r="AF44" s="623" t="s">
        <v>1048</v>
      </c>
      <c r="AG44" s="627">
        <v>7085430566</v>
      </c>
      <c r="AH44" s="494" t="s">
        <v>1050</v>
      </c>
      <c r="AI44" s="625" t="s">
        <v>1051</v>
      </c>
      <c r="AK44" s="623" t="s">
        <v>1052</v>
      </c>
      <c r="AL44" s="627">
        <v>7089283086</v>
      </c>
      <c r="AM44" s="494" t="s">
        <v>786</v>
      </c>
      <c r="AN44" s="625" t="s">
        <v>901</v>
      </c>
      <c r="AO44" s="627">
        <v>22230</v>
      </c>
      <c r="AP44" s="623" t="s">
        <v>882</v>
      </c>
      <c r="AQ44" s="627">
        <v>7089327433</v>
      </c>
    </row>
    <row r="45" spans="1:43" x14ac:dyDescent="0.25">
      <c r="A45" s="625">
        <v>284</v>
      </c>
      <c r="B45" s="494" t="s">
        <v>686</v>
      </c>
      <c r="C45" s="625">
        <v>129</v>
      </c>
      <c r="D45" s="494" t="s">
        <v>1054</v>
      </c>
      <c r="E45" s="627">
        <v>9504612</v>
      </c>
      <c r="F45" s="627">
        <v>29441</v>
      </c>
      <c r="G45" s="494" t="s">
        <v>1058</v>
      </c>
      <c r="S45" s="629">
        <f t="shared" si="2"/>
        <v>0.5625</v>
      </c>
      <c r="T45" s="629">
        <f t="shared" si="3"/>
        <v>0.58333333333333337</v>
      </c>
      <c r="U45" s="494" t="s">
        <v>917</v>
      </c>
      <c r="V45" s="620" t="str">
        <f>Lasalle_table[[#This Row],[TimeSlot_Start_text]]</f>
        <v>1330</v>
      </c>
      <c r="W45" s="621"/>
      <c r="X45" s="621"/>
      <c r="Y45" s="621"/>
      <c r="Z45" s="621"/>
      <c r="AA45" s="621" t="s">
        <v>709</v>
      </c>
      <c r="AB45" s="494" t="s">
        <v>1072</v>
      </c>
      <c r="AC45" s="494" t="s">
        <v>1045</v>
      </c>
      <c r="AD45" s="625" t="s">
        <v>1046</v>
      </c>
      <c r="AE45" s="627">
        <v>29429</v>
      </c>
      <c r="AF45" s="623" t="s">
        <v>1048</v>
      </c>
      <c r="AG45" s="627">
        <v>7085430566</v>
      </c>
      <c r="AH45" s="494" t="s">
        <v>1050</v>
      </c>
      <c r="AI45" s="625" t="s">
        <v>1051</v>
      </c>
      <c r="AK45" s="623" t="s">
        <v>1052</v>
      </c>
      <c r="AL45" s="627">
        <v>7089283086</v>
      </c>
      <c r="AM45" s="494" t="s">
        <v>786</v>
      </c>
      <c r="AN45" s="625" t="s">
        <v>901</v>
      </c>
      <c r="AO45" s="627">
        <v>22230</v>
      </c>
      <c r="AP45" s="623" t="s">
        <v>882</v>
      </c>
      <c r="AQ45" s="627">
        <v>7089327433</v>
      </c>
    </row>
    <row r="46" spans="1:43" x14ac:dyDescent="0.25">
      <c r="A46" s="625">
        <v>285</v>
      </c>
      <c r="B46" s="494" t="s">
        <v>686</v>
      </c>
      <c r="C46" s="625">
        <v>129</v>
      </c>
      <c r="D46" s="494" t="s">
        <v>1054</v>
      </c>
      <c r="E46" s="627">
        <v>9504612</v>
      </c>
      <c r="F46" s="627">
        <v>29441</v>
      </c>
      <c r="G46" s="494" t="s">
        <v>1058</v>
      </c>
      <c r="S46" s="629">
        <f t="shared" si="2"/>
        <v>0.58333333333333337</v>
      </c>
      <c r="T46" s="629">
        <f t="shared" si="3"/>
        <v>0.60416666666666674</v>
      </c>
      <c r="U46" s="494" t="s">
        <v>918</v>
      </c>
      <c r="V46" s="620" t="str">
        <f>Lasalle_table[[#This Row],[TimeSlot_Start_text]]</f>
        <v>1400</v>
      </c>
      <c r="W46" s="621"/>
      <c r="X46" s="621"/>
      <c r="Y46" s="621"/>
      <c r="Z46" s="621"/>
      <c r="AA46" s="621" t="s">
        <v>709</v>
      </c>
      <c r="AB46" s="494" t="s">
        <v>1079</v>
      </c>
      <c r="AC46" s="494" t="s">
        <v>1045</v>
      </c>
      <c r="AD46" s="625" t="s">
        <v>1046</v>
      </c>
      <c r="AE46" s="627">
        <v>29429</v>
      </c>
      <c r="AF46" s="623" t="s">
        <v>1048</v>
      </c>
      <c r="AG46" s="627">
        <v>7085430566</v>
      </c>
      <c r="AH46" s="494" t="s">
        <v>1050</v>
      </c>
      <c r="AI46" s="625" t="s">
        <v>1051</v>
      </c>
      <c r="AK46" s="623" t="s">
        <v>1052</v>
      </c>
      <c r="AL46" s="627">
        <v>7089283086</v>
      </c>
      <c r="AM46" s="494" t="s">
        <v>786</v>
      </c>
      <c r="AN46" s="625" t="s">
        <v>901</v>
      </c>
      <c r="AO46" s="627">
        <v>22230</v>
      </c>
      <c r="AP46" s="623" t="s">
        <v>882</v>
      </c>
      <c r="AQ46" s="627">
        <v>7089327433</v>
      </c>
    </row>
    <row r="47" spans="1:43" x14ac:dyDescent="0.25">
      <c r="A47" s="625">
        <v>286</v>
      </c>
      <c r="B47" s="494" t="s">
        <v>686</v>
      </c>
      <c r="C47" s="625">
        <v>129</v>
      </c>
      <c r="D47" s="494" t="s">
        <v>1054</v>
      </c>
      <c r="E47" s="627">
        <v>9504612</v>
      </c>
      <c r="F47" s="627">
        <v>29441</v>
      </c>
      <c r="G47" s="494" t="s">
        <v>1058</v>
      </c>
      <c r="S47" s="629">
        <f t="shared" si="2"/>
        <v>0.60416666666666663</v>
      </c>
      <c r="T47" s="629">
        <f t="shared" si="3"/>
        <v>0.625</v>
      </c>
      <c r="U47" s="494" t="s">
        <v>919</v>
      </c>
      <c r="V47" s="620" t="str">
        <f>Lasalle_table[[#This Row],[TimeSlot_Start_text]]</f>
        <v>1430</v>
      </c>
      <c r="W47" s="621"/>
      <c r="X47" s="621"/>
      <c r="Y47" s="621"/>
      <c r="Z47" s="621"/>
      <c r="AA47" s="621" t="s">
        <v>709</v>
      </c>
      <c r="AB47" s="494" t="s">
        <v>1080</v>
      </c>
      <c r="AC47" s="494" t="s">
        <v>1045</v>
      </c>
      <c r="AD47" s="625" t="s">
        <v>1046</v>
      </c>
      <c r="AE47" s="627">
        <v>29429</v>
      </c>
      <c r="AF47" s="623" t="s">
        <v>1048</v>
      </c>
      <c r="AG47" s="627">
        <v>7085430566</v>
      </c>
      <c r="AH47" s="494" t="s">
        <v>1050</v>
      </c>
      <c r="AI47" s="625" t="s">
        <v>1051</v>
      </c>
      <c r="AK47" s="623" t="s">
        <v>1052</v>
      </c>
      <c r="AL47" s="627">
        <v>7089283086</v>
      </c>
      <c r="AM47" s="494" t="s">
        <v>786</v>
      </c>
      <c r="AN47" s="625" t="s">
        <v>901</v>
      </c>
      <c r="AO47" s="627">
        <v>22230</v>
      </c>
      <c r="AP47" s="623" t="s">
        <v>882</v>
      </c>
      <c r="AQ47" s="627">
        <v>7089327433</v>
      </c>
    </row>
    <row r="48" spans="1:43" x14ac:dyDescent="0.25">
      <c r="A48" s="625">
        <v>287</v>
      </c>
      <c r="B48" s="494" t="s">
        <v>686</v>
      </c>
      <c r="C48" s="625">
        <v>129</v>
      </c>
      <c r="D48" s="494" t="s">
        <v>1054</v>
      </c>
      <c r="E48" s="627">
        <v>9504612</v>
      </c>
      <c r="F48" s="627">
        <v>29441</v>
      </c>
      <c r="G48" s="494" t="s">
        <v>1058</v>
      </c>
      <c r="S48" s="629">
        <f t="shared" si="2"/>
        <v>0.625</v>
      </c>
      <c r="T48" s="629">
        <f t="shared" si="3"/>
        <v>0.64583333333333337</v>
      </c>
      <c r="U48" s="494" t="s">
        <v>920</v>
      </c>
      <c r="V48" s="620" t="str">
        <f>Lasalle_table[[#This Row],[TimeSlot_Start_text]]</f>
        <v>1500</v>
      </c>
      <c r="W48" s="621"/>
      <c r="X48" s="621"/>
      <c r="Y48" s="621" t="s">
        <v>713</v>
      </c>
      <c r="Z48" s="621"/>
      <c r="AA48" s="621" t="s">
        <v>709</v>
      </c>
      <c r="AB48" s="494" t="s">
        <v>1081</v>
      </c>
      <c r="AC48" s="494" t="s">
        <v>1045</v>
      </c>
      <c r="AD48" s="625" t="s">
        <v>1046</v>
      </c>
      <c r="AE48" s="627">
        <v>29429</v>
      </c>
      <c r="AF48" s="623" t="s">
        <v>1048</v>
      </c>
      <c r="AG48" s="627">
        <v>7085430566</v>
      </c>
      <c r="AH48" s="494" t="s">
        <v>1050</v>
      </c>
      <c r="AI48" s="625" t="s">
        <v>1051</v>
      </c>
      <c r="AK48" s="623" t="s">
        <v>1052</v>
      </c>
      <c r="AL48" s="627">
        <v>7089283086</v>
      </c>
      <c r="AM48" s="494" t="s">
        <v>786</v>
      </c>
      <c r="AN48" s="625" t="s">
        <v>901</v>
      </c>
      <c r="AO48" s="627">
        <v>22230</v>
      </c>
      <c r="AP48" s="623" t="s">
        <v>882</v>
      </c>
      <c r="AQ48" s="627">
        <v>7089327433</v>
      </c>
    </row>
    <row r="49" spans="1:43" x14ac:dyDescent="0.25">
      <c r="A49" s="625">
        <v>288</v>
      </c>
      <c r="B49" s="494" t="s">
        <v>686</v>
      </c>
      <c r="C49" s="625">
        <v>129</v>
      </c>
      <c r="D49" s="494" t="s">
        <v>1054</v>
      </c>
      <c r="E49" s="627">
        <v>9504612</v>
      </c>
      <c r="F49" s="627">
        <v>29441</v>
      </c>
      <c r="G49" s="494" t="s">
        <v>1058</v>
      </c>
      <c r="S49" s="629">
        <f t="shared" si="2"/>
        <v>0.64583333333333337</v>
      </c>
      <c r="T49" s="629">
        <f t="shared" si="3"/>
        <v>0.66666666666666674</v>
      </c>
      <c r="U49" s="494" t="s">
        <v>921</v>
      </c>
      <c r="V49" s="620" t="str">
        <f>Lasalle_table[[#This Row],[TimeSlot_Start_text]]</f>
        <v>1530</v>
      </c>
      <c r="W49" s="621"/>
      <c r="X49" s="621"/>
      <c r="Y49" s="621" t="s">
        <v>713</v>
      </c>
      <c r="Z49" s="621"/>
      <c r="AA49" s="621"/>
      <c r="AB49" s="494" t="s">
        <v>1082</v>
      </c>
      <c r="AC49" s="494" t="s">
        <v>1045</v>
      </c>
      <c r="AD49" s="625" t="s">
        <v>1046</v>
      </c>
      <c r="AE49" s="627">
        <v>29429</v>
      </c>
      <c r="AF49" s="623" t="s">
        <v>1048</v>
      </c>
      <c r="AG49" s="627">
        <v>7085430566</v>
      </c>
      <c r="AH49" s="494" t="s">
        <v>1050</v>
      </c>
      <c r="AI49" s="625" t="s">
        <v>1051</v>
      </c>
      <c r="AK49" s="623" t="s">
        <v>1052</v>
      </c>
      <c r="AL49" s="627">
        <v>7089283086</v>
      </c>
      <c r="AM49" s="494" t="s">
        <v>786</v>
      </c>
      <c r="AN49" s="625" t="s">
        <v>901</v>
      </c>
      <c r="AO49" s="627">
        <v>22230</v>
      </c>
      <c r="AP49" s="623" t="s">
        <v>882</v>
      </c>
      <c r="AQ49" s="627">
        <v>7089327433</v>
      </c>
    </row>
    <row r="50" spans="1:43" ht="15" customHeight="1" x14ac:dyDescent="0.25">
      <c r="A50" s="625">
        <v>289</v>
      </c>
      <c r="B50" s="494" t="s">
        <v>686</v>
      </c>
      <c r="C50" s="625">
        <v>130</v>
      </c>
      <c r="D50" s="494" t="s">
        <v>1040</v>
      </c>
      <c r="E50" s="627">
        <v>9504584</v>
      </c>
      <c r="F50" s="627">
        <v>29442</v>
      </c>
      <c r="G50" s="494" t="s">
        <v>1044</v>
      </c>
      <c r="S50" s="629">
        <f t="shared" si="2"/>
        <v>0.33333333333333331</v>
      </c>
      <c r="T50" s="629">
        <f t="shared" si="3"/>
        <v>0.35416666666666663</v>
      </c>
      <c r="U50" s="494" t="s">
        <v>906</v>
      </c>
      <c r="V50" s="620" t="str">
        <f>Lasalle_table[[#This Row],[TimeSlot_Start_text]]</f>
        <v>0800</v>
      </c>
      <c r="W50" s="621"/>
      <c r="X50" s="621"/>
      <c r="Y50" s="621"/>
      <c r="Z50" s="621" t="s">
        <v>380</v>
      </c>
      <c r="AA50" s="621"/>
      <c r="AB50" s="494" t="s">
        <v>1083</v>
      </c>
      <c r="AC50" s="494" t="s">
        <v>1045</v>
      </c>
      <c r="AD50" s="625" t="s">
        <v>1046</v>
      </c>
      <c r="AE50" s="627">
        <v>29429</v>
      </c>
      <c r="AF50" s="623" t="s">
        <v>1048</v>
      </c>
      <c r="AG50" s="627">
        <v>7085430566</v>
      </c>
      <c r="AH50" s="494" t="s">
        <v>1050</v>
      </c>
      <c r="AI50" s="625" t="s">
        <v>1051</v>
      </c>
      <c r="AK50" s="623" t="s">
        <v>1052</v>
      </c>
      <c r="AL50" s="627">
        <v>7089283086</v>
      </c>
      <c r="AM50" s="494" t="s">
        <v>786</v>
      </c>
      <c r="AN50" s="625" t="s">
        <v>901</v>
      </c>
      <c r="AO50" s="627">
        <v>22230</v>
      </c>
      <c r="AP50" s="623" t="s">
        <v>882</v>
      </c>
      <c r="AQ50" s="627">
        <v>7089327433</v>
      </c>
    </row>
    <row r="51" spans="1:43" ht="15" customHeight="1" x14ac:dyDescent="0.25">
      <c r="A51" s="625">
        <v>290</v>
      </c>
      <c r="B51" s="494" t="s">
        <v>686</v>
      </c>
      <c r="C51" s="625">
        <v>130</v>
      </c>
      <c r="D51" s="494" t="s">
        <v>1040</v>
      </c>
      <c r="E51" s="627">
        <v>9504584</v>
      </c>
      <c r="F51" s="627">
        <v>29442</v>
      </c>
      <c r="G51" s="494" t="s">
        <v>1044</v>
      </c>
      <c r="S51" s="629">
        <f t="shared" si="2"/>
        <v>0.35416666666666669</v>
      </c>
      <c r="T51" s="629">
        <f t="shared" si="3"/>
        <v>0.375</v>
      </c>
      <c r="U51" s="494" t="s">
        <v>907</v>
      </c>
      <c r="V51" s="620" t="str">
        <f>Lasalle_table[[#This Row],[TimeSlot_Start_text]]</f>
        <v>0830</v>
      </c>
      <c r="W51" s="621"/>
      <c r="X51" s="621"/>
      <c r="Y51" s="621"/>
      <c r="Z51" s="621"/>
      <c r="AA51" s="621"/>
      <c r="AB51" s="494" t="s">
        <v>1084</v>
      </c>
      <c r="AC51" s="494" t="s">
        <v>1045</v>
      </c>
      <c r="AD51" s="625" t="s">
        <v>1046</v>
      </c>
      <c r="AE51" s="627">
        <v>29429</v>
      </c>
      <c r="AF51" s="623" t="s">
        <v>1048</v>
      </c>
      <c r="AG51" s="627">
        <v>7085430566</v>
      </c>
      <c r="AH51" s="494" t="s">
        <v>1050</v>
      </c>
      <c r="AI51" s="625" t="s">
        <v>1051</v>
      </c>
      <c r="AK51" s="623" t="s">
        <v>1052</v>
      </c>
      <c r="AL51" s="627">
        <v>7089283086</v>
      </c>
      <c r="AM51" s="494" t="s">
        <v>786</v>
      </c>
      <c r="AN51" s="625" t="s">
        <v>901</v>
      </c>
      <c r="AO51" s="627">
        <v>22230</v>
      </c>
      <c r="AP51" s="623" t="s">
        <v>882</v>
      </c>
      <c r="AQ51" s="627">
        <v>7089327433</v>
      </c>
    </row>
    <row r="52" spans="1:43" ht="15" customHeight="1" x14ac:dyDescent="0.25">
      <c r="A52" s="625">
        <v>291</v>
      </c>
      <c r="B52" s="494" t="s">
        <v>686</v>
      </c>
      <c r="C52" s="625">
        <v>130</v>
      </c>
      <c r="D52" s="494" t="s">
        <v>1040</v>
      </c>
      <c r="E52" s="627">
        <v>9504584</v>
      </c>
      <c r="F52" s="627">
        <v>29442</v>
      </c>
      <c r="G52" s="494" t="s">
        <v>1044</v>
      </c>
      <c r="S52" s="629">
        <f t="shared" si="2"/>
        <v>0.375</v>
      </c>
      <c r="T52" s="629">
        <f t="shared" si="3"/>
        <v>0.39583333333333331</v>
      </c>
      <c r="U52" s="494" t="s">
        <v>908</v>
      </c>
      <c r="V52" s="620" t="str">
        <f>Lasalle_table[[#This Row],[TimeSlot_Start_text]]</f>
        <v>0900</v>
      </c>
      <c r="W52" s="621"/>
      <c r="X52" s="621"/>
      <c r="Y52" s="621" t="s">
        <v>707</v>
      </c>
      <c r="Z52" s="621"/>
      <c r="AA52" s="621"/>
      <c r="AB52" s="494" t="s">
        <v>1085</v>
      </c>
      <c r="AC52" s="494" t="s">
        <v>1045</v>
      </c>
      <c r="AD52" s="625" t="s">
        <v>1046</v>
      </c>
      <c r="AE52" s="627">
        <v>29429</v>
      </c>
      <c r="AF52" s="623" t="s">
        <v>1048</v>
      </c>
      <c r="AG52" s="627">
        <v>7085430566</v>
      </c>
      <c r="AH52" s="494" t="s">
        <v>1050</v>
      </c>
      <c r="AI52" s="625" t="s">
        <v>1051</v>
      </c>
      <c r="AK52" s="623" t="s">
        <v>1052</v>
      </c>
      <c r="AL52" s="627">
        <v>7089283086</v>
      </c>
      <c r="AM52" s="494" t="s">
        <v>786</v>
      </c>
      <c r="AN52" s="625" t="s">
        <v>901</v>
      </c>
      <c r="AO52" s="627">
        <v>22230</v>
      </c>
      <c r="AP52" s="623" t="s">
        <v>882</v>
      </c>
      <c r="AQ52" s="627">
        <v>7089327433</v>
      </c>
    </row>
    <row r="53" spans="1:43" ht="15" customHeight="1" x14ac:dyDescent="0.25">
      <c r="A53" s="625">
        <v>292</v>
      </c>
      <c r="B53" s="494" t="s">
        <v>686</v>
      </c>
      <c r="C53" s="625">
        <v>130</v>
      </c>
      <c r="D53" s="494" t="s">
        <v>1040</v>
      </c>
      <c r="E53" s="627">
        <v>9504584</v>
      </c>
      <c r="F53" s="627">
        <v>29442</v>
      </c>
      <c r="G53" s="494" t="s">
        <v>1044</v>
      </c>
      <c r="S53" s="629">
        <f t="shared" si="2"/>
        <v>0.39583333333333331</v>
      </c>
      <c r="T53" s="629">
        <f t="shared" si="3"/>
        <v>0.41666666666666663</v>
      </c>
      <c r="U53" s="494" t="s">
        <v>909</v>
      </c>
      <c r="V53" s="620" t="str">
        <f>Lasalle_table[[#This Row],[TimeSlot_Start_text]]</f>
        <v>0930</v>
      </c>
      <c r="W53" s="621"/>
      <c r="X53" s="621"/>
      <c r="Y53" s="621" t="s">
        <v>707</v>
      </c>
      <c r="Z53" s="621"/>
      <c r="AA53" s="621"/>
      <c r="AB53" s="494" t="s">
        <v>1086</v>
      </c>
      <c r="AC53" s="494" t="s">
        <v>1045</v>
      </c>
      <c r="AD53" s="625" t="s">
        <v>1046</v>
      </c>
      <c r="AE53" s="627">
        <v>29429</v>
      </c>
      <c r="AF53" s="623" t="s">
        <v>1048</v>
      </c>
      <c r="AG53" s="627">
        <v>7085430566</v>
      </c>
      <c r="AH53" s="494" t="s">
        <v>1050</v>
      </c>
      <c r="AI53" s="625" t="s">
        <v>1051</v>
      </c>
      <c r="AK53" s="623" t="s">
        <v>1052</v>
      </c>
      <c r="AL53" s="627">
        <v>7089283086</v>
      </c>
      <c r="AM53" s="494" t="s">
        <v>786</v>
      </c>
      <c r="AN53" s="625" t="s">
        <v>901</v>
      </c>
      <c r="AO53" s="627">
        <v>22230</v>
      </c>
      <c r="AP53" s="623" t="s">
        <v>882</v>
      </c>
      <c r="AQ53" s="627">
        <v>7089327433</v>
      </c>
    </row>
    <row r="54" spans="1:43" x14ac:dyDescent="0.25">
      <c r="A54" s="625">
        <v>293</v>
      </c>
      <c r="B54" s="494" t="s">
        <v>686</v>
      </c>
      <c r="C54" s="625">
        <v>130</v>
      </c>
      <c r="D54" s="494" t="s">
        <v>1040</v>
      </c>
      <c r="E54" s="627">
        <v>9504584</v>
      </c>
      <c r="F54" s="627">
        <v>29442</v>
      </c>
      <c r="G54" s="494" t="s">
        <v>1044</v>
      </c>
      <c r="S54" s="629">
        <f t="shared" si="2"/>
        <v>0.41666666666666669</v>
      </c>
      <c r="T54" s="629">
        <f t="shared" si="3"/>
        <v>0.4375</v>
      </c>
      <c r="U54" s="494" t="s">
        <v>910</v>
      </c>
      <c r="V54" s="620" t="str">
        <f>Lasalle_table[[#This Row],[TimeSlot_Start_text]]</f>
        <v>1000</v>
      </c>
      <c r="W54" s="621"/>
      <c r="X54" s="621"/>
      <c r="Y54" s="621" t="s">
        <v>707</v>
      </c>
      <c r="Z54" s="621"/>
      <c r="AA54" s="621"/>
      <c r="AB54" s="494" t="s">
        <v>1073</v>
      </c>
      <c r="AC54" s="494" t="s">
        <v>1045</v>
      </c>
      <c r="AD54" s="625" t="s">
        <v>1046</v>
      </c>
      <c r="AE54" s="627">
        <v>29429</v>
      </c>
      <c r="AF54" s="623" t="s">
        <v>1048</v>
      </c>
      <c r="AG54" s="627">
        <v>7085430566</v>
      </c>
      <c r="AH54" s="494" t="s">
        <v>1050</v>
      </c>
      <c r="AI54" s="625" t="s">
        <v>1051</v>
      </c>
      <c r="AK54" s="623" t="s">
        <v>1052</v>
      </c>
      <c r="AL54" s="627">
        <v>7089283086</v>
      </c>
      <c r="AM54" s="494" t="s">
        <v>786</v>
      </c>
      <c r="AN54" s="625" t="s">
        <v>901</v>
      </c>
      <c r="AO54" s="627">
        <v>22230</v>
      </c>
      <c r="AP54" s="623" t="s">
        <v>882</v>
      </c>
      <c r="AQ54" s="627">
        <v>7089327433</v>
      </c>
    </row>
    <row r="55" spans="1:43" x14ac:dyDescent="0.25">
      <c r="A55" s="625">
        <v>294</v>
      </c>
      <c r="B55" s="494" t="s">
        <v>686</v>
      </c>
      <c r="C55" s="625">
        <v>130</v>
      </c>
      <c r="D55" s="494" t="s">
        <v>1040</v>
      </c>
      <c r="E55" s="627">
        <v>9504584</v>
      </c>
      <c r="F55" s="627">
        <v>29442</v>
      </c>
      <c r="G55" s="494" t="s">
        <v>1044</v>
      </c>
      <c r="S55" s="629">
        <f t="shared" si="2"/>
        <v>0.4375</v>
      </c>
      <c r="T55" s="629">
        <f t="shared" si="3"/>
        <v>0.45833333333333331</v>
      </c>
      <c r="U55" s="494" t="s">
        <v>911</v>
      </c>
      <c r="V55" s="620" t="str">
        <f>Lasalle_table[[#This Row],[TimeSlot_Start_text]]</f>
        <v>1030</v>
      </c>
      <c r="W55" s="621"/>
      <c r="X55" s="621"/>
      <c r="Y55" s="621" t="s">
        <v>707</v>
      </c>
      <c r="Z55" s="621"/>
      <c r="AA55" s="621"/>
      <c r="AB55" s="494" t="s">
        <v>1074</v>
      </c>
      <c r="AC55" s="494" t="s">
        <v>1045</v>
      </c>
      <c r="AD55" s="625" t="s">
        <v>1046</v>
      </c>
      <c r="AE55" s="627">
        <v>29429</v>
      </c>
      <c r="AF55" s="623" t="s">
        <v>1048</v>
      </c>
      <c r="AG55" s="627">
        <v>7085430566</v>
      </c>
      <c r="AH55" s="494" t="s">
        <v>1050</v>
      </c>
      <c r="AI55" s="625" t="s">
        <v>1051</v>
      </c>
      <c r="AK55" s="623" t="s">
        <v>1052</v>
      </c>
      <c r="AL55" s="627">
        <v>7089283086</v>
      </c>
      <c r="AM55" s="494" t="s">
        <v>786</v>
      </c>
      <c r="AN55" s="625" t="s">
        <v>901</v>
      </c>
      <c r="AO55" s="627">
        <v>22230</v>
      </c>
      <c r="AP55" s="623" t="s">
        <v>882</v>
      </c>
      <c r="AQ55" s="627">
        <v>7089327433</v>
      </c>
    </row>
    <row r="56" spans="1:43" x14ac:dyDescent="0.25">
      <c r="A56" s="625">
        <v>295</v>
      </c>
      <c r="B56" s="494" t="s">
        <v>686</v>
      </c>
      <c r="C56" s="625">
        <v>130</v>
      </c>
      <c r="D56" s="494" t="s">
        <v>1040</v>
      </c>
      <c r="E56" s="627">
        <v>9504584</v>
      </c>
      <c r="F56" s="627">
        <v>29442</v>
      </c>
      <c r="G56" s="494" t="s">
        <v>1044</v>
      </c>
      <c r="S56" s="629">
        <f t="shared" si="2"/>
        <v>0.45833333333333331</v>
      </c>
      <c r="T56" s="629">
        <f t="shared" si="3"/>
        <v>0.47916666666666663</v>
      </c>
      <c r="U56" s="494" t="s">
        <v>912</v>
      </c>
      <c r="V56" s="620" t="str">
        <f>Lasalle_table[[#This Row],[TimeSlot_Start_text]]</f>
        <v>1100</v>
      </c>
      <c r="W56" s="621"/>
      <c r="X56" s="621" t="s">
        <v>380</v>
      </c>
      <c r="Y56" s="621"/>
      <c r="Z56" s="621"/>
      <c r="AA56" s="621"/>
      <c r="AB56" s="494" t="s">
        <v>1076</v>
      </c>
      <c r="AC56" s="494" t="s">
        <v>1045</v>
      </c>
      <c r="AD56" s="625" t="s">
        <v>1046</v>
      </c>
      <c r="AE56" s="627">
        <v>29429</v>
      </c>
      <c r="AF56" s="623" t="s">
        <v>1048</v>
      </c>
      <c r="AG56" s="627">
        <v>7085430566</v>
      </c>
      <c r="AH56" s="494" t="s">
        <v>1050</v>
      </c>
      <c r="AI56" s="625" t="s">
        <v>1051</v>
      </c>
      <c r="AK56" s="623" t="s">
        <v>1052</v>
      </c>
      <c r="AL56" s="627">
        <v>7089283086</v>
      </c>
      <c r="AM56" s="494" t="s">
        <v>786</v>
      </c>
      <c r="AN56" s="625" t="s">
        <v>901</v>
      </c>
      <c r="AO56" s="627">
        <v>22230</v>
      </c>
      <c r="AP56" s="623" t="s">
        <v>882</v>
      </c>
      <c r="AQ56" s="627">
        <v>7089327433</v>
      </c>
    </row>
    <row r="57" spans="1:43" x14ac:dyDescent="0.25">
      <c r="A57" s="625">
        <v>296</v>
      </c>
      <c r="B57" s="494" t="s">
        <v>686</v>
      </c>
      <c r="C57" s="625">
        <v>130</v>
      </c>
      <c r="D57" s="494" t="s">
        <v>1040</v>
      </c>
      <c r="E57" s="627">
        <v>9504584</v>
      </c>
      <c r="F57" s="627">
        <v>29442</v>
      </c>
      <c r="G57" s="494" t="s">
        <v>1044</v>
      </c>
      <c r="S57" s="629">
        <f t="shared" si="2"/>
        <v>0.47916666666666669</v>
      </c>
      <c r="T57" s="629">
        <f t="shared" si="3"/>
        <v>0.5</v>
      </c>
      <c r="U57" s="494" t="s">
        <v>913</v>
      </c>
      <c r="V57" s="620" t="str">
        <f>Lasalle_table[[#This Row],[TimeSlot_Start_text]]</f>
        <v>1130</v>
      </c>
      <c r="W57" s="621"/>
      <c r="X57" s="621" t="s">
        <v>707</v>
      </c>
      <c r="Y57" s="621"/>
      <c r="Z57" s="621"/>
      <c r="AA57" s="621"/>
      <c r="AB57" s="494" t="s">
        <v>1075</v>
      </c>
      <c r="AC57" s="494" t="s">
        <v>1045</v>
      </c>
      <c r="AD57" s="625" t="s">
        <v>1046</v>
      </c>
      <c r="AE57" s="627">
        <v>29429</v>
      </c>
      <c r="AF57" s="623" t="s">
        <v>1048</v>
      </c>
      <c r="AG57" s="627">
        <v>7085430566</v>
      </c>
      <c r="AH57" s="494" t="s">
        <v>1050</v>
      </c>
      <c r="AI57" s="625" t="s">
        <v>1051</v>
      </c>
      <c r="AK57" s="623" t="s">
        <v>1052</v>
      </c>
      <c r="AL57" s="627">
        <v>7089283086</v>
      </c>
      <c r="AM57" s="494" t="s">
        <v>786</v>
      </c>
      <c r="AN57" s="625" t="s">
        <v>901</v>
      </c>
      <c r="AO57" s="627">
        <v>22230</v>
      </c>
      <c r="AP57" s="623" t="s">
        <v>882</v>
      </c>
      <c r="AQ57" s="627">
        <v>7089327433</v>
      </c>
    </row>
    <row r="58" spans="1:43" ht="15" customHeight="1" x14ac:dyDescent="0.25">
      <c r="A58" s="625">
        <v>297</v>
      </c>
      <c r="B58" s="494" t="s">
        <v>686</v>
      </c>
      <c r="C58" s="625">
        <v>130</v>
      </c>
      <c r="D58" s="494" t="s">
        <v>1040</v>
      </c>
      <c r="E58" s="627">
        <v>9504584</v>
      </c>
      <c r="F58" s="627">
        <v>29442</v>
      </c>
      <c r="G58" s="494" t="s">
        <v>1044</v>
      </c>
      <c r="S58" s="629">
        <f t="shared" si="2"/>
        <v>0.5</v>
      </c>
      <c r="T58" s="629">
        <f t="shared" si="3"/>
        <v>0.52083333333333337</v>
      </c>
      <c r="U58" s="494" t="s">
        <v>914</v>
      </c>
      <c r="V58" s="620" t="str">
        <f>Lasalle_table[[#This Row],[TimeSlot_Start_text]]</f>
        <v>1200</v>
      </c>
      <c r="W58" s="621" t="s">
        <v>354</v>
      </c>
      <c r="X58" s="621" t="s">
        <v>354</v>
      </c>
      <c r="Y58" s="621" t="s">
        <v>354</v>
      </c>
      <c r="Z58" s="621" t="s">
        <v>354</v>
      </c>
      <c r="AA58" s="621" t="s">
        <v>354</v>
      </c>
      <c r="AB58" s="494" t="s">
        <v>1077</v>
      </c>
      <c r="AC58" s="494" t="s">
        <v>1045</v>
      </c>
      <c r="AD58" s="625" t="s">
        <v>1046</v>
      </c>
      <c r="AE58" s="627">
        <v>29429</v>
      </c>
      <c r="AF58" s="623" t="s">
        <v>1048</v>
      </c>
      <c r="AG58" s="627">
        <v>7085430566</v>
      </c>
      <c r="AH58" s="494" t="s">
        <v>1050</v>
      </c>
      <c r="AI58" s="625" t="s">
        <v>1051</v>
      </c>
      <c r="AK58" s="623" t="s">
        <v>1052</v>
      </c>
      <c r="AL58" s="627">
        <v>7089283086</v>
      </c>
      <c r="AM58" s="494" t="s">
        <v>786</v>
      </c>
      <c r="AN58" s="625" t="s">
        <v>901</v>
      </c>
      <c r="AO58" s="627">
        <v>22230</v>
      </c>
      <c r="AP58" s="623" t="s">
        <v>882</v>
      </c>
      <c r="AQ58" s="627">
        <v>7089327433</v>
      </c>
    </row>
    <row r="59" spans="1:43" ht="15.75" customHeight="1" x14ac:dyDescent="0.25">
      <c r="A59" s="625">
        <v>298</v>
      </c>
      <c r="B59" s="494" t="s">
        <v>686</v>
      </c>
      <c r="C59" s="625">
        <v>130</v>
      </c>
      <c r="D59" s="494" t="s">
        <v>1040</v>
      </c>
      <c r="E59" s="627">
        <v>9504584</v>
      </c>
      <c r="F59" s="627">
        <v>29442</v>
      </c>
      <c r="G59" s="494" t="s">
        <v>1044</v>
      </c>
      <c r="S59" s="629">
        <f t="shared" si="2"/>
        <v>0.52083333333333337</v>
      </c>
      <c r="T59" s="629">
        <f t="shared" si="3"/>
        <v>0.54166666666666674</v>
      </c>
      <c r="U59" s="494" t="s">
        <v>915</v>
      </c>
      <c r="V59" s="620" t="str">
        <f>Lasalle_table[[#This Row],[TimeSlot_Start_text]]</f>
        <v>1230</v>
      </c>
      <c r="W59" s="621" t="s">
        <v>354</v>
      </c>
      <c r="X59" s="621" t="s">
        <v>354</v>
      </c>
      <c r="Y59" s="621" t="s">
        <v>354</v>
      </c>
      <c r="Z59" s="621" t="s">
        <v>354</v>
      </c>
      <c r="AA59" s="621" t="s">
        <v>354</v>
      </c>
      <c r="AB59" s="494" t="s">
        <v>1078</v>
      </c>
      <c r="AC59" s="494" t="s">
        <v>1045</v>
      </c>
      <c r="AD59" s="625" t="s">
        <v>1046</v>
      </c>
      <c r="AE59" s="627">
        <v>29429</v>
      </c>
      <c r="AF59" s="623" t="s">
        <v>1048</v>
      </c>
      <c r="AG59" s="627">
        <v>7085430566</v>
      </c>
      <c r="AH59" s="494" t="s">
        <v>1050</v>
      </c>
      <c r="AI59" s="625" t="s">
        <v>1051</v>
      </c>
      <c r="AK59" s="623" t="s">
        <v>1052</v>
      </c>
      <c r="AL59" s="627">
        <v>7089283086</v>
      </c>
      <c r="AM59" s="494" t="s">
        <v>786</v>
      </c>
      <c r="AN59" s="625" t="s">
        <v>901</v>
      </c>
      <c r="AO59" s="627">
        <v>22230</v>
      </c>
      <c r="AP59" s="623" t="s">
        <v>882</v>
      </c>
      <c r="AQ59" s="627">
        <v>7089327433</v>
      </c>
    </row>
    <row r="60" spans="1:43" x14ac:dyDescent="0.25">
      <c r="A60" s="625">
        <v>299</v>
      </c>
      <c r="B60" s="494" t="s">
        <v>686</v>
      </c>
      <c r="C60" s="625">
        <v>130</v>
      </c>
      <c r="D60" s="494" t="s">
        <v>1040</v>
      </c>
      <c r="E60" s="627">
        <v>9504584</v>
      </c>
      <c r="F60" s="627">
        <v>29442</v>
      </c>
      <c r="G60" s="494" t="s">
        <v>1044</v>
      </c>
      <c r="S60" s="629">
        <f t="shared" si="2"/>
        <v>0.54166666666666663</v>
      </c>
      <c r="T60" s="629">
        <f t="shared" si="3"/>
        <v>0.5625</v>
      </c>
      <c r="U60" s="494" t="s">
        <v>916</v>
      </c>
      <c r="V60" s="620" t="str">
        <f>Lasalle_table[[#This Row],[TimeSlot_Start_text]]</f>
        <v>1300</v>
      </c>
      <c r="W60" s="621" t="s">
        <v>380</v>
      </c>
      <c r="X60" s="621" t="s">
        <v>707</v>
      </c>
      <c r="Y60" s="621" t="s">
        <v>707</v>
      </c>
      <c r="Z60" s="621"/>
      <c r="AA60" s="621"/>
      <c r="AB60" s="494" t="s">
        <v>1071</v>
      </c>
      <c r="AC60" s="494" t="s">
        <v>1045</v>
      </c>
      <c r="AD60" s="625" t="s">
        <v>1046</v>
      </c>
      <c r="AE60" s="627">
        <v>29429</v>
      </c>
      <c r="AF60" s="623" t="s">
        <v>1048</v>
      </c>
      <c r="AG60" s="627">
        <v>7085430566</v>
      </c>
      <c r="AH60" s="494" t="s">
        <v>1050</v>
      </c>
      <c r="AI60" s="625" t="s">
        <v>1051</v>
      </c>
      <c r="AK60" s="623" t="s">
        <v>1052</v>
      </c>
      <c r="AL60" s="627">
        <v>7089283086</v>
      </c>
      <c r="AM60" s="494" t="s">
        <v>786</v>
      </c>
      <c r="AN60" s="625" t="s">
        <v>901</v>
      </c>
      <c r="AO60" s="627">
        <v>22230</v>
      </c>
      <c r="AP60" s="623" t="s">
        <v>882</v>
      </c>
      <c r="AQ60" s="627">
        <v>7089327433</v>
      </c>
    </row>
    <row r="61" spans="1:43" x14ac:dyDescent="0.25">
      <c r="A61" s="625">
        <v>300</v>
      </c>
      <c r="B61" s="494" t="s">
        <v>686</v>
      </c>
      <c r="C61" s="625">
        <v>130</v>
      </c>
      <c r="D61" s="494" t="s">
        <v>1040</v>
      </c>
      <c r="E61" s="627">
        <v>9504584</v>
      </c>
      <c r="F61" s="627">
        <v>29442</v>
      </c>
      <c r="G61" s="494" t="s">
        <v>1044</v>
      </c>
      <c r="S61" s="629">
        <f t="shared" si="2"/>
        <v>0.5625</v>
      </c>
      <c r="T61" s="629">
        <f t="shared" si="3"/>
        <v>0.58333333333333337</v>
      </c>
      <c r="U61" s="494" t="s">
        <v>917</v>
      </c>
      <c r="V61" s="620" t="str">
        <f>Lasalle_table[[#This Row],[TimeSlot_Start_text]]</f>
        <v>1330</v>
      </c>
      <c r="W61" s="621" t="s">
        <v>380</v>
      </c>
      <c r="X61" s="621" t="s">
        <v>707</v>
      </c>
      <c r="Y61" s="621" t="s">
        <v>707</v>
      </c>
      <c r="Z61" s="621"/>
      <c r="AA61" s="621" t="s">
        <v>707</v>
      </c>
      <c r="AB61" s="494" t="s">
        <v>1072</v>
      </c>
      <c r="AC61" s="494" t="s">
        <v>1045</v>
      </c>
      <c r="AD61" s="625" t="s">
        <v>1046</v>
      </c>
      <c r="AE61" s="627">
        <v>29429</v>
      </c>
      <c r="AF61" s="623" t="s">
        <v>1048</v>
      </c>
      <c r="AG61" s="627">
        <v>7085430566</v>
      </c>
      <c r="AH61" s="494" t="s">
        <v>1050</v>
      </c>
      <c r="AI61" s="625" t="s">
        <v>1051</v>
      </c>
      <c r="AK61" s="623" t="s">
        <v>1052</v>
      </c>
      <c r="AL61" s="627">
        <v>7089283086</v>
      </c>
      <c r="AM61" s="494" t="s">
        <v>786</v>
      </c>
      <c r="AN61" s="625" t="s">
        <v>901</v>
      </c>
      <c r="AO61" s="627">
        <v>22230</v>
      </c>
      <c r="AP61" s="623" t="s">
        <v>882</v>
      </c>
      <c r="AQ61" s="627">
        <v>7089327433</v>
      </c>
    </row>
    <row r="62" spans="1:43" x14ac:dyDescent="0.25">
      <c r="A62" s="625">
        <v>301</v>
      </c>
      <c r="B62" s="494" t="s">
        <v>686</v>
      </c>
      <c r="C62" s="625">
        <v>130</v>
      </c>
      <c r="D62" s="494" t="s">
        <v>1040</v>
      </c>
      <c r="E62" s="627">
        <v>9504584</v>
      </c>
      <c r="F62" s="627">
        <v>29442</v>
      </c>
      <c r="G62" s="494" t="s">
        <v>1044</v>
      </c>
      <c r="S62" s="629">
        <f t="shared" si="2"/>
        <v>0.58333333333333337</v>
      </c>
      <c r="T62" s="629">
        <f t="shared" si="3"/>
        <v>0.60416666666666674</v>
      </c>
      <c r="U62" s="494" t="s">
        <v>918</v>
      </c>
      <c r="V62" s="620" t="str">
        <f>Lasalle_table[[#This Row],[TimeSlot_Start_text]]</f>
        <v>1400</v>
      </c>
      <c r="W62" s="621" t="s">
        <v>380</v>
      </c>
      <c r="X62" s="621" t="s">
        <v>707</v>
      </c>
      <c r="Y62" s="621" t="s">
        <v>707</v>
      </c>
      <c r="Z62" s="621"/>
      <c r="AA62" s="621" t="s">
        <v>707</v>
      </c>
      <c r="AB62" s="494" t="s">
        <v>1079</v>
      </c>
      <c r="AC62" s="494" t="s">
        <v>1045</v>
      </c>
      <c r="AD62" s="625" t="s">
        <v>1046</v>
      </c>
      <c r="AE62" s="627">
        <v>29429</v>
      </c>
      <c r="AF62" s="623" t="s">
        <v>1048</v>
      </c>
      <c r="AG62" s="627">
        <v>7085430566</v>
      </c>
      <c r="AH62" s="494" t="s">
        <v>1050</v>
      </c>
      <c r="AI62" s="625" t="s">
        <v>1051</v>
      </c>
      <c r="AK62" s="623" t="s">
        <v>1052</v>
      </c>
      <c r="AL62" s="627">
        <v>7089283086</v>
      </c>
      <c r="AM62" s="494" t="s">
        <v>786</v>
      </c>
      <c r="AN62" s="625" t="s">
        <v>901</v>
      </c>
      <c r="AO62" s="627">
        <v>22230</v>
      </c>
      <c r="AP62" s="623" t="s">
        <v>882</v>
      </c>
      <c r="AQ62" s="627">
        <v>7089327433</v>
      </c>
    </row>
    <row r="63" spans="1:43" x14ac:dyDescent="0.25">
      <c r="A63" s="625">
        <v>302</v>
      </c>
      <c r="B63" s="494" t="s">
        <v>686</v>
      </c>
      <c r="C63" s="625">
        <v>130</v>
      </c>
      <c r="D63" s="494" t="s">
        <v>1040</v>
      </c>
      <c r="E63" s="627">
        <v>9504584</v>
      </c>
      <c r="F63" s="627">
        <v>29442</v>
      </c>
      <c r="G63" s="494" t="s">
        <v>1044</v>
      </c>
      <c r="S63" s="629">
        <f t="shared" si="2"/>
        <v>0.60416666666666663</v>
      </c>
      <c r="T63" s="629">
        <f t="shared" si="3"/>
        <v>0.625</v>
      </c>
      <c r="U63" s="494" t="s">
        <v>919</v>
      </c>
      <c r="V63" s="620" t="str">
        <f>Lasalle_table[[#This Row],[TimeSlot_Start_text]]</f>
        <v>1430</v>
      </c>
      <c r="W63" s="621" t="s">
        <v>380</v>
      </c>
      <c r="X63" s="621" t="s">
        <v>707</v>
      </c>
      <c r="Y63" s="621" t="s">
        <v>707</v>
      </c>
      <c r="Z63" s="621"/>
      <c r="AA63" s="621" t="s">
        <v>707</v>
      </c>
      <c r="AB63" s="494" t="s">
        <v>1080</v>
      </c>
      <c r="AC63" s="494" t="s">
        <v>1045</v>
      </c>
      <c r="AD63" s="625" t="s">
        <v>1046</v>
      </c>
      <c r="AE63" s="627">
        <v>29429</v>
      </c>
      <c r="AF63" s="623" t="s">
        <v>1048</v>
      </c>
      <c r="AG63" s="627">
        <v>7085430566</v>
      </c>
      <c r="AH63" s="494" t="s">
        <v>1050</v>
      </c>
      <c r="AI63" s="625" t="s">
        <v>1051</v>
      </c>
      <c r="AK63" s="623" t="s">
        <v>1052</v>
      </c>
      <c r="AL63" s="627">
        <v>7089283086</v>
      </c>
      <c r="AM63" s="494" t="s">
        <v>786</v>
      </c>
      <c r="AN63" s="625" t="s">
        <v>901</v>
      </c>
      <c r="AO63" s="627">
        <v>22230</v>
      </c>
      <c r="AP63" s="623" t="s">
        <v>882</v>
      </c>
      <c r="AQ63" s="627">
        <v>7089327433</v>
      </c>
    </row>
    <row r="64" spans="1:43" x14ac:dyDescent="0.25">
      <c r="A64" s="625">
        <v>303</v>
      </c>
      <c r="B64" s="494" t="s">
        <v>686</v>
      </c>
      <c r="C64" s="625">
        <v>130</v>
      </c>
      <c r="D64" s="494" t="s">
        <v>1040</v>
      </c>
      <c r="E64" s="627">
        <v>9504584</v>
      </c>
      <c r="F64" s="627">
        <v>29442</v>
      </c>
      <c r="G64" s="494" t="s">
        <v>1044</v>
      </c>
      <c r="S64" s="629">
        <f t="shared" si="2"/>
        <v>0.625</v>
      </c>
      <c r="T64" s="629">
        <f t="shared" si="3"/>
        <v>0.64583333333333337</v>
      </c>
      <c r="U64" s="494" t="s">
        <v>920</v>
      </c>
      <c r="V64" s="620" t="str">
        <f>Lasalle_table[[#This Row],[TimeSlot_Start_text]]</f>
        <v>1500</v>
      </c>
      <c r="W64" s="621"/>
      <c r="X64" s="621" t="s">
        <v>707</v>
      </c>
      <c r="Y64" s="621" t="s">
        <v>707</v>
      </c>
      <c r="Z64" s="621"/>
      <c r="AA64" s="621" t="s">
        <v>707</v>
      </c>
      <c r="AB64" s="494" t="s">
        <v>1081</v>
      </c>
      <c r="AC64" s="494" t="s">
        <v>1045</v>
      </c>
      <c r="AD64" s="625" t="s">
        <v>1046</v>
      </c>
      <c r="AE64" s="627">
        <v>29429</v>
      </c>
      <c r="AF64" s="623" t="s">
        <v>1048</v>
      </c>
      <c r="AG64" s="627">
        <v>7085430566</v>
      </c>
      <c r="AH64" s="494" t="s">
        <v>1050</v>
      </c>
      <c r="AI64" s="625" t="s">
        <v>1051</v>
      </c>
      <c r="AK64" s="623" t="s">
        <v>1052</v>
      </c>
      <c r="AL64" s="627">
        <v>7089283086</v>
      </c>
      <c r="AM64" s="494" t="s">
        <v>786</v>
      </c>
      <c r="AN64" s="625" t="s">
        <v>901</v>
      </c>
      <c r="AO64" s="627">
        <v>22230</v>
      </c>
      <c r="AP64" s="623" t="s">
        <v>882</v>
      </c>
      <c r="AQ64" s="627">
        <v>7089327433</v>
      </c>
    </row>
    <row r="65" spans="1:43" x14ac:dyDescent="0.25">
      <c r="A65" s="625">
        <v>304</v>
      </c>
      <c r="B65" s="494" t="s">
        <v>686</v>
      </c>
      <c r="C65" s="625">
        <v>130</v>
      </c>
      <c r="D65" s="494" t="s">
        <v>1040</v>
      </c>
      <c r="E65" s="627">
        <v>9504584</v>
      </c>
      <c r="F65" s="627">
        <v>29442</v>
      </c>
      <c r="G65" s="494" t="s">
        <v>1044</v>
      </c>
      <c r="S65" s="629">
        <f t="shared" si="2"/>
        <v>0.64583333333333337</v>
      </c>
      <c r="T65" s="629">
        <f t="shared" si="3"/>
        <v>0.66666666666666674</v>
      </c>
      <c r="U65" s="494" t="s">
        <v>921</v>
      </c>
      <c r="V65" s="620" t="str">
        <f>Lasalle_table[[#This Row],[TimeSlot_Start_text]]</f>
        <v>1530</v>
      </c>
      <c r="W65" s="621"/>
      <c r="X65" s="621" t="s">
        <v>707</v>
      </c>
      <c r="Y65" s="621" t="s">
        <v>707</v>
      </c>
      <c r="Z65" s="621"/>
      <c r="AA65" s="621" t="s">
        <v>707</v>
      </c>
      <c r="AB65" s="494" t="s">
        <v>1082</v>
      </c>
      <c r="AC65" s="494" t="s">
        <v>1045</v>
      </c>
      <c r="AD65" s="625" t="s">
        <v>1046</v>
      </c>
      <c r="AE65" s="627">
        <v>29429</v>
      </c>
      <c r="AF65" s="623" t="s">
        <v>1048</v>
      </c>
      <c r="AG65" s="627">
        <v>7085430566</v>
      </c>
      <c r="AH65" s="494" t="s">
        <v>1050</v>
      </c>
      <c r="AI65" s="625" t="s">
        <v>1051</v>
      </c>
      <c r="AK65" s="623" t="s">
        <v>1052</v>
      </c>
      <c r="AL65" s="627">
        <v>7089283086</v>
      </c>
      <c r="AM65" s="494" t="s">
        <v>786</v>
      </c>
      <c r="AN65" s="625" t="s">
        <v>901</v>
      </c>
      <c r="AO65" s="627">
        <v>22230</v>
      </c>
      <c r="AP65" s="623" t="s">
        <v>882</v>
      </c>
      <c r="AQ65" s="627">
        <v>7089327433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F77A9-9A48-4CB2-950C-2EF34218A3D7}">
  <dimension ref="A1:AQ65"/>
  <sheetViews>
    <sheetView workbookViewId="0">
      <pane ySplit="1" topLeftCell="A2" activePane="bottomLeft" state="frozen"/>
      <selection pane="bottomLeft" activeCell="D20" sqref="D20"/>
    </sheetView>
  </sheetViews>
  <sheetFormatPr defaultRowHeight="15" x14ac:dyDescent="0.25"/>
  <cols>
    <col min="1" max="1" width="9.7109375" style="620" bestFit="1" customWidth="1"/>
    <col min="2" max="2" width="20.5703125" style="494" bestFit="1" customWidth="1"/>
    <col min="3" max="3" width="18" style="494" bestFit="1" customWidth="1"/>
    <col min="4" max="4" width="21.140625" style="494" bestFit="1" customWidth="1"/>
    <col min="5" max="5" width="24" style="627" bestFit="1" customWidth="1"/>
    <col min="6" max="6" width="29" style="627" bestFit="1" customWidth="1"/>
    <col min="7" max="7" width="24.85546875" style="494" bestFit="1" customWidth="1"/>
    <col min="8" max="8" width="18.140625" style="494" bestFit="1" customWidth="1"/>
    <col min="9" max="9" width="30.42578125" style="628" bestFit="1" customWidth="1"/>
    <col min="10" max="10" width="25.140625" style="494" bestFit="1" customWidth="1"/>
    <col min="11" max="11" width="34.7109375" style="632" bestFit="1" customWidth="1"/>
    <col min="12" max="12" width="34.140625" style="632" bestFit="1" customWidth="1"/>
    <col min="13" max="13" width="38.42578125" style="494" bestFit="1" customWidth="1"/>
    <col min="14" max="14" width="33.42578125" style="494" bestFit="1" customWidth="1"/>
    <col min="15" max="15" width="33.5703125" style="494" bestFit="1" customWidth="1"/>
    <col min="16" max="16" width="34.42578125" style="494" bestFit="1" customWidth="1"/>
    <col min="17" max="17" width="30.28515625" style="628" bestFit="1" customWidth="1"/>
    <col min="18" max="18" width="30" style="628" bestFit="1" customWidth="1"/>
    <col min="19" max="19" width="23.85546875" style="629" bestFit="1" customWidth="1"/>
    <col min="20" max="20" width="22.5703125" style="629" bestFit="1" customWidth="1"/>
    <col min="21" max="21" width="23.140625" style="494" bestFit="1" customWidth="1"/>
    <col min="22" max="22" width="27.140625" style="494" bestFit="1" customWidth="1"/>
    <col min="23" max="23" width="27.7109375" style="494" bestFit="1" customWidth="1"/>
    <col min="24" max="24" width="21.85546875" style="494" bestFit="1" customWidth="1"/>
    <col min="25" max="25" width="25" style="494" bestFit="1" customWidth="1"/>
    <col min="26" max="26" width="22.42578125" style="494" bestFit="1" customWidth="1"/>
    <col min="27" max="27" width="21.85546875" style="494" bestFit="1" customWidth="1"/>
    <col min="28" max="28" width="17.7109375" style="494" bestFit="1" customWidth="1"/>
    <col min="29" max="29" width="18.7109375" style="494" bestFit="1" customWidth="1"/>
    <col min="30" max="30" width="23.28515625" style="625" bestFit="1" customWidth="1"/>
    <col min="31" max="31" width="23.28515625" style="627" bestFit="1" customWidth="1"/>
    <col min="32" max="32" width="16.42578125" style="623" bestFit="1" customWidth="1"/>
    <col min="33" max="33" width="20.42578125" style="494" bestFit="1" customWidth="1"/>
    <col min="34" max="34" width="20.140625" style="494" bestFit="1" customWidth="1"/>
    <col min="35" max="35" width="25.5703125" style="625" bestFit="1" customWidth="1"/>
    <col min="36" max="36" width="24.7109375" style="627" bestFit="1" customWidth="1"/>
    <col min="37" max="37" width="17.7109375" style="623" bestFit="1" customWidth="1"/>
    <col min="38" max="38" width="21.7109375" style="627" bestFit="1" customWidth="1"/>
    <col min="39" max="39" width="18.5703125" style="494" bestFit="1" customWidth="1"/>
    <col min="40" max="40" width="21.7109375" style="625" bestFit="1" customWidth="1"/>
    <col min="41" max="41" width="23.140625" style="627" bestFit="1" customWidth="1"/>
    <col min="42" max="42" width="17.42578125" style="623" bestFit="1" customWidth="1"/>
    <col min="43" max="43" width="20.28515625" style="627" bestFit="1" customWidth="1"/>
    <col min="44" max="16384" width="9.140625" style="494"/>
  </cols>
  <sheetData>
    <row r="1" spans="1:43" s="495" customFormat="1" ht="15.75" x14ac:dyDescent="0.25">
      <c r="A1" s="619" t="s">
        <v>1093</v>
      </c>
      <c r="B1" s="495" t="s">
        <v>872</v>
      </c>
      <c r="C1" s="495" t="s">
        <v>971</v>
      </c>
      <c r="D1" s="495" t="s">
        <v>978</v>
      </c>
      <c r="E1" s="626" t="s">
        <v>1088</v>
      </c>
      <c r="F1" s="626" t="s">
        <v>1089</v>
      </c>
      <c r="G1" s="495" t="s">
        <v>886</v>
      </c>
      <c r="H1" s="495" t="s">
        <v>1094</v>
      </c>
      <c r="I1" s="633" t="s">
        <v>1103</v>
      </c>
      <c r="J1" s="495" t="s">
        <v>1104</v>
      </c>
      <c r="K1" s="631" t="s">
        <v>1100</v>
      </c>
      <c r="L1" s="631" t="s">
        <v>1097</v>
      </c>
      <c r="M1" s="495" t="s">
        <v>1098</v>
      </c>
      <c r="N1" s="495" t="s">
        <v>1101</v>
      </c>
      <c r="O1" s="495" t="s">
        <v>1099</v>
      </c>
      <c r="P1" s="495" t="s">
        <v>1102</v>
      </c>
      <c r="Q1" s="633" t="s">
        <v>1095</v>
      </c>
      <c r="R1" s="633" t="s">
        <v>1096</v>
      </c>
      <c r="S1" s="630" t="s">
        <v>1069</v>
      </c>
      <c r="T1" s="630" t="s">
        <v>1070</v>
      </c>
      <c r="U1" s="495" t="s">
        <v>905</v>
      </c>
      <c r="V1" s="619" t="s">
        <v>1087</v>
      </c>
      <c r="W1" s="495" t="s">
        <v>874</v>
      </c>
      <c r="X1" s="495" t="s">
        <v>875</v>
      </c>
      <c r="Y1" s="495" t="s">
        <v>876</v>
      </c>
      <c r="Z1" s="495" t="s">
        <v>877</v>
      </c>
      <c r="AA1" s="495" t="s">
        <v>878</v>
      </c>
      <c r="AB1" s="495" t="s">
        <v>873</v>
      </c>
      <c r="AC1" s="495" t="s">
        <v>888</v>
      </c>
      <c r="AD1" s="624" t="s">
        <v>889</v>
      </c>
      <c r="AE1" s="626" t="s">
        <v>1090</v>
      </c>
      <c r="AF1" s="622" t="s">
        <v>891</v>
      </c>
      <c r="AG1" s="495" t="s">
        <v>959</v>
      </c>
      <c r="AH1" s="495" t="s">
        <v>892</v>
      </c>
      <c r="AI1" s="624" t="s">
        <v>893</v>
      </c>
      <c r="AJ1" s="626" t="s">
        <v>1092</v>
      </c>
      <c r="AK1" s="622" t="s">
        <v>897</v>
      </c>
      <c r="AL1" s="626" t="s">
        <v>958</v>
      </c>
      <c r="AM1" s="495" t="s">
        <v>898</v>
      </c>
      <c r="AN1" s="624" t="s">
        <v>900</v>
      </c>
      <c r="AO1" s="626" t="s">
        <v>1091</v>
      </c>
      <c r="AP1" s="622" t="s">
        <v>940</v>
      </c>
      <c r="AQ1" s="619" t="s">
        <v>957</v>
      </c>
    </row>
    <row r="2" spans="1:43" ht="15" customHeight="1" x14ac:dyDescent="0.25">
      <c r="A2" s="625">
        <v>305</v>
      </c>
      <c r="B2" s="494" t="s">
        <v>783</v>
      </c>
      <c r="C2" s="625">
        <v>102</v>
      </c>
      <c r="D2" s="494" t="s">
        <v>871</v>
      </c>
      <c r="E2" s="627">
        <v>9504580</v>
      </c>
      <c r="F2" s="627">
        <v>29946</v>
      </c>
      <c r="G2" s="494" t="s">
        <v>887</v>
      </c>
      <c r="S2" s="629">
        <f t="shared" ref="S2:S17" si="0">TIME(LEFT(U2,2),RIGHT(U2,2),"00")</f>
        <v>0.33333333333333331</v>
      </c>
      <c r="T2" s="629">
        <f t="shared" ref="T2:T17" si="1">S2+(TIME("00","30","00"))</f>
        <v>0.35416666666666663</v>
      </c>
      <c r="U2" s="494" t="s">
        <v>906</v>
      </c>
      <c r="V2" s="620" t="str">
        <f>Oaklawn_table[[#This Row],[TimeSlot_Start_text]]</f>
        <v>0800</v>
      </c>
      <c r="W2" s="621" t="s">
        <v>381</v>
      </c>
      <c r="X2" s="621"/>
      <c r="Y2" s="621"/>
      <c r="Z2" s="621"/>
      <c r="AA2" s="621"/>
      <c r="AB2" s="494" t="s">
        <v>1083</v>
      </c>
      <c r="AC2" s="494" t="s">
        <v>879</v>
      </c>
      <c r="AD2" s="625" t="s">
        <v>895</v>
      </c>
      <c r="AE2" s="627">
        <v>29940</v>
      </c>
      <c r="AF2" s="623" t="s">
        <v>880</v>
      </c>
      <c r="AG2" s="627">
        <v>7082430448</v>
      </c>
      <c r="AH2" s="494" t="s">
        <v>881</v>
      </c>
      <c r="AI2" s="625" t="s">
        <v>894</v>
      </c>
      <c r="AJ2" s="627">
        <v>29941</v>
      </c>
      <c r="AM2" s="494" t="s">
        <v>786</v>
      </c>
      <c r="AN2" s="625" t="s">
        <v>901</v>
      </c>
      <c r="AO2" s="627">
        <v>22230</v>
      </c>
      <c r="AP2" s="623" t="s">
        <v>882</v>
      </c>
      <c r="AQ2" s="627">
        <v>7089327433</v>
      </c>
    </row>
    <row r="3" spans="1:43" ht="15" customHeight="1" x14ac:dyDescent="0.25">
      <c r="A3" s="625">
        <v>306</v>
      </c>
      <c r="B3" s="494" t="s">
        <v>783</v>
      </c>
      <c r="C3" s="625">
        <v>102</v>
      </c>
      <c r="D3" s="494" t="s">
        <v>871</v>
      </c>
      <c r="E3" s="627">
        <v>9504580</v>
      </c>
      <c r="F3" s="627">
        <v>29946</v>
      </c>
      <c r="G3" s="494" t="s">
        <v>887</v>
      </c>
      <c r="S3" s="629">
        <f t="shared" si="0"/>
        <v>0.35416666666666669</v>
      </c>
      <c r="T3" s="629">
        <f t="shared" si="1"/>
        <v>0.375</v>
      </c>
      <c r="U3" s="494" t="s">
        <v>907</v>
      </c>
      <c r="V3" s="620" t="str">
        <f>Oaklawn_table[[#This Row],[TimeSlot_Start_text]]</f>
        <v>0830</v>
      </c>
      <c r="W3" s="621"/>
      <c r="X3" s="621" t="s">
        <v>807</v>
      </c>
      <c r="Y3" s="621"/>
      <c r="Z3" s="621"/>
      <c r="AA3" s="621"/>
      <c r="AB3" s="494" t="s">
        <v>1084</v>
      </c>
      <c r="AC3" s="494" t="s">
        <v>879</v>
      </c>
      <c r="AD3" s="625" t="s">
        <v>895</v>
      </c>
      <c r="AE3" s="627">
        <v>29940</v>
      </c>
      <c r="AF3" s="623" t="s">
        <v>880</v>
      </c>
      <c r="AG3" s="627">
        <v>7082430448</v>
      </c>
      <c r="AH3" s="494" t="s">
        <v>881</v>
      </c>
      <c r="AI3" s="625" t="s">
        <v>894</v>
      </c>
      <c r="AJ3" s="627">
        <v>29941</v>
      </c>
      <c r="AM3" s="494" t="s">
        <v>786</v>
      </c>
      <c r="AN3" s="625" t="s">
        <v>901</v>
      </c>
      <c r="AO3" s="627">
        <v>22230</v>
      </c>
      <c r="AP3" s="623" t="s">
        <v>882</v>
      </c>
      <c r="AQ3" s="627">
        <v>7089327433</v>
      </c>
    </row>
    <row r="4" spans="1:43" ht="15" customHeight="1" x14ac:dyDescent="0.25">
      <c r="A4" s="625">
        <v>307</v>
      </c>
      <c r="B4" s="494" t="s">
        <v>783</v>
      </c>
      <c r="C4" s="625">
        <v>102</v>
      </c>
      <c r="D4" s="494" t="s">
        <v>871</v>
      </c>
      <c r="E4" s="627">
        <v>9504580</v>
      </c>
      <c r="F4" s="627">
        <v>29946</v>
      </c>
      <c r="G4" s="494" t="s">
        <v>887</v>
      </c>
      <c r="S4" s="629">
        <f t="shared" si="0"/>
        <v>0.375</v>
      </c>
      <c r="T4" s="629">
        <f t="shared" si="1"/>
        <v>0.39583333333333331</v>
      </c>
      <c r="U4" s="494" t="s">
        <v>908</v>
      </c>
      <c r="V4" s="620" t="str">
        <f>Oaklawn_table[[#This Row],[TimeSlot_Start_text]]</f>
        <v>0900</v>
      </c>
      <c r="W4" s="621"/>
      <c r="X4" s="621" t="s">
        <v>807</v>
      </c>
      <c r="Y4" s="621"/>
      <c r="Z4" s="621"/>
      <c r="AA4" s="621"/>
      <c r="AB4" s="494" t="s">
        <v>1085</v>
      </c>
      <c r="AC4" s="494" t="s">
        <v>879</v>
      </c>
      <c r="AD4" s="625" t="s">
        <v>895</v>
      </c>
      <c r="AE4" s="627">
        <v>29940</v>
      </c>
      <c r="AF4" s="623" t="s">
        <v>880</v>
      </c>
      <c r="AG4" s="627">
        <v>7082430448</v>
      </c>
      <c r="AH4" s="494" t="s">
        <v>881</v>
      </c>
      <c r="AI4" s="625" t="s">
        <v>894</v>
      </c>
      <c r="AJ4" s="627">
        <v>29941</v>
      </c>
      <c r="AM4" s="494" t="s">
        <v>786</v>
      </c>
      <c r="AN4" s="625" t="s">
        <v>901</v>
      </c>
      <c r="AO4" s="627">
        <v>22230</v>
      </c>
      <c r="AP4" s="623" t="s">
        <v>882</v>
      </c>
      <c r="AQ4" s="627">
        <v>7089327433</v>
      </c>
    </row>
    <row r="5" spans="1:43" ht="15" customHeight="1" x14ac:dyDescent="0.25">
      <c r="A5" s="625">
        <v>308</v>
      </c>
      <c r="B5" s="494" t="s">
        <v>783</v>
      </c>
      <c r="C5" s="625">
        <v>102</v>
      </c>
      <c r="D5" s="494" t="s">
        <v>871</v>
      </c>
      <c r="E5" s="627">
        <v>9504580</v>
      </c>
      <c r="F5" s="627">
        <v>29946</v>
      </c>
      <c r="G5" s="494" t="s">
        <v>887</v>
      </c>
      <c r="S5" s="629">
        <f t="shared" si="0"/>
        <v>0.39583333333333331</v>
      </c>
      <c r="T5" s="629">
        <f t="shared" si="1"/>
        <v>0.41666666666666663</v>
      </c>
      <c r="U5" s="494" t="s">
        <v>909</v>
      </c>
      <c r="V5" s="620" t="str">
        <f>Oaklawn_table[[#This Row],[TimeSlot_Start_text]]</f>
        <v>0930</v>
      </c>
      <c r="W5" s="621" t="s">
        <v>381</v>
      </c>
      <c r="X5" s="621" t="s">
        <v>807</v>
      </c>
      <c r="Y5" s="621"/>
      <c r="Z5" s="621"/>
      <c r="AA5" s="621"/>
      <c r="AB5" s="494" t="s">
        <v>1086</v>
      </c>
      <c r="AC5" s="494" t="s">
        <v>879</v>
      </c>
      <c r="AD5" s="625" t="s">
        <v>895</v>
      </c>
      <c r="AE5" s="627">
        <v>29940</v>
      </c>
      <c r="AF5" s="623" t="s">
        <v>880</v>
      </c>
      <c r="AG5" s="627">
        <v>7082430448</v>
      </c>
      <c r="AH5" s="494" t="s">
        <v>881</v>
      </c>
      <c r="AI5" s="625" t="s">
        <v>894</v>
      </c>
      <c r="AJ5" s="627">
        <v>29941</v>
      </c>
      <c r="AM5" s="494" t="s">
        <v>786</v>
      </c>
      <c r="AN5" s="625" t="s">
        <v>901</v>
      </c>
      <c r="AO5" s="627">
        <v>22230</v>
      </c>
      <c r="AP5" s="623" t="s">
        <v>882</v>
      </c>
      <c r="AQ5" s="627">
        <v>7089327433</v>
      </c>
    </row>
    <row r="6" spans="1:43" x14ac:dyDescent="0.25">
      <c r="A6" s="625">
        <v>309</v>
      </c>
      <c r="B6" s="494" t="s">
        <v>783</v>
      </c>
      <c r="C6" s="625">
        <v>102</v>
      </c>
      <c r="D6" s="494" t="s">
        <v>871</v>
      </c>
      <c r="E6" s="627">
        <v>9504580</v>
      </c>
      <c r="F6" s="627">
        <v>29946</v>
      </c>
      <c r="G6" s="494" t="s">
        <v>887</v>
      </c>
      <c r="S6" s="629">
        <f t="shared" si="0"/>
        <v>0.41666666666666669</v>
      </c>
      <c r="T6" s="629">
        <f t="shared" si="1"/>
        <v>0.4375</v>
      </c>
      <c r="U6" s="494" t="s">
        <v>910</v>
      </c>
      <c r="V6" s="620" t="str">
        <f>Oaklawn_table[[#This Row],[TimeSlot_Start_text]]</f>
        <v>1000</v>
      </c>
      <c r="W6" s="621"/>
      <c r="X6" s="621"/>
      <c r="Y6" s="621"/>
      <c r="Z6" s="621"/>
      <c r="AA6" s="621"/>
      <c r="AB6" s="494" t="s">
        <v>1073</v>
      </c>
      <c r="AC6" s="494" t="s">
        <v>879</v>
      </c>
      <c r="AD6" s="625" t="s">
        <v>895</v>
      </c>
      <c r="AE6" s="627">
        <v>29940</v>
      </c>
      <c r="AF6" s="623" t="s">
        <v>880</v>
      </c>
      <c r="AG6" s="627">
        <v>7082430448</v>
      </c>
      <c r="AH6" s="494" t="s">
        <v>881</v>
      </c>
      <c r="AI6" s="625" t="s">
        <v>894</v>
      </c>
      <c r="AJ6" s="627">
        <v>29941</v>
      </c>
      <c r="AM6" s="494" t="s">
        <v>786</v>
      </c>
      <c r="AN6" s="625" t="s">
        <v>901</v>
      </c>
      <c r="AO6" s="627">
        <v>22230</v>
      </c>
      <c r="AP6" s="623" t="s">
        <v>882</v>
      </c>
      <c r="AQ6" s="627">
        <v>7089327433</v>
      </c>
    </row>
    <row r="7" spans="1:43" x14ac:dyDescent="0.25">
      <c r="A7" s="625">
        <v>310</v>
      </c>
      <c r="B7" s="494" t="s">
        <v>783</v>
      </c>
      <c r="C7" s="625">
        <v>102</v>
      </c>
      <c r="D7" s="494" t="s">
        <v>871</v>
      </c>
      <c r="E7" s="627">
        <v>9504580</v>
      </c>
      <c r="F7" s="627">
        <v>29946</v>
      </c>
      <c r="G7" s="494" t="s">
        <v>887</v>
      </c>
      <c r="S7" s="629">
        <f t="shared" si="0"/>
        <v>0.4375</v>
      </c>
      <c r="T7" s="629">
        <f t="shared" si="1"/>
        <v>0.45833333333333331</v>
      </c>
      <c r="U7" s="494" t="s">
        <v>911</v>
      </c>
      <c r="V7" s="620" t="str">
        <f>Oaklawn_table[[#This Row],[TimeSlot_Start_text]]</f>
        <v>1030</v>
      </c>
      <c r="W7" s="621"/>
      <c r="X7" s="621" t="s">
        <v>807</v>
      </c>
      <c r="Y7" s="621"/>
      <c r="Z7" s="621"/>
      <c r="AA7" s="621"/>
      <c r="AB7" s="494" t="s">
        <v>1074</v>
      </c>
      <c r="AC7" s="494" t="s">
        <v>879</v>
      </c>
      <c r="AD7" s="625" t="s">
        <v>895</v>
      </c>
      <c r="AE7" s="627">
        <v>29940</v>
      </c>
      <c r="AF7" s="623" t="s">
        <v>880</v>
      </c>
      <c r="AG7" s="627">
        <v>7082430448</v>
      </c>
      <c r="AH7" s="494" t="s">
        <v>881</v>
      </c>
      <c r="AI7" s="625" t="s">
        <v>894</v>
      </c>
      <c r="AJ7" s="627">
        <v>29941</v>
      </c>
      <c r="AM7" s="494" t="s">
        <v>786</v>
      </c>
      <c r="AN7" s="625" t="s">
        <v>901</v>
      </c>
      <c r="AO7" s="627">
        <v>22230</v>
      </c>
      <c r="AP7" s="623" t="s">
        <v>882</v>
      </c>
      <c r="AQ7" s="627">
        <v>7089327433</v>
      </c>
    </row>
    <row r="8" spans="1:43" x14ac:dyDescent="0.25">
      <c r="A8" s="625">
        <v>311</v>
      </c>
      <c r="B8" s="494" t="s">
        <v>783</v>
      </c>
      <c r="C8" s="625">
        <v>102</v>
      </c>
      <c r="D8" s="494" t="s">
        <v>871</v>
      </c>
      <c r="E8" s="627">
        <v>9504580</v>
      </c>
      <c r="F8" s="627">
        <v>29946</v>
      </c>
      <c r="G8" s="494" t="s">
        <v>887</v>
      </c>
      <c r="S8" s="629">
        <f t="shared" si="0"/>
        <v>0.45833333333333331</v>
      </c>
      <c r="T8" s="629">
        <f t="shared" si="1"/>
        <v>0.47916666666666663</v>
      </c>
      <c r="U8" s="494" t="s">
        <v>912</v>
      </c>
      <c r="V8" s="620" t="str">
        <f>Oaklawn_table[[#This Row],[TimeSlot_Start_text]]</f>
        <v>1100</v>
      </c>
      <c r="W8" s="621" t="s">
        <v>815</v>
      </c>
      <c r="X8" s="621" t="s">
        <v>807</v>
      </c>
      <c r="Y8" s="621"/>
      <c r="Z8" s="621"/>
      <c r="AA8" s="621"/>
      <c r="AB8" s="494" t="s">
        <v>1076</v>
      </c>
      <c r="AC8" s="494" t="s">
        <v>879</v>
      </c>
      <c r="AD8" s="625" t="s">
        <v>895</v>
      </c>
      <c r="AE8" s="627">
        <v>29940</v>
      </c>
      <c r="AF8" s="623" t="s">
        <v>880</v>
      </c>
      <c r="AG8" s="627">
        <v>7082430448</v>
      </c>
      <c r="AH8" s="494" t="s">
        <v>881</v>
      </c>
      <c r="AI8" s="625" t="s">
        <v>894</v>
      </c>
      <c r="AJ8" s="627">
        <v>29941</v>
      </c>
      <c r="AM8" s="494" t="s">
        <v>786</v>
      </c>
      <c r="AN8" s="625" t="s">
        <v>901</v>
      </c>
      <c r="AO8" s="627">
        <v>22230</v>
      </c>
      <c r="AP8" s="623" t="s">
        <v>882</v>
      </c>
      <c r="AQ8" s="627">
        <v>7089327433</v>
      </c>
    </row>
    <row r="9" spans="1:43" x14ac:dyDescent="0.25">
      <c r="A9" s="625">
        <v>312</v>
      </c>
      <c r="B9" s="494" t="s">
        <v>783</v>
      </c>
      <c r="C9" s="625">
        <v>102</v>
      </c>
      <c r="D9" s="494" t="s">
        <v>871</v>
      </c>
      <c r="E9" s="627">
        <v>9504580</v>
      </c>
      <c r="F9" s="627">
        <v>29946</v>
      </c>
      <c r="G9" s="494" t="s">
        <v>887</v>
      </c>
      <c r="S9" s="629">
        <f t="shared" si="0"/>
        <v>0.47916666666666669</v>
      </c>
      <c r="T9" s="629">
        <f t="shared" si="1"/>
        <v>0.5</v>
      </c>
      <c r="U9" s="494" t="s">
        <v>913</v>
      </c>
      <c r="V9" s="620" t="str">
        <f>Oaklawn_table[[#This Row],[TimeSlot_Start_text]]</f>
        <v>1130</v>
      </c>
      <c r="W9" s="621" t="s">
        <v>815</v>
      </c>
      <c r="X9" s="621" t="s">
        <v>807</v>
      </c>
      <c r="Y9" s="621"/>
      <c r="Z9" s="621"/>
      <c r="AA9" s="621"/>
      <c r="AB9" s="494" t="s">
        <v>1075</v>
      </c>
      <c r="AC9" s="494" t="s">
        <v>879</v>
      </c>
      <c r="AD9" s="625" t="s">
        <v>895</v>
      </c>
      <c r="AE9" s="627">
        <v>29940</v>
      </c>
      <c r="AF9" s="623" t="s">
        <v>880</v>
      </c>
      <c r="AG9" s="627">
        <v>7082430448</v>
      </c>
      <c r="AH9" s="494" t="s">
        <v>881</v>
      </c>
      <c r="AI9" s="625" t="s">
        <v>894</v>
      </c>
      <c r="AJ9" s="627">
        <v>29941</v>
      </c>
      <c r="AM9" s="494" t="s">
        <v>786</v>
      </c>
      <c r="AN9" s="625" t="s">
        <v>901</v>
      </c>
      <c r="AO9" s="627">
        <v>22230</v>
      </c>
      <c r="AP9" s="623" t="s">
        <v>882</v>
      </c>
      <c r="AQ9" s="627">
        <v>7089327433</v>
      </c>
    </row>
    <row r="10" spans="1:43" ht="15" customHeight="1" x14ac:dyDescent="0.25">
      <c r="A10" s="625">
        <v>313</v>
      </c>
      <c r="B10" s="494" t="s">
        <v>783</v>
      </c>
      <c r="C10" s="625">
        <v>102</v>
      </c>
      <c r="D10" s="494" t="s">
        <v>871</v>
      </c>
      <c r="E10" s="627">
        <v>9504580</v>
      </c>
      <c r="F10" s="627">
        <v>29946</v>
      </c>
      <c r="G10" s="494" t="s">
        <v>887</v>
      </c>
      <c r="S10" s="629">
        <f t="shared" si="0"/>
        <v>0.5</v>
      </c>
      <c r="T10" s="629">
        <f t="shared" si="1"/>
        <v>0.52083333333333337</v>
      </c>
      <c r="U10" s="494" t="s">
        <v>914</v>
      </c>
      <c r="V10" s="620" t="str">
        <f>Oaklawn_table[[#This Row],[TimeSlot_Start_text]]</f>
        <v>1200</v>
      </c>
      <c r="W10" s="621" t="s">
        <v>354</v>
      </c>
      <c r="X10" s="621" t="s">
        <v>354</v>
      </c>
      <c r="Y10" s="621" t="s">
        <v>354</v>
      </c>
      <c r="Z10" s="621" t="s">
        <v>354</v>
      </c>
      <c r="AA10" s="621" t="s">
        <v>354</v>
      </c>
      <c r="AB10" s="494" t="s">
        <v>1077</v>
      </c>
      <c r="AC10" s="494" t="s">
        <v>879</v>
      </c>
      <c r="AD10" s="625" t="s">
        <v>895</v>
      </c>
      <c r="AE10" s="627">
        <v>29940</v>
      </c>
      <c r="AF10" s="623" t="s">
        <v>880</v>
      </c>
      <c r="AG10" s="627">
        <v>7082430448</v>
      </c>
      <c r="AH10" s="494" t="s">
        <v>881</v>
      </c>
      <c r="AI10" s="625" t="s">
        <v>894</v>
      </c>
      <c r="AJ10" s="627">
        <v>29941</v>
      </c>
      <c r="AM10" s="494" t="s">
        <v>786</v>
      </c>
      <c r="AN10" s="625" t="s">
        <v>901</v>
      </c>
      <c r="AO10" s="627">
        <v>22230</v>
      </c>
      <c r="AP10" s="623" t="s">
        <v>882</v>
      </c>
      <c r="AQ10" s="627">
        <v>7089327433</v>
      </c>
    </row>
    <row r="11" spans="1:43" ht="15.75" customHeight="1" x14ac:dyDescent="0.25">
      <c r="A11" s="625">
        <v>314</v>
      </c>
      <c r="B11" s="494" t="s">
        <v>783</v>
      </c>
      <c r="C11" s="625">
        <v>102</v>
      </c>
      <c r="D11" s="494" t="s">
        <v>871</v>
      </c>
      <c r="E11" s="627">
        <v>9504580</v>
      </c>
      <c r="F11" s="627">
        <v>29946</v>
      </c>
      <c r="G11" s="494" t="s">
        <v>887</v>
      </c>
      <c r="S11" s="629">
        <f t="shared" si="0"/>
        <v>0.52083333333333337</v>
      </c>
      <c r="T11" s="629">
        <f t="shared" si="1"/>
        <v>0.54166666666666674</v>
      </c>
      <c r="U11" s="494" t="s">
        <v>915</v>
      </c>
      <c r="V11" s="620" t="str">
        <f>Oaklawn_table[[#This Row],[TimeSlot_Start_text]]</f>
        <v>1230</v>
      </c>
      <c r="W11" s="621" t="s">
        <v>354</v>
      </c>
      <c r="X11" s="621" t="s">
        <v>354</v>
      </c>
      <c r="Y11" s="621" t="s">
        <v>354</v>
      </c>
      <c r="Z11" s="621" t="s">
        <v>354</v>
      </c>
      <c r="AA11" s="621" t="s">
        <v>354</v>
      </c>
      <c r="AB11" s="494" t="s">
        <v>1078</v>
      </c>
      <c r="AC11" s="494" t="s">
        <v>879</v>
      </c>
      <c r="AD11" s="625" t="s">
        <v>895</v>
      </c>
      <c r="AE11" s="627">
        <v>29940</v>
      </c>
      <c r="AF11" s="623" t="s">
        <v>880</v>
      </c>
      <c r="AG11" s="627">
        <v>7082430448</v>
      </c>
      <c r="AH11" s="494" t="s">
        <v>881</v>
      </c>
      <c r="AI11" s="625" t="s">
        <v>894</v>
      </c>
      <c r="AJ11" s="627">
        <v>29941</v>
      </c>
      <c r="AM11" s="494" t="s">
        <v>786</v>
      </c>
      <c r="AN11" s="625" t="s">
        <v>901</v>
      </c>
      <c r="AO11" s="627">
        <v>22230</v>
      </c>
      <c r="AP11" s="623" t="s">
        <v>882</v>
      </c>
      <c r="AQ11" s="627">
        <v>7089327433</v>
      </c>
    </row>
    <row r="12" spans="1:43" x14ac:dyDescent="0.25">
      <c r="A12" s="625">
        <v>315</v>
      </c>
      <c r="B12" s="494" t="s">
        <v>783</v>
      </c>
      <c r="C12" s="625">
        <v>102</v>
      </c>
      <c r="D12" s="494" t="s">
        <v>871</v>
      </c>
      <c r="E12" s="627">
        <v>9504580</v>
      </c>
      <c r="F12" s="627">
        <v>29946</v>
      </c>
      <c r="G12" s="494" t="s">
        <v>887</v>
      </c>
      <c r="S12" s="629">
        <f t="shared" si="0"/>
        <v>0.54166666666666663</v>
      </c>
      <c r="T12" s="629">
        <f t="shared" si="1"/>
        <v>0.5625</v>
      </c>
      <c r="U12" s="494" t="s">
        <v>916</v>
      </c>
      <c r="V12" s="620" t="str">
        <f>Oaklawn_table[[#This Row],[TimeSlot_Start_text]]</f>
        <v>1300</v>
      </c>
      <c r="W12" s="621"/>
      <c r="X12" s="621"/>
      <c r="Y12" s="621"/>
      <c r="Z12" s="621"/>
      <c r="AA12" s="621"/>
      <c r="AB12" s="494" t="s">
        <v>1071</v>
      </c>
      <c r="AC12" s="494" t="s">
        <v>879</v>
      </c>
      <c r="AD12" s="625" t="s">
        <v>895</v>
      </c>
      <c r="AE12" s="627">
        <v>29940</v>
      </c>
      <c r="AF12" s="623" t="s">
        <v>880</v>
      </c>
      <c r="AG12" s="627">
        <v>7082430448</v>
      </c>
      <c r="AH12" s="494" t="s">
        <v>881</v>
      </c>
      <c r="AI12" s="625" t="s">
        <v>894</v>
      </c>
      <c r="AJ12" s="627">
        <v>29941</v>
      </c>
      <c r="AM12" s="494" t="s">
        <v>786</v>
      </c>
      <c r="AN12" s="625" t="s">
        <v>901</v>
      </c>
      <c r="AO12" s="627">
        <v>22230</v>
      </c>
      <c r="AP12" s="623" t="s">
        <v>882</v>
      </c>
      <c r="AQ12" s="627">
        <v>7089327433</v>
      </c>
    </row>
    <row r="13" spans="1:43" x14ac:dyDescent="0.25">
      <c r="A13" s="625">
        <v>316</v>
      </c>
      <c r="B13" s="494" t="s">
        <v>783</v>
      </c>
      <c r="C13" s="625">
        <v>102</v>
      </c>
      <c r="D13" s="494" t="s">
        <v>871</v>
      </c>
      <c r="E13" s="627">
        <v>9504580</v>
      </c>
      <c r="F13" s="627">
        <v>29946</v>
      </c>
      <c r="G13" s="494" t="s">
        <v>887</v>
      </c>
      <c r="S13" s="629">
        <f t="shared" si="0"/>
        <v>0.5625</v>
      </c>
      <c r="T13" s="629">
        <f t="shared" si="1"/>
        <v>0.58333333333333337</v>
      </c>
      <c r="U13" s="494" t="s">
        <v>917</v>
      </c>
      <c r="V13" s="620" t="str">
        <f>Oaklawn_table[[#This Row],[TimeSlot_Start_text]]</f>
        <v>1330</v>
      </c>
      <c r="W13" s="621"/>
      <c r="X13" s="621" t="s">
        <v>807</v>
      </c>
      <c r="Y13" s="621"/>
      <c r="Z13" s="621"/>
      <c r="AA13" s="621" t="s">
        <v>807</v>
      </c>
      <c r="AB13" s="494" t="s">
        <v>1072</v>
      </c>
      <c r="AC13" s="494" t="s">
        <v>879</v>
      </c>
      <c r="AD13" s="625" t="s">
        <v>895</v>
      </c>
      <c r="AE13" s="627">
        <v>29940</v>
      </c>
      <c r="AF13" s="623" t="s">
        <v>880</v>
      </c>
      <c r="AG13" s="627">
        <v>7082430448</v>
      </c>
      <c r="AH13" s="494" t="s">
        <v>881</v>
      </c>
      <c r="AI13" s="625" t="s">
        <v>894</v>
      </c>
      <c r="AJ13" s="627">
        <v>29941</v>
      </c>
      <c r="AM13" s="494" t="s">
        <v>786</v>
      </c>
      <c r="AN13" s="625" t="s">
        <v>901</v>
      </c>
      <c r="AO13" s="627">
        <v>22230</v>
      </c>
      <c r="AP13" s="623" t="s">
        <v>882</v>
      </c>
      <c r="AQ13" s="627">
        <v>7089327433</v>
      </c>
    </row>
    <row r="14" spans="1:43" x14ac:dyDescent="0.25">
      <c r="A14" s="625">
        <v>317</v>
      </c>
      <c r="B14" s="494" t="s">
        <v>783</v>
      </c>
      <c r="C14" s="625">
        <v>102</v>
      </c>
      <c r="D14" s="494" t="s">
        <v>871</v>
      </c>
      <c r="E14" s="627">
        <v>9504580</v>
      </c>
      <c r="F14" s="627">
        <v>29946</v>
      </c>
      <c r="G14" s="494" t="s">
        <v>887</v>
      </c>
      <c r="S14" s="629">
        <f t="shared" si="0"/>
        <v>0.58333333333333337</v>
      </c>
      <c r="T14" s="629">
        <f t="shared" si="1"/>
        <v>0.60416666666666674</v>
      </c>
      <c r="U14" s="494" t="s">
        <v>918</v>
      </c>
      <c r="V14" s="620" t="str">
        <f>Oaklawn_table[[#This Row],[TimeSlot_Start_text]]</f>
        <v>1400</v>
      </c>
      <c r="W14" s="621"/>
      <c r="X14" s="621" t="s">
        <v>807</v>
      </c>
      <c r="Y14" s="621"/>
      <c r="Z14" s="621"/>
      <c r="AA14" s="621" t="s">
        <v>807</v>
      </c>
      <c r="AB14" s="494" t="s">
        <v>1079</v>
      </c>
      <c r="AC14" s="494" t="s">
        <v>879</v>
      </c>
      <c r="AD14" s="625" t="s">
        <v>895</v>
      </c>
      <c r="AE14" s="627">
        <v>29940</v>
      </c>
      <c r="AF14" s="623" t="s">
        <v>880</v>
      </c>
      <c r="AG14" s="627">
        <v>7082430448</v>
      </c>
      <c r="AH14" s="494" t="s">
        <v>881</v>
      </c>
      <c r="AI14" s="625" t="s">
        <v>894</v>
      </c>
      <c r="AJ14" s="627">
        <v>29941</v>
      </c>
      <c r="AM14" s="494" t="s">
        <v>786</v>
      </c>
      <c r="AN14" s="625" t="s">
        <v>901</v>
      </c>
      <c r="AO14" s="627">
        <v>22230</v>
      </c>
      <c r="AP14" s="623" t="s">
        <v>882</v>
      </c>
      <c r="AQ14" s="627">
        <v>7089327433</v>
      </c>
    </row>
    <row r="15" spans="1:43" x14ac:dyDescent="0.25">
      <c r="A15" s="625">
        <v>318</v>
      </c>
      <c r="B15" s="494" t="s">
        <v>783</v>
      </c>
      <c r="C15" s="625">
        <v>102</v>
      </c>
      <c r="D15" s="494" t="s">
        <v>871</v>
      </c>
      <c r="E15" s="627">
        <v>9504580</v>
      </c>
      <c r="F15" s="627">
        <v>29946</v>
      </c>
      <c r="G15" s="494" t="s">
        <v>887</v>
      </c>
      <c r="S15" s="629">
        <f t="shared" si="0"/>
        <v>0.60416666666666663</v>
      </c>
      <c r="T15" s="629">
        <f t="shared" si="1"/>
        <v>0.625</v>
      </c>
      <c r="U15" s="494" t="s">
        <v>919</v>
      </c>
      <c r="V15" s="620" t="str">
        <f>Oaklawn_table[[#This Row],[TimeSlot_Start_text]]</f>
        <v>1430</v>
      </c>
      <c r="W15" s="621"/>
      <c r="X15" s="621" t="s">
        <v>807</v>
      </c>
      <c r="Y15" s="621"/>
      <c r="Z15" s="621"/>
      <c r="AA15" s="621" t="s">
        <v>807</v>
      </c>
      <c r="AB15" s="494" t="s">
        <v>1080</v>
      </c>
      <c r="AC15" s="494" t="s">
        <v>879</v>
      </c>
      <c r="AD15" s="625" t="s">
        <v>895</v>
      </c>
      <c r="AE15" s="627">
        <v>29940</v>
      </c>
      <c r="AF15" s="623" t="s">
        <v>880</v>
      </c>
      <c r="AG15" s="627">
        <v>7082430448</v>
      </c>
      <c r="AH15" s="494" t="s">
        <v>881</v>
      </c>
      <c r="AI15" s="625" t="s">
        <v>894</v>
      </c>
      <c r="AJ15" s="627">
        <v>29941</v>
      </c>
      <c r="AM15" s="494" t="s">
        <v>786</v>
      </c>
      <c r="AN15" s="625" t="s">
        <v>901</v>
      </c>
      <c r="AO15" s="627">
        <v>22230</v>
      </c>
      <c r="AP15" s="623" t="s">
        <v>882</v>
      </c>
      <c r="AQ15" s="627">
        <v>7089327433</v>
      </c>
    </row>
    <row r="16" spans="1:43" x14ac:dyDescent="0.25">
      <c r="A16" s="625">
        <v>319</v>
      </c>
      <c r="B16" s="494" t="s">
        <v>783</v>
      </c>
      <c r="C16" s="625">
        <v>102</v>
      </c>
      <c r="D16" s="494" t="s">
        <v>871</v>
      </c>
      <c r="E16" s="627">
        <v>9504580</v>
      </c>
      <c r="F16" s="627">
        <v>29946</v>
      </c>
      <c r="G16" s="494" t="s">
        <v>887</v>
      </c>
      <c r="S16" s="629">
        <f t="shared" si="0"/>
        <v>0.625</v>
      </c>
      <c r="T16" s="629">
        <f t="shared" si="1"/>
        <v>0.64583333333333337</v>
      </c>
      <c r="U16" s="494" t="s">
        <v>920</v>
      </c>
      <c r="V16" s="620" t="str">
        <f>Oaklawn_table[[#This Row],[TimeSlot_Start_text]]</f>
        <v>1500</v>
      </c>
      <c r="W16" s="621"/>
      <c r="X16" s="621" t="s">
        <v>807</v>
      </c>
      <c r="Y16" s="621"/>
      <c r="Z16" s="621"/>
      <c r="AA16" s="621" t="s">
        <v>807</v>
      </c>
      <c r="AB16" s="494" t="s">
        <v>1081</v>
      </c>
      <c r="AC16" s="494" t="s">
        <v>879</v>
      </c>
      <c r="AD16" s="625" t="s">
        <v>895</v>
      </c>
      <c r="AE16" s="627">
        <v>29940</v>
      </c>
      <c r="AF16" s="623" t="s">
        <v>880</v>
      </c>
      <c r="AG16" s="627">
        <v>7082430448</v>
      </c>
      <c r="AH16" s="494" t="s">
        <v>881</v>
      </c>
      <c r="AI16" s="625" t="s">
        <v>894</v>
      </c>
      <c r="AJ16" s="627">
        <v>29941</v>
      </c>
      <c r="AM16" s="494" t="s">
        <v>786</v>
      </c>
      <c r="AN16" s="625" t="s">
        <v>901</v>
      </c>
      <c r="AO16" s="627">
        <v>22230</v>
      </c>
      <c r="AP16" s="623" t="s">
        <v>882</v>
      </c>
      <c r="AQ16" s="627">
        <v>7089327433</v>
      </c>
    </row>
    <row r="17" spans="1:43" x14ac:dyDescent="0.25">
      <c r="A17" s="625">
        <v>320</v>
      </c>
      <c r="B17" s="494" t="s">
        <v>783</v>
      </c>
      <c r="C17" s="625">
        <v>102</v>
      </c>
      <c r="D17" s="494" t="s">
        <v>871</v>
      </c>
      <c r="E17" s="627">
        <v>9504580</v>
      </c>
      <c r="F17" s="627">
        <v>29946</v>
      </c>
      <c r="G17" s="494" t="s">
        <v>887</v>
      </c>
      <c r="S17" s="629">
        <f t="shared" si="0"/>
        <v>0.64583333333333337</v>
      </c>
      <c r="T17" s="629">
        <f t="shared" si="1"/>
        <v>0.66666666666666674</v>
      </c>
      <c r="U17" s="494" t="s">
        <v>921</v>
      </c>
      <c r="V17" s="620" t="str">
        <f>Oaklawn_table[[#This Row],[TimeSlot_Start_text]]</f>
        <v>1530</v>
      </c>
      <c r="W17" s="621"/>
      <c r="X17" s="621" t="s">
        <v>807</v>
      </c>
      <c r="Y17" s="621"/>
      <c r="Z17" s="621"/>
      <c r="AA17" s="621" t="s">
        <v>807</v>
      </c>
      <c r="AB17" s="494" t="s">
        <v>1082</v>
      </c>
      <c r="AC17" s="494" t="s">
        <v>879</v>
      </c>
      <c r="AD17" s="625" t="s">
        <v>895</v>
      </c>
      <c r="AE17" s="627">
        <v>29940</v>
      </c>
      <c r="AF17" s="623" t="s">
        <v>880</v>
      </c>
      <c r="AG17" s="627">
        <v>7082430448</v>
      </c>
      <c r="AH17" s="494" t="s">
        <v>881</v>
      </c>
      <c r="AI17" s="625" t="s">
        <v>894</v>
      </c>
      <c r="AJ17" s="627">
        <v>29941</v>
      </c>
      <c r="AM17" s="494" t="s">
        <v>786</v>
      </c>
      <c r="AN17" s="625" t="s">
        <v>901</v>
      </c>
      <c r="AO17" s="627">
        <v>22230</v>
      </c>
      <c r="AP17" s="623" t="s">
        <v>882</v>
      </c>
      <c r="AQ17" s="627">
        <v>7089327433</v>
      </c>
    </row>
    <row r="18" spans="1:43" ht="15" customHeight="1" x14ac:dyDescent="0.25">
      <c r="A18" s="625">
        <v>321</v>
      </c>
      <c r="B18" s="494" t="s">
        <v>783</v>
      </c>
      <c r="C18" s="625">
        <v>103</v>
      </c>
      <c r="D18" s="494" t="s">
        <v>903</v>
      </c>
      <c r="E18" s="627">
        <v>9504585</v>
      </c>
      <c r="F18" s="627">
        <v>29947</v>
      </c>
      <c r="G18" s="494" t="s">
        <v>904</v>
      </c>
      <c r="S18" s="629">
        <f t="shared" ref="S18:S65" si="2">TIME(LEFT(U18,2),RIGHT(U18,2),"00")</f>
        <v>0.33333333333333331</v>
      </c>
      <c r="T18" s="629">
        <f t="shared" ref="T18:T65" si="3">S18+(TIME("00","30","00"))</f>
        <v>0.35416666666666663</v>
      </c>
      <c r="U18" s="494" t="s">
        <v>906</v>
      </c>
      <c r="V18" s="620" t="str">
        <f>Oaklawn_table[[#This Row],[TimeSlot_Start_text]]</f>
        <v>0800</v>
      </c>
      <c r="W18" s="621" t="s">
        <v>805</v>
      </c>
      <c r="X18" s="621" t="s">
        <v>805</v>
      </c>
      <c r="Y18" s="621"/>
      <c r="Z18" s="621"/>
      <c r="AA18" s="621"/>
      <c r="AB18" s="494" t="s">
        <v>1083</v>
      </c>
      <c r="AC18" s="494" t="s">
        <v>879</v>
      </c>
      <c r="AD18" s="625" t="s">
        <v>895</v>
      </c>
      <c r="AE18" s="627">
        <v>29940</v>
      </c>
      <c r="AF18" s="623" t="s">
        <v>880</v>
      </c>
      <c r="AG18" s="627">
        <v>7082430448</v>
      </c>
      <c r="AH18" s="494" t="s">
        <v>881</v>
      </c>
      <c r="AI18" s="625" t="s">
        <v>894</v>
      </c>
      <c r="AJ18" s="627">
        <v>29941</v>
      </c>
      <c r="AM18" s="494" t="s">
        <v>786</v>
      </c>
      <c r="AN18" s="625" t="s">
        <v>901</v>
      </c>
      <c r="AO18" s="627">
        <v>22230</v>
      </c>
      <c r="AP18" s="623" t="s">
        <v>882</v>
      </c>
      <c r="AQ18" s="627">
        <v>7089327433</v>
      </c>
    </row>
    <row r="19" spans="1:43" ht="15" customHeight="1" x14ac:dyDescent="0.25">
      <c r="A19" s="625">
        <v>322</v>
      </c>
      <c r="B19" s="494" t="s">
        <v>783</v>
      </c>
      <c r="C19" s="625">
        <v>103</v>
      </c>
      <c r="D19" s="494" t="s">
        <v>903</v>
      </c>
      <c r="E19" s="627">
        <v>9504585</v>
      </c>
      <c r="F19" s="627">
        <v>29947</v>
      </c>
      <c r="G19" s="494" t="s">
        <v>904</v>
      </c>
      <c r="S19" s="629">
        <f t="shared" si="2"/>
        <v>0.35416666666666669</v>
      </c>
      <c r="T19" s="629">
        <f t="shared" si="3"/>
        <v>0.375</v>
      </c>
      <c r="U19" s="494" t="s">
        <v>907</v>
      </c>
      <c r="V19" s="620" t="str">
        <f>Oaklawn_table[[#This Row],[TimeSlot_Start_text]]</f>
        <v>0830</v>
      </c>
      <c r="W19" s="621" t="s">
        <v>805</v>
      </c>
      <c r="X19" s="621" t="s">
        <v>805</v>
      </c>
      <c r="Y19" s="621"/>
      <c r="Z19" s="621"/>
      <c r="AA19" s="621"/>
      <c r="AB19" s="494" t="s">
        <v>1084</v>
      </c>
      <c r="AC19" s="494" t="s">
        <v>879</v>
      </c>
      <c r="AD19" s="625" t="s">
        <v>895</v>
      </c>
      <c r="AE19" s="627">
        <v>29940</v>
      </c>
      <c r="AF19" s="623" t="s">
        <v>880</v>
      </c>
      <c r="AG19" s="627">
        <v>7082430448</v>
      </c>
      <c r="AH19" s="494" t="s">
        <v>881</v>
      </c>
      <c r="AI19" s="625" t="s">
        <v>894</v>
      </c>
      <c r="AJ19" s="627">
        <v>29941</v>
      </c>
      <c r="AM19" s="494" t="s">
        <v>786</v>
      </c>
      <c r="AN19" s="625" t="s">
        <v>901</v>
      </c>
      <c r="AO19" s="627">
        <v>22230</v>
      </c>
      <c r="AP19" s="623" t="s">
        <v>882</v>
      </c>
      <c r="AQ19" s="627">
        <v>7089327433</v>
      </c>
    </row>
    <row r="20" spans="1:43" ht="15" customHeight="1" x14ac:dyDescent="0.25">
      <c r="A20" s="625">
        <v>323</v>
      </c>
      <c r="B20" s="494" t="s">
        <v>783</v>
      </c>
      <c r="C20" s="625">
        <v>103</v>
      </c>
      <c r="D20" s="494" t="s">
        <v>903</v>
      </c>
      <c r="E20" s="627">
        <v>9504585</v>
      </c>
      <c r="F20" s="627">
        <v>29947</v>
      </c>
      <c r="G20" s="494" t="s">
        <v>904</v>
      </c>
      <c r="S20" s="629">
        <f t="shared" si="2"/>
        <v>0.375</v>
      </c>
      <c r="T20" s="629">
        <f t="shared" si="3"/>
        <v>0.39583333333333331</v>
      </c>
      <c r="U20" s="494" t="s">
        <v>908</v>
      </c>
      <c r="V20" s="620" t="str">
        <f>Oaklawn_table[[#This Row],[TimeSlot_Start_text]]</f>
        <v>0900</v>
      </c>
      <c r="W20" s="621" t="s">
        <v>805</v>
      </c>
      <c r="X20" s="621" t="s">
        <v>805</v>
      </c>
      <c r="Y20" s="621"/>
      <c r="Z20" s="621"/>
      <c r="AA20" s="621"/>
      <c r="AB20" s="494" t="s">
        <v>1085</v>
      </c>
      <c r="AC20" s="494" t="s">
        <v>879</v>
      </c>
      <c r="AD20" s="625" t="s">
        <v>895</v>
      </c>
      <c r="AE20" s="627">
        <v>29940</v>
      </c>
      <c r="AF20" s="623" t="s">
        <v>880</v>
      </c>
      <c r="AG20" s="627">
        <v>7082430448</v>
      </c>
      <c r="AH20" s="494" t="s">
        <v>881</v>
      </c>
      <c r="AI20" s="625" t="s">
        <v>894</v>
      </c>
      <c r="AJ20" s="627">
        <v>29941</v>
      </c>
      <c r="AM20" s="494" t="s">
        <v>786</v>
      </c>
      <c r="AN20" s="625" t="s">
        <v>901</v>
      </c>
      <c r="AO20" s="627">
        <v>22230</v>
      </c>
      <c r="AP20" s="623" t="s">
        <v>882</v>
      </c>
      <c r="AQ20" s="627">
        <v>7089327433</v>
      </c>
    </row>
    <row r="21" spans="1:43" ht="15" customHeight="1" x14ac:dyDescent="0.25">
      <c r="A21" s="625">
        <v>324</v>
      </c>
      <c r="B21" s="494" t="s">
        <v>783</v>
      </c>
      <c r="C21" s="625">
        <v>103</v>
      </c>
      <c r="D21" s="494" t="s">
        <v>903</v>
      </c>
      <c r="E21" s="627">
        <v>9504585</v>
      </c>
      <c r="F21" s="627">
        <v>29947</v>
      </c>
      <c r="G21" s="494" t="s">
        <v>904</v>
      </c>
      <c r="S21" s="629">
        <f t="shared" si="2"/>
        <v>0.39583333333333331</v>
      </c>
      <c r="T21" s="629">
        <f t="shared" si="3"/>
        <v>0.41666666666666663</v>
      </c>
      <c r="U21" s="494" t="s">
        <v>909</v>
      </c>
      <c r="V21" s="620" t="str">
        <f>Oaklawn_table[[#This Row],[TimeSlot_Start_text]]</f>
        <v>0930</v>
      </c>
      <c r="W21" s="621" t="s">
        <v>805</v>
      </c>
      <c r="X21" s="621" t="s">
        <v>805</v>
      </c>
      <c r="Y21" s="621"/>
      <c r="Z21" s="621"/>
      <c r="AA21" s="621"/>
      <c r="AB21" s="494" t="s">
        <v>1086</v>
      </c>
      <c r="AC21" s="494" t="s">
        <v>879</v>
      </c>
      <c r="AD21" s="625" t="s">
        <v>895</v>
      </c>
      <c r="AE21" s="627">
        <v>29940</v>
      </c>
      <c r="AF21" s="623" t="s">
        <v>880</v>
      </c>
      <c r="AG21" s="627">
        <v>7082430448</v>
      </c>
      <c r="AH21" s="494" t="s">
        <v>881</v>
      </c>
      <c r="AI21" s="625" t="s">
        <v>894</v>
      </c>
      <c r="AJ21" s="627">
        <v>29941</v>
      </c>
      <c r="AM21" s="494" t="s">
        <v>786</v>
      </c>
      <c r="AN21" s="625" t="s">
        <v>901</v>
      </c>
      <c r="AO21" s="627">
        <v>22230</v>
      </c>
      <c r="AP21" s="623" t="s">
        <v>882</v>
      </c>
      <c r="AQ21" s="627">
        <v>7089327433</v>
      </c>
    </row>
    <row r="22" spans="1:43" x14ac:dyDescent="0.25">
      <c r="A22" s="625">
        <v>325</v>
      </c>
      <c r="B22" s="494" t="s">
        <v>783</v>
      </c>
      <c r="C22" s="625">
        <v>103</v>
      </c>
      <c r="D22" s="494" t="s">
        <v>903</v>
      </c>
      <c r="E22" s="627">
        <v>9504585</v>
      </c>
      <c r="F22" s="627">
        <v>29947</v>
      </c>
      <c r="G22" s="494" t="s">
        <v>904</v>
      </c>
      <c r="S22" s="629">
        <f t="shared" si="2"/>
        <v>0.41666666666666669</v>
      </c>
      <c r="T22" s="629">
        <f t="shared" si="3"/>
        <v>0.4375</v>
      </c>
      <c r="U22" s="494" t="s">
        <v>910</v>
      </c>
      <c r="V22" s="620" t="str">
        <f>Oaklawn_table[[#This Row],[TimeSlot_Start_text]]</f>
        <v>1000</v>
      </c>
      <c r="W22" s="621"/>
      <c r="X22" s="621"/>
      <c r="Y22" s="621"/>
      <c r="Z22" s="621"/>
      <c r="AA22" s="621"/>
      <c r="AB22" s="494" t="s">
        <v>1073</v>
      </c>
      <c r="AC22" s="494" t="s">
        <v>879</v>
      </c>
      <c r="AD22" s="625" t="s">
        <v>895</v>
      </c>
      <c r="AE22" s="627">
        <v>29940</v>
      </c>
      <c r="AF22" s="623" t="s">
        <v>880</v>
      </c>
      <c r="AG22" s="627">
        <v>7082430448</v>
      </c>
      <c r="AH22" s="494" t="s">
        <v>881</v>
      </c>
      <c r="AI22" s="625" t="s">
        <v>894</v>
      </c>
      <c r="AJ22" s="627">
        <v>29941</v>
      </c>
      <c r="AM22" s="494" t="s">
        <v>786</v>
      </c>
      <c r="AN22" s="625" t="s">
        <v>901</v>
      </c>
      <c r="AO22" s="627">
        <v>22230</v>
      </c>
      <c r="AP22" s="623" t="s">
        <v>882</v>
      </c>
      <c r="AQ22" s="627">
        <v>7089327433</v>
      </c>
    </row>
    <row r="23" spans="1:43" x14ac:dyDescent="0.25">
      <c r="A23" s="625">
        <v>326</v>
      </c>
      <c r="B23" s="494" t="s">
        <v>783</v>
      </c>
      <c r="C23" s="625">
        <v>103</v>
      </c>
      <c r="D23" s="494" t="s">
        <v>903</v>
      </c>
      <c r="E23" s="627">
        <v>9504585</v>
      </c>
      <c r="F23" s="627">
        <v>29947</v>
      </c>
      <c r="G23" s="494" t="s">
        <v>904</v>
      </c>
      <c r="S23" s="629">
        <f t="shared" si="2"/>
        <v>0.4375</v>
      </c>
      <c r="T23" s="629">
        <f t="shared" si="3"/>
        <v>0.45833333333333331</v>
      </c>
      <c r="U23" s="494" t="s">
        <v>911</v>
      </c>
      <c r="V23" s="620" t="str">
        <f>Oaklawn_table[[#This Row],[TimeSlot_Start_text]]</f>
        <v>1030</v>
      </c>
      <c r="W23" s="621" t="s">
        <v>805</v>
      </c>
      <c r="X23" s="621" t="s">
        <v>805</v>
      </c>
      <c r="Y23" s="621"/>
      <c r="Z23" s="621"/>
      <c r="AA23" s="621"/>
      <c r="AB23" s="494" t="s">
        <v>1074</v>
      </c>
      <c r="AC23" s="494" t="s">
        <v>879</v>
      </c>
      <c r="AD23" s="625" t="s">
        <v>895</v>
      </c>
      <c r="AE23" s="627">
        <v>29940</v>
      </c>
      <c r="AF23" s="623" t="s">
        <v>880</v>
      </c>
      <c r="AG23" s="627">
        <v>7082430448</v>
      </c>
      <c r="AH23" s="494" t="s">
        <v>881</v>
      </c>
      <c r="AI23" s="625" t="s">
        <v>894</v>
      </c>
      <c r="AJ23" s="627">
        <v>29941</v>
      </c>
      <c r="AM23" s="494" t="s">
        <v>786</v>
      </c>
      <c r="AN23" s="625" t="s">
        <v>901</v>
      </c>
      <c r="AO23" s="627">
        <v>22230</v>
      </c>
      <c r="AP23" s="623" t="s">
        <v>882</v>
      </c>
      <c r="AQ23" s="627">
        <v>7089327433</v>
      </c>
    </row>
    <row r="24" spans="1:43" x14ac:dyDescent="0.25">
      <c r="A24" s="625">
        <v>327</v>
      </c>
      <c r="B24" s="494" t="s">
        <v>783</v>
      </c>
      <c r="C24" s="625">
        <v>103</v>
      </c>
      <c r="D24" s="494" t="s">
        <v>903</v>
      </c>
      <c r="E24" s="627">
        <v>9504585</v>
      </c>
      <c r="F24" s="627">
        <v>29947</v>
      </c>
      <c r="G24" s="494" t="s">
        <v>904</v>
      </c>
      <c r="S24" s="629">
        <f t="shared" si="2"/>
        <v>0.45833333333333331</v>
      </c>
      <c r="T24" s="629">
        <f t="shared" si="3"/>
        <v>0.47916666666666663</v>
      </c>
      <c r="U24" s="494" t="s">
        <v>912</v>
      </c>
      <c r="V24" s="620" t="str">
        <f>Oaklawn_table[[#This Row],[TimeSlot_Start_text]]</f>
        <v>1100</v>
      </c>
      <c r="W24" s="621" t="s">
        <v>805</v>
      </c>
      <c r="X24" s="621" t="s">
        <v>805</v>
      </c>
      <c r="Y24" s="621"/>
      <c r="Z24" s="621"/>
      <c r="AA24" s="621"/>
      <c r="AB24" s="494" t="s">
        <v>1076</v>
      </c>
      <c r="AC24" s="494" t="s">
        <v>879</v>
      </c>
      <c r="AD24" s="625" t="s">
        <v>895</v>
      </c>
      <c r="AE24" s="627">
        <v>29940</v>
      </c>
      <c r="AF24" s="623" t="s">
        <v>880</v>
      </c>
      <c r="AG24" s="627">
        <v>7082430448</v>
      </c>
      <c r="AH24" s="494" t="s">
        <v>881</v>
      </c>
      <c r="AI24" s="625" t="s">
        <v>894</v>
      </c>
      <c r="AJ24" s="627">
        <v>29941</v>
      </c>
      <c r="AM24" s="494" t="s">
        <v>786</v>
      </c>
      <c r="AN24" s="625" t="s">
        <v>901</v>
      </c>
      <c r="AO24" s="627">
        <v>22230</v>
      </c>
      <c r="AP24" s="623" t="s">
        <v>882</v>
      </c>
      <c r="AQ24" s="627">
        <v>7089327433</v>
      </c>
    </row>
    <row r="25" spans="1:43" x14ac:dyDescent="0.25">
      <c r="A25" s="625">
        <v>328</v>
      </c>
      <c r="B25" s="494" t="s">
        <v>783</v>
      </c>
      <c r="C25" s="625">
        <v>103</v>
      </c>
      <c r="D25" s="494" t="s">
        <v>903</v>
      </c>
      <c r="E25" s="627">
        <v>9504585</v>
      </c>
      <c r="F25" s="627">
        <v>29947</v>
      </c>
      <c r="G25" s="494" t="s">
        <v>904</v>
      </c>
      <c r="S25" s="629">
        <f t="shared" si="2"/>
        <v>0.47916666666666669</v>
      </c>
      <c r="T25" s="629">
        <f t="shared" si="3"/>
        <v>0.5</v>
      </c>
      <c r="U25" s="494" t="s">
        <v>913</v>
      </c>
      <c r="V25" s="620" t="str">
        <f>Oaklawn_table[[#This Row],[TimeSlot_Start_text]]</f>
        <v>1130</v>
      </c>
      <c r="W25" s="621"/>
      <c r="X25" s="621"/>
      <c r="Y25" s="621"/>
      <c r="Z25" s="621"/>
      <c r="AA25" s="621"/>
      <c r="AB25" s="494" t="s">
        <v>1075</v>
      </c>
      <c r="AC25" s="494" t="s">
        <v>879</v>
      </c>
      <c r="AD25" s="625" t="s">
        <v>895</v>
      </c>
      <c r="AE25" s="627">
        <v>29940</v>
      </c>
      <c r="AF25" s="623" t="s">
        <v>880</v>
      </c>
      <c r="AG25" s="627">
        <v>7082430448</v>
      </c>
      <c r="AH25" s="494" t="s">
        <v>881</v>
      </c>
      <c r="AI25" s="625" t="s">
        <v>894</v>
      </c>
      <c r="AJ25" s="627">
        <v>29941</v>
      </c>
      <c r="AM25" s="494" t="s">
        <v>786</v>
      </c>
      <c r="AN25" s="625" t="s">
        <v>901</v>
      </c>
      <c r="AO25" s="627">
        <v>22230</v>
      </c>
      <c r="AP25" s="623" t="s">
        <v>882</v>
      </c>
      <c r="AQ25" s="627">
        <v>7089327433</v>
      </c>
    </row>
    <row r="26" spans="1:43" ht="15" customHeight="1" x14ac:dyDescent="0.25">
      <c r="A26" s="625">
        <v>329</v>
      </c>
      <c r="B26" s="494" t="s">
        <v>783</v>
      </c>
      <c r="C26" s="625">
        <v>103</v>
      </c>
      <c r="D26" s="494" t="s">
        <v>903</v>
      </c>
      <c r="E26" s="627">
        <v>9504585</v>
      </c>
      <c r="F26" s="627">
        <v>29947</v>
      </c>
      <c r="G26" s="494" t="s">
        <v>904</v>
      </c>
      <c r="S26" s="629">
        <f t="shared" si="2"/>
        <v>0.5</v>
      </c>
      <c r="T26" s="629">
        <f t="shared" si="3"/>
        <v>0.52083333333333337</v>
      </c>
      <c r="U26" s="494" t="s">
        <v>914</v>
      </c>
      <c r="V26" s="620" t="str">
        <f>Oaklawn_table[[#This Row],[TimeSlot_Start_text]]</f>
        <v>1200</v>
      </c>
      <c r="W26" s="621" t="s">
        <v>354</v>
      </c>
      <c r="X26" s="621" t="s">
        <v>354</v>
      </c>
      <c r="Y26" s="621" t="s">
        <v>354</v>
      </c>
      <c r="Z26" s="621" t="s">
        <v>354</v>
      </c>
      <c r="AA26" s="621" t="s">
        <v>354</v>
      </c>
      <c r="AB26" s="494" t="s">
        <v>1077</v>
      </c>
      <c r="AC26" s="494" t="s">
        <v>879</v>
      </c>
      <c r="AD26" s="625" t="s">
        <v>895</v>
      </c>
      <c r="AE26" s="627">
        <v>29940</v>
      </c>
      <c r="AF26" s="623" t="s">
        <v>880</v>
      </c>
      <c r="AG26" s="627">
        <v>7082430448</v>
      </c>
      <c r="AH26" s="494" t="s">
        <v>881</v>
      </c>
      <c r="AI26" s="625" t="s">
        <v>894</v>
      </c>
      <c r="AJ26" s="627">
        <v>29941</v>
      </c>
      <c r="AM26" s="494" t="s">
        <v>786</v>
      </c>
      <c r="AN26" s="625" t="s">
        <v>901</v>
      </c>
      <c r="AO26" s="627">
        <v>22230</v>
      </c>
      <c r="AP26" s="623" t="s">
        <v>882</v>
      </c>
      <c r="AQ26" s="627">
        <v>7089327433</v>
      </c>
    </row>
    <row r="27" spans="1:43" ht="15.75" customHeight="1" x14ac:dyDescent="0.25">
      <c r="A27" s="625">
        <v>330</v>
      </c>
      <c r="B27" s="494" t="s">
        <v>783</v>
      </c>
      <c r="C27" s="625">
        <v>103</v>
      </c>
      <c r="D27" s="494" t="s">
        <v>903</v>
      </c>
      <c r="E27" s="627">
        <v>9504585</v>
      </c>
      <c r="F27" s="627">
        <v>29947</v>
      </c>
      <c r="G27" s="494" t="s">
        <v>904</v>
      </c>
      <c r="S27" s="629">
        <f t="shared" si="2"/>
        <v>0.52083333333333337</v>
      </c>
      <c r="T27" s="629">
        <f t="shared" si="3"/>
        <v>0.54166666666666674</v>
      </c>
      <c r="U27" s="494" t="s">
        <v>915</v>
      </c>
      <c r="V27" s="620" t="str">
        <f>Oaklawn_table[[#This Row],[TimeSlot_Start_text]]</f>
        <v>1230</v>
      </c>
      <c r="W27" s="621" t="s">
        <v>354</v>
      </c>
      <c r="X27" s="621" t="s">
        <v>354</v>
      </c>
      <c r="Y27" s="621" t="s">
        <v>354</v>
      </c>
      <c r="Z27" s="621" t="s">
        <v>354</v>
      </c>
      <c r="AA27" s="621" t="s">
        <v>354</v>
      </c>
      <c r="AB27" s="494" t="s">
        <v>1078</v>
      </c>
      <c r="AC27" s="494" t="s">
        <v>879</v>
      </c>
      <c r="AD27" s="625" t="s">
        <v>895</v>
      </c>
      <c r="AE27" s="627">
        <v>29940</v>
      </c>
      <c r="AF27" s="623" t="s">
        <v>880</v>
      </c>
      <c r="AG27" s="627">
        <v>7082430448</v>
      </c>
      <c r="AH27" s="494" t="s">
        <v>881</v>
      </c>
      <c r="AI27" s="625" t="s">
        <v>894</v>
      </c>
      <c r="AJ27" s="627">
        <v>29941</v>
      </c>
      <c r="AM27" s="494" t="s">
        <v>786</v>
      </c>
      <c r="AN27" s="625" t="s">
        <v>901</v>
      </c>
      <c r="AO27" s="627">
        <v>22230</v>
      </c>
      <c r="AP27" s="623" t="s">
        <v>882</v>
      </c>
      <c r="AQ27" s="627">
        <v>7089327433</v>
      </c>
    </row>
    <row r="28" spans="1:43" x14ac:dyDescent="0.25">
      <c r="A28" s="625">
        <v>331</v>
      </c>
      <c r="B28" s="494" t="s">
        <v>783</v>
      </c>
      <c r="C28" s="625">
        <v>103</v>
      </c>
      <c r="D28" s="494" t="s">
        <v>903</v>
      </c>
      <c r="E28" s="627">
        <v>9504585</v>
      </c>
      <c r="F28" s="627">
        <v>29947</v>
      </c>
      <c r="G28" s="494" t="s">
        <v>904</v>
      </c>
      <c r="S28" s="629">
        <f t="shared" si="2"/>
        <v>0.54166666666666663</v>
      </c>
      <c r="T28" s="629">
        <f t="shared" si="3"/>
        <v>0.5625</v>
      </c>
      <c r="U28" s="494" t="s">
        <v>916</v>
      </c>
      <c r="V28" s="620" t="str">
        <f>Oaklawn_table[[#This Row],[TimeSlot_Start_text]]</f>
        <v>1300</v>
      </c>
      <c r="W28" s="621"/>
      <c r="X28" s="621"/>
      <c r="Y28" s="621"/>
      <c r="Z28" s="621"/>
      <c r="AA28" s="621"/>
      <c r="AB28" s="494" t="s">
        <v>1071</v>
      </c>
      <c r="AC28" s="494" t="s">
        <v>879</v>
      </c>
      <c r="AD28" s="625" t="s">
        <v>895</v>
      </c>
      <c r="AE28" s="627">
        <v>29940</v>
      </c>
      <c r="AF28" s="623" t="s">
        <v>880</v>
      </c>
      <c r="AG28" s="627">
        <v>7082430448</v>
      </c>
      <c r="AH28" s="494" t="s">
        <v>881</v>
      </c>
      <c r="AI28" s="625" t="s">
        <v>894</v>
      </c>
      <c r="AJ28" s="627">
        <v>29941</v>
      </c>
      <c r="AM28" s="494" t="s">
        <v>786</v>
      </c>
      <c r="AN28" s="625" t="s">
        <v>901</v>
      </c>
      <c r="AO28" s="627">
        <v>22230</v>
      </c>
      <c r="AP28" s="623" t="s">
        <v>882</v>
      </c>
      <c r="AQ28" s="627">
        <v>7089327433</v>
      </c>
    </row>
    <row r="29" spans="1:43" x14ac:dyDescent="0.25">
      <c r="A29" s="625">
        <v>332</v>
      </c>
      <c r="B29" s="494" t="s">
        <v>783</v>
      </c>
      <c r="C29" s="625">
        <v>103</v>
      </c>
      <c r="D29" s="494" t="s">
        <v>903</v>
      </c>
      <c r="E29" s="627">
        <v>9504585</v>
      </c>
      <c r="F29" s="627">
        <v>29947</v>
      </c>
      <c r="G29" s="494" t="s">
        <v>904</v>
      </c>
      <c r="S29" s="629">
        <f t="shared" si="2"/>
        <v>0.5625</v>
      </c>
      <c r="T29" s="629">
        <f t="shared" si="3"/>
        <v>0.58333333333333337</v>
      </c>
      <c r="U29" s="494" t="s">
        <v>917</v>
      </c>
      <c r="V29" s="620" t="str">
        <f>Oaklawn_table[[#This Row],[TimeSlot_Start_text]]</f>
        <v>1330</v>
      </c>
      <c r="W29" s="621"/>
      <c r="X29" s="621"/>
      <c r="Y29" s="621"/>
      <c r="Z29" s="621"/>
      <c r="AA29" s="621"/>
      <c r="AB29" s="494" t="s">
        <v>1072</v>
      </c>
      <c r="AC29" s="494" t="s">
        <v>879</v>
      </c>
      <c r="AD29" s="625" t="s">
        <v>895</v>
      </c>
      <c r="AE29" s="627">
        <v>29940</v>
      </c>
      <c r="AF29" s="623" t="s">
        <v>880</v>
      </c>
      <c r="AG29" s="627">
        <v>7082430448</v>
      </c>
      <c r="AH29" s="494" t="s">
        <v>881</v>
      </c>
      <c r="AI29" s="625" t="s">
        <v>894</v>
      </c>
      <c r="AJ29" s="627">
        <v>29941</v>
      </c>
      <c r="AM29" s="494" t="s">
        <v>786</v>
      </c>
      <c r="AN29" s="625" t="s">
        <v>901</v>
      </c>
      <c r="AO29" s="627">
        <v>22230</v>
      </c>
      <c r="AP29" s="623" t="s">
        <v>882</v>
      </c>
      <c r="AQ29" s="627">
        <v>7089327433</v>
      </c>
    </row>
    <row r="30" spans="1:43" x14ac:dyDescent="0.25">
      <c r="A30" s="625">
        <v>333</v>
      </c>
      <c r="B30" s="494" t="s">
        <v>783</v>
      </c>
      <c r="C30" s="625">
        <v>103</v>
      </c>
      <c r="D30" s="494" t="s">
        <v>903</v>
      </c>
      <c r="E30" s="627">
        <v>9504585</v>
      </c>
      <c r="F30" s="627">
        <v>29947</v>
      </c>
      <c r="G30" s="494" t="s">
        <v>904</v>
      </c>
      <c r="S30" s="629">
        <f t="shared" si="2"/>
        <v>0.58333333333333337</v>
      </c>
      <c r="T30" s="629">
        <f t="shared" si="3"/>
        <v>0.60416666666666674</v>
      </c>
      <c r="U30" s="494" t="s">
        <v>918</v>
      </c>
      <c r="V30" s="620" t="str">
        <f>Oaklawn_table[[#This Row],[TimeSlot_Start_text]]</f>
        <v>1400</v>
      </c>
      <c r="W30" s="621"/>
      <c r="X30" s="621"/>
      <c r="Y30" s="621"/>
      <c r="Z30" s="621"/>
      <c r="AA30" s="621"/>
      <c r="AB30" s="494" t="s">
        <v>1079</v>
      </c>
      <c r="AC30" s="494" t="s">
        <v>879</v>
      </c>
      <c r="AD30" s="625" t="s">
        <v>895</v>
      </c>
      <c r="AE30" s="627">
        <v>29940</v>
      </c>
      <c r="AF30" s="623" t="s">
        <v>880</v>
      </c>
      <c r="AG30" s="627">
        <v>7082430448</v>
      </c>
      <c r="AH30" s="494" t="s">
        <v>881</v>
      </c>
      <c r="AI30" s="625" t="s">
        <v>894</v>
      </c>
      <c r="AJ30" s="627">
        <v>29941</v>
      </c>
      <c r="AM30" s="494" t="s">
        <v>786</v>
      </c>
      <c r="AN30" s="625" t="s">
        <v>901</v>
      </c>
      <c r="AO30" s="627">
        <v>22230</v>
      </c>
      <c r="AP30" s="623" t="s">
        <v>882</v>
      </c>
      <c r="AQ30" s="627">
        <v>7089327433</v>
      </c>
    </row>
    <row r="31" spans="1:43" x14ac:dyDescent="0.25">
      <c r="A31" s="625">
        <v>334</v>
      </c>
      <c r="B31" s="494" t="s">
        <v>783</v>
      </c>
      <c r="C31" s="625">
        <v>103</v>
      </c>
      <c r="D31" s="494" t="s">
        <v>903</v>
      </c>
      <c r="E31" s="627">
        <v>9504585</v>
      </c>
      <c r="F31" s="627">
        <v>29947</v>
      </c>
      <c r="G31" s="494" t="s">
        <v>904</v>
      </c>
      <c r="S31" s="629">
        <f t="shared" si="2"/>
        <v>0.60416666666666663</v>
      </c>
      <c r="T31" s="629">
        <f t="shared" si="3"/>
        <v>0.625</v>
      </c>
      <c r="U31" s="494" t="s">
        <v>919</v>
      </c>
      <c r="V31" s="620" t="str">
        <f>Oaklawn_table[[#This Row],[TimeSlot_Start_text]]</f>
        <v>1430</v>
      </c>
      <c r="W31" s="621"/>
      <c r="X31" s="621"/>
      <c r="Y31" s="621"/>
      <c r="Z31" s="621"/>
      <c r="AA31" s="621"/>
      <c r="AB31" s="494" t="s">
        <v>1080</v>
      </c>
      <c r="AC31" s="494" t="s">
        <v>879</v>
      </c>
      <c r="AD31" s="625" t="s">
        <v>895</v>
      </c>
      <c r="AE31" s="627">
        <v>29940</v>
      </c>
      <c r="AF31" s="623" t="s">
        <v>880</v>
      </c>
      <c r="AG31" s="627">
        <v>7082430448</v>
      </c>
      <c r="AH31" s="494" t="s">
        <v>881</v>
      </c>
      <c r="AI31" s="625" t="s">
        <v>894</v>
      </c>
      <c r="AJ31" s="627">
        <v>29941</v>
      </c>
      <c r="AM31" s="494" t="s">
        <v>786</v>
      </c>
      <c r="AN31" s="625" t="s">
        <v>901</v>
      </c>
      <c r="AO31" s="627">
        <v>22230</v>
      </c>
      <c r="AP31" s="623" t="s">
        <v>882</v>
      </c>
      <c r="AQ31" s="627">
        <v>7089327433</v>
      </c>
    </row>
    <row r="32" spans="1:43" x14ac:dyDescent="0.25">
      <c r="A32" s="625">
        <v>335</v>
      </c>
      <c r="B32" s="494" t="s">
        <v>783</v>
      </c>
      <c r="C32" s="625">
        <v>103</v>
      </c>
      <c r="D32" s="494" t="s">
        <v>903</v>
      </c>
      <c r="E32" s="627">
        <v>9504585</v>
      </c>
      <c r="F32" s="627">
        <v>29947</v>
      </c>
      <c r="G32" s="494" t="s">
        <v>904</v>
      </c>
      <c r="S32" s="629">
        <f t="shared" si="2"/>
        <v>0.625</v>
      </c>
      <c r="T32" s="629">
        <f t="shared" si="3"/>
        <v>0.64583333333333337</v>
      </c>
      <c r="U32" s="494" t="s">
        <v>920</v>
      </c>
      <c r="V32" s="620" t="str">
        <f>Oaklawn_table[[#This Row],[TimeSlot_Start_text]]</f>
        <v>1500</v>
      </c>
      <c r="W32" s="621"/>
      <c r="X32" s="621"/>
      <c r="Y32" s="621"/>
      <c r="Z32" s="621"/>
      <c r="AA32" s="621"/>
      <c r="AB32" s="494" t="s">
        <v>1081</v>
      </c>
      <c r="AC32" s="494" t="s">
        <v>879</v>
      </c>
      <c r="AD32" s="625" t="s">
        <v>895</v>
      </c>
      <c r="AE32" s="627">
        <v>29940</v>
      </c>
      <c r="AF32" s="623" t="s">
        <v>880</v>
      </c>
      <c r="AG32" s="627">
        <v>7082430448</v>
      </c>
      <c r="AH32" s="494" t="s">
        <v>881</v>
      </c>
      <c r="AI32" s="625" t="s">
        <v>894</v>
      </c>
      <c r="AJ32" s="627">
        <v>29941</v>
      </c>
      <c r="AM32" s="494" t="s">
        <v>786</v>
      </c>
      <c r="AN32" s="625" t="s">
        <v>901</v>
      </c>
      <c r="AO32" s="627">
        <v>22230</v>
      </c>
      <c r="AP32" s="623" t="s">
        <v>882</v>
      </c>
      <c r="AQ32" s="627">
        <v>7089327433</v>
      </c>
    </row>
    <row r="33" spans="1:43" x14ac:dyDescent="0.25">
      <c r="A33" s="625">
        <v>336</v>
      </c>
      <c r="B33" s="494" t="s">
        <v>783</v>
      </c>
      <c r="C33" s="625">
        <v>103</v>
      </c>
      <c r="D33" s="494" t="s">
        <v>903</v>
      </c>
      <c r="E33" s="627">
        <v>9504585</v>
      </c>
      <c r="F33" s="627">
        <v>29947</v>
      </c>
      <c r="G33" s="494" t="s">
        <v>904</v>
      </c>
      <c r="S33" s="629">
        <f t="shared" si="2"/>
        <v>0.64583333333333337</v>
      </c>
      <c r="T33" s="629">
        <f t="shared" si="3"/>
        <v>0.66666666666666674</v>
      </c>
      <c r="U33" s="494" t="s">
        <v>921</v>
      </c>
      <c r="V33" s="620" t="str">
        <f>Oaklawn_table[[#This Row],[TimeSlot_Start_text]]</f>
        <v>1530</v>
      </c>
      <c r="W33" s="621"/>
      <c r="X33" s="621"/>
      <c r="Y33" s="621"/>
      <c r="Z33" s="621"/>
      <c r="AA33" s="621"/>
      <c r="AB33" s="494" t="s">
        <v>1082</v>
      </c>
      <c r="AC33" s="494" t="s">
        <v>879</v>
      </c>
      <c r="AD33" s="625" t="s">
        <v>895</v>
      </c>
      <c r="AE33" s="627">
        <v>29940</v>
      </c>
      <c r="AF33" s="623" t="s">
        <v>880</v>
      </c>
      <c r="AG33" s="627">
        <v>7082430448</v>
      </c>
      <c r="AH33" s="494" t="s">
        <v>881</v>
      </c>
      <c r="AI33" s="625" t="s">
        <v>894</v>
      </c>
      <c r="AJ33" s="627">
        <v>29941</v>
      </c>
      <c r="AM33" s="494" t="s">
        <v>786</v>
      </c>
      <c r="AN33" s="625" t="s">
        <v>901</v>
      </c>
      <c r="AO33" s="627">
        <v>22230</v>
      </c>
      <c r="AP33" s="623" t="s">
        <v>882</v>
      </c>
      <c r="AQ33" s="627">
        <v>7089327433</v>
      </c>
    </row>
    <row r="34" spans="1:43" ht="15" customHeight="1" x14ac:dyDescent="0.25">
      <c r="A34" s="625">
        <v>337</v>
      </c>
      <c r="B34" s="494" t="s">
        <v>783</v>
      </c>
      <c r="C34" s="625">
        <v>104</v>
      </c>
      <c r="D34" s="494" t="s">
        <v>922</v>
      </c>
      <c r="E34" s="627">
        <v>9504589</v>
      </c>
      <c r="F34" s="627">
        <v>29948</v>
      </c>
      <c r="G34" s="494" t="s">
        <v>925</v>
      </c>
      <c r="S34" s="629">
        <f t="shared" si="2"/>
        <v>0.33333333333333331</v>
      </c>
      <c r="T34" s="629">
        <f t="shared" si="3"/>
        <v>0.35416666666666663</v>
      </c>
      <c r="U34" s="494" t="s">
        <v>906</v>
      </c>
      <c r="V34" s="620" t="str">
        <f>Oaklawn_table[[#This Row],[TimeSlot_Start_text]]</f>
        <v>0800</v>
      </c>
      <c r="W34" s="621" t="s">
        <v>711</v>
      </c>
      <c r="X34" s="621"/>
      <c r="Y34" s="621"/>
      <c r="Z34" s="621" t="s">
        <v>380</v>
      </c>
      <c r="AA34" s="621"/>
      <c r="AB34" s="494" t="s">
        <v>1083</v>
      </c>
      <c r="AC34" s="494" t="s">
        <v>879</v>
      </c>
      <c r="AD34" s="625" t="s">
        <v>895</v>
      </c>
      <c r="AE34" s="627">
        <v>29940</v>
      </c>
      <c r="AF34" s="623" t="s">
        <v>880</v>
      </c>
      <c r="AG34" s="627">
        <v>7082430448</v>
      </c>
      <c r="AH34" s="494" t="s">
        <v>881</v>
      </c>
      <c r="AI34" s="625" t="s">
        <v>894</v>
      </c>
      <c r="AJ34" s="627">
        <v>29941</v>
      </c>
      <c r="AM34" s="494" t="s">
        <v>786</v>
      </c>
      <c r="AN34" s="625" t="s">
        <v>901</v>
      </c>
      <c r="AO34" s="627">
        <v>22230</v>
      </c>
      <c r="AP34" s="623" t="s">
        <v>882</v>
      </c>
      <c r="AQ34" s="627">
        <v>7089327433</v>
      </c>
    </row>
    <row r="35" spans="1:43" ht="15" customHeight="1" x14ac:dyDescent="0.25">
      <c r="A35" s="625">
        <v>338</v>
      </c>
      <c r="B35" s="494" t="s">
        <v>783</v>
      </c>
      <c r="C35" s="625">
        <v>104</v>
      </c>
      <c r="D35" s="494" t="s">
        <v>922</v>
      </c>
      <c r="E35" s="627">
        <v>9504589</v>
      </c>
      <c r="F35" s="627">
        <v>29948</v>
      </c>
      <c r="G35" s="494" t="s">
        <v>925</v>
      </c>
      <c r="S35" s="629">
        <f t="shared" si="2"/>
        <v>0.35416666666666669</v>
      </c>
      <c r="T35" s="629">
        <f t="shared" si="3"/>
        <v>0.375</v>
      </c>
      <c r="U35" s="494" t="s">
        <v>907</v>
      </c>
      <c r="V35" s="620" t="str">
        <f>Oaklawn_table[[#This Row],[TimeSlot_Start_text]]</f>
        <v>0830</v>
      </c>
      <c r="W35" s="621" t="s">
        <v>711</v>
      </c>
      <c r="X35" s="621" t="s">
        <v>808</v>
      </c>
      <c r="Y35" s="621"/>
      <c r="Z35" s="621"/>
      <c r="AA35" s="621"/>
      <c r="AB35" s="494" t="s">
        <v>1084</v>
      </c>
      <c r="AC35" s="494" t="s">
        <v>879</v>
      </c>
      <c r="AD35" s="625" t="s">
        <v>895</v>
      </c>
      <c r="AE35" s="627">
        <v>29940</v>
      </c>
      <c r="AF35" s="623" t="s">
        <v>880</v>
      </c>
      <c r="AG35" s="627">
        <v>7082430448</v>
      </c>
      <c r="AH35" s="494" t="s">
        <v>881</v>
      </c>
      <c r="AI35" s="625" t="s">
        <v>894</v>
      </c>
      <c r="AJ35" s="627">
        <v>29941</v>
      </c>
      <c r="AM35" s="494" t="s">
        <v>786</v>
      </c>
      <c r="AN35" s="625" t="s">
        <v>901</v>
      </c>
      <c r="AO35" s="627">
        <v>22230</v>
      </c>
      <c r="AP35" s="623" t="s">
        <v>882</v>
      </c>
      <c r="AQ35" s="627">
        <v>7089327433</v>
      </c>
    </row>
    <row r="36" spans="1:43" ht="15" customHeight="1" x14ac:dyDescent="0.25">
      <c r="A36" s="625">
        <v>339</v>
      </c>
      <c r="B36" s="494" t="s">
        <v>783</v>
      </c>
      <c r="C36" s="625">
        <v>104</v>
      </c>
      <c r="D36" s="494" t="s">
        <v>922</v>
      </c>
      <c r="E36" s="627">
        <v>9504589</v>
      </c>
      <c r="F36" s="627">
        <v>29948</v>
      </c>
      <c r="G36" s="494" t="s">
        <v>925</v>
      </c>
      <c r="S36" s="629">
        <f t="shared" si="2"/>
        <v>0.375</v>
      </c>
      <c r="T36" s="629">
        <f t="shared" si="3"/>
        <v>0.39583333333333331</v>
      </c>
      <c r="U36" s="494" t="s">
        <v>908</v>
      </c>
      <c r="V36" s="620" t="str">
        <f>Oaklawn_table[[#This Row],[TimeSlot_Start_text]]</f>
        <v>0900</v>
      </c>
      <c r="W36" s="621"/>
      <c r="X36" s="621" t="s">
        <v>808</v>
      </c>
      <c r="Y36" s="621"/>
      <c r="Z36" s="621"/>
      <c r="AA36" s="621" t="s">
        <v>380</v>
      </c>
      <c r="AB36" s="494" t="s">
        <v>1085</v>
      </c>
      <c r="AC36" s="494" t="s">
        <v>879</v>
      </c>
      <c r="AD36" s="625" t="s">
        <v>895</v>
      </c>
      <c r="AE36" s="627">
        <v>29940</v>
      </c>
      <c r="AF36" s="623" t="s">
        <v>880</v>
      </c>
      <c r="AG36" s="627">
        <v>7082430448</v>
      </c>
      <c r="AH36" s="494" t="s">
        <v>881</v>
      </c>
      <c r="AI36" s="625" t="s">
        <v>894</v>
      </c>
      <c r="AJ36" s="627">
        <v>29941</v>
      </c>
      <c r="AM36" s="494" t="s">
        <v>786</v>
      </c>
      <c r="AN36" s="625" t="s">
        <v>901</v>
      </c>
      <c r="AO36" s="627">
        <v>22230</v>
      </c>
      <c r="AP36" s="623" t="s">
        <v>882</v>
      </c>
      <c r="AQ36" s="627">
        <v>7089327433</v>
      </c>
    </row>
    <row r="37" spans="1:43" ht="15" customHeight="1" x14ac:dyDescent="0.25">
      <c r="A37" s="625">
        <v>340</v>
      </c>
      <c r="B37" s="494" t="s">
        <v>783</v>
      </c>
      <c r="C37" s="625">
        <v>104</v>
      </c>
      <c r="D37" s="494" t="s">
        <v>922</v>
      </c>
      <c r="E37" s="627">
        <v>9504589</v>
      </c>
      <c r="F37" s="627">
        <v>29948</v>
      </c>
      <c r="G37" s="494" t="s">
        <v>925</v>
      </c>
      <c r="S37" s="629">
        <f t="shared" si="2"/>
        <v>0.39583333333333331</v>
      </c>
      <c r="T37" s="629">
        <f t="shared" si="3"/>
        <v>0.41666666666666663</v>
      </c>
      <c r="U37" s="494" t="s">
        <v>909</v>
      </c>
      <c r="V37" s="620" t="str">
        <f>Oaklawn_table[[#This Row],[TimeSlot_Start_text]]</f>
        <v>0930</v>
      </c>
      <c r="W37" s="621"/>
      <c r="X37" s="621" t="s">
        <v>808</v>
      </c>
      <c r="Y37" s="621"/>
      <c r="Z37" s="621"/>
      <c r="AA37" s="621"/>
      <c r="AB37" s="494" t="s">
        <v>1086</v>
      </c>
      <c r="AC37" s="494" t="s">
        <v>879</v>
      </c>
      <c r="AD37" s="625" t="s">
        <v>895</v>
      </c>
      <c r="AE37" s="627">
        <v>29940</v>
      </c>
      <c r="AF37" s="623" t="s">
        <v>880</v>
      </c>
      <c r="AG37" s="627">
        <v>7082430448</v>
      </c>
      <c r="AH37" s="494" t="s">
        <v>881</v>
      </c>
      <c r="AI37" s="625" t="s">
        <v>894</v>
      </c>
      <c r="AJ37" s="627">
        <v>29941</v>
      </c>
      <c r="AM37" s="494" t="s">
        <v>786</v>
      </c>
      <c r="AN37" s="625" t="s">
        <v>901</v>
      </c>
      <c r="AO37" s="627">
        <v>22230</v>
      </c>
      <c r="AP37" s="623" t="s">
        <v>882</v>
      </c>
      <c r="AQ37" s="627">
        <v>7089327433</v>
      </c>
    </row>
    <row r="38" spans="1:43" x14ac:dyDescent="0.25">
      <c r="A38" s="625">
        <v>341</v>
      </c>
      <c r="B38" s="494" t="s">
        <v>783</v>
      </c>
      <c r="C38" s="625">
        <v>104</v>
      </c>
      <c r="D38" s="494" t="s">
        <v>922</v>
      </c>
      <c r="E38" s="627">
        <v>9504589</v>
      </c>
      <c r="F38" s="627">
        <v>29948</v>
      </c>
      <c r="G38" s="494" t="s">
        <v>925</v>
      </c>
      <c r="S38" s="629">
        <f t="shared" si="2"/>
        <v>0.41666666666666669</v>
      </c>
      <c r="T38" s="629">
        <f t="shared" si="3"/>
        <v>0.4375</v>
      </c>
      <c r="U38" s="494" t="s">
        <v>910</v>
      </c>
      <c r="V38" s="620" t="str">
        <f>Oaklawn_table[[#This Row],[TimeSlot_Start_text]]</f>
        <v>1000</v>
      </c>
      <c r="W38" s="621"/>
      <c r="X38" s="621" t="s">
        <v>808</v>
      </c>
      <c r="Y38" s="621"/>
      <c r="Z38" s="621"/>
      <c r="AA38" s="621"/>
      <c r="AB38" s="494" t="s">
        <v>1073</v>
      </c>
      <c r="AC38" s="494" t="s">
        <v>879</v>
      </c>
      <c r="AD38" s="625" t="s">
        <v>895</v>
      </c>
      <c r="AE38" s="627">
        <v>29940</v>
      </c>
      <c r="AF38" s="623" t="s">
        <v>880</v>
      </c>
      <c r="AG38" s="627">
        <v>7082430448</v>
      </c>
      <c r="AH38" s="494" t="s">
        <v>881</v>
      </c>
      <c r="AI38" s="625" t="s">
        <v>894</v>
      </c>
      <c r="AJ38" s="627">
        <v>29941</v>
      </c>
      <c r="AM38" s="494" t="s">
        <v>786</v>
      </c>
      <c r="AN38" s="625" t="s">
        <v>901</v>
      </c>
      <c r="AO38" s="627">
        <v>22230</v>
      </c>
      <c r="AP38" s="623" t="s">
        <v>882</v>
      </c>
      <c r="AQ38" s="627">
        <v>7089327433</v>
      </c>
    </row>
    <row r="39" spans="1:43" x14ac:dyDescent="0.25">
      <c r="A39" s="625">
        <v>342</v>
      </c>
      <c r="B39" s="494" t="s">
        <v>783</v>
      </c>
      <c r="C39" s="625">
        <v>104</v>
      </c>
      <c r="D39" s="494" t="s">
        <v>922</v>
      </c>
      <c r="E39" s="627">
        <v>9504589</v>
      </c>
      <c r="F39" s="627">
        <v>29948</v>
      </c>
      <c r="G39" s="494" t="s">
        <v>925</v>
      </c>
      <c r="S39" s="629">
        <f t="shared" si="2"/>
        <v>0.4375</v>
      </c>
      <c r="T39" s="629">
        <f t="shared" si="3"/>
        <v>0.45833333333333331</v>
      </c>
      <c r="U39" s="494" t="s">
        <v>911</v>
      </c>
      <c r="V39" s="620" t="str">
        <f>Oaklawn_table[[#This Row],[TimeSlot_Start_text]]</f>
        <v>1030</v>
      </c>
      <c r="W39" s="621"/>
      <c r="X39" s="621" t="s">
        <v>808</v>
      </c>
      <c r="Y39" s="621"/>
      <c r="Z39" s="621"/>
      <c r="AA39" s="621"/>
      <c r="AB39" s="494" t="s">
        <v>1074</v>
      </c>
      <c r="AC39" s="494" t="s">
        <v>879</v>
      </c>
      <c r="AD39" s="625" t="s">
        <v>895</v>
      </c>
      <c r="AE39" s="627">
        <v>29940</v>
      </c>
      <c r="AF39" s="623" t="s">
        <v>880</v>
      </c>
      <c r="AG39" s="627">
        <v>7082430448</v>
      </c>
      <c r="AH39" s="494" t="s">
        <v>881</v>
      </c>
      <c r="AI39" s="625" t="s">
        <v>894</v>
      </c>
      <c r="AJ39" s="627">
        <v>29941</v>
      </c>
      <c r="AM39" s="494" t="s">
        <v>786</v>
      </c>
      <c r="AN39" s="625" t="s">
        <v>901</v>
      </c>
      <c r="AO39" s="627">
        <v>22230</v>
      </c>
      <c r="AP39" s="623" t="s">
        <v>882</v>
      </c>
      <c r="AQ39" s="627">
        <v>7089327433</v>
      </c>
    </row>
    <row r="40" spans="1:43" x14ac:dyDescent="0.25">
      <c r="A40" s="625">
        <v>343</v>
      </c>
      <c r="B40" s="494" t="s">
        <v>783</v>
      </c>
      <c r="C40" s="625">
        <v>104</v>
      </c>
      <c r="D40" s="494" t="s">
        <v>922</v>
      </c>
      <c r="E40" s="627">
        <v>9504589</v>
      </c>
      <c r="F40" s="627">
        <v>29948</v>
      </c>
      <c r="G40" s="494" t="s">
        <v>925</v>
      </c>
      <c r="S40" s="629">
        <f t="shared" si="2"/>
        <v>0.45833333333333331</v>
      </c>
      <c r="T40" s="629">
        <f t="shared" si="3"/>
        <v>0.47916666666666663</v>
      </c>
      <c r="U40" s="494" t="s">
        <v>912</v>
      </c>
      <c r="V40" s="620" t="str">
        <f>Oaklawn_table[[#This Row],[TimeSlot_Start_text]]</f>
        <v>1100</v>
      </c>
      <c r="W40" s="621" t="s">
        <v>816</v>
      </c>
      <c r="X40" s="621" t="s">
        <v>808</v>
      </c>
      <c r="Y40" s="621" t="s">
        <v>380</v>
      </c>
      <c r="Z40" s="621"/>
      <c r="AA40" s="621"/>
      <c r="AB40" s="494" t="s">
        <v>1076</v>
      </c>
      <c r="AC40" s="494" t="s">
        <v>879</v>
      </c>
      <c r="AD40" s="625" t="s">
        <v>895</v>
      </c>
      <c r="AE40" s="627">
        <v>29940</v>
      </c>
      <c r="AF40" s="623" t="s">
        <v>880</v>
      </c>
      <c r="AG40" s="627">
        <v>7082430448</v>
      </c>
      <c r="AH40" s="494" t="s">
        <v>881</v>
      </c>
      <c r="AI40" s="625" t="s">
        <v>894</v>
      </c>
      <c r="AJ40" s="627">
        <v>29941</v>
      </c>
      <c r="AM40" s="494" t="s">
        <v>786</v>
      </c>
      <c r="AN40" s="625" t="s">
        <v>901</v>
      </c>
      <c r="AO40" s="627">
        <v>22230</v>
      </c>
      <c r="AP40" s="623" t="s">
        <v>882</v>
      </c>
      <c r="AQ40" s="627">
        <v>7089327433</v>
      </c>
    </row>
    <row r="41" spans="1:43" x14ac:dyDescent="0.25">
      <c r="A41" s="625">
        <v>344</v>
      </c>
      <c r="B41" s="494" t="s">
        <v>783</v>
      </c>
      <c r="C41" s="625">
        <v>104</v>
      </c>
      <c r="D41" s="494" t="s">
        <v>922</v>
      </c>
      <c r="E41" s="627">
        <v>9504589</v>
      </c>
      <c r="F41" s="627">
        <v>29948</v>
      </c>
      <c r="G41" s="494" t="s">
        <v>925</v>
      </c>
      <c r="S41" s="629">
        <f t="shared" si="2"/>
        <v>0.47916666666666669</v>
      </c>
      <c r="T41" s="629">
        <f t="shared" si="3"/>
        <v>0.5</v>
      </c>
      <c r="U41" s="494" t="s">
        <v>913</v>
      </c>
      <c r="V41" s="620" t="str">
        <f>Oaklawn_table[[#This Row],[TimeSlot_Start_text]]</f>
        <v>1130</v>
      </c>
      <c r="W41" s="621" t="s">
        <v>816</v>
      </c>
      <c r="X41" s="621" t="s">
        <v>808</v>
      </c>
      <c r="Y41" s="621"/>
      <c r="Z41" s="621"/>
      <c r="AA41" s="621"/>
      <c r="AB41" s="494" t="s">
        <v>1075</v>
      </c>
      <c r="AC41" s="494" t="s">
        <v>879</v>
      </c>
      <c r="AD41" s="625" t="s">
        <v>895</v>
      </c>
      <c r="AE41" s="627">
        <v>29940</v>
      </c>
      <c r="AF41" s="623" t="s">
        <v>880</v>
      </c>
      <c r="AG41" s="627">
        <v>7082430448</v>
      </c>
      <c r="AH41" s="494" t="s">
        <v>881</v>
      </c>
      <c r="AI41" s="625" t="s">
        <v>894</v>
      </c>
      <c r="AJ41" s="627">
        <v>29941</v>
      </c>
      <c r="AM41" s="494" t="s">
        <v>786</v>
      </c>
      <c r="AN41" s="625" t="s">
        <v>901</v>
      </c>
      <c r="AO41" s="627">
        <v>22230</v>
      </c>
      <c r="AP41" s="623" t="s">
        <v>882</v>
      </c>
      <c r="AQ41" s="627">
        <v>7089327433</v>
      </c>
    </row>
    <row r="42" spans="1:43" ht="15" customHeight="1" x14ac:dyDescent="0.25">
      <c r="A42" s="625">
        <v>345</v>
      </c>
      <c r="B42" s="494" t="s">
        <v>783</v>
      </c>
      <c r="C42" s="625">
        <v>104</v>
      </c>
      <c r="D42" s="494" t="s">
        <v>922</v>
      </c>
      <c r="E42" s="627">
        <v>9504589</v>
      </c>
      <c r="F42" s="627">
        <v>29948</v>
      </c>
      <c r="G42" s="494" t="s">
        <v>925</v>
      </c>
      <c r="S42" s="629">
        <f t="shared" si="2"/>
        <v>0.5</v>
      </c>
      <c r="T42" s="629">
        <f t="shared" si="3"/>
        <v>0.52083333333333337</v>
      </c>
      <c r="U42" s="494" t="s">
        <v>914</v>
      </c>
      <c r="V42" s="620" t="str">
        <f>Oaklawn_table[[#This Row],[TimeSlot_Start_text]]</f>
        <v>1200</v>
      </c>
      <c r="W42" s="621" t="s">
        <v>354</v>
      </c>
      <c r="X42" s="621" t="s">
        <v>354</v>
      </c>
      <c r="Y42" s="621" t="s">
        <v>354</v>
      </c>
      <c r="Z42" s="621" t="s">
        <v>354</v>
      </c>
      <c r="AA42" s="621" t="s">
        <v>354</v>
      </c>
      <c r="AB42" s="494" t="s">
        <v>1077</v>
      </c>
      <c r="AC42" s="494" t="s">
        <v>879</v>
      </c>
      <c r="AD42" s="625" t="s">
        <v>895</v>
      </c>
      <c r="AE42" s="627">
        <v>29940</v>
      </c>
      <c r="AF42" s="623" t="s">
        <v>880</v>
      </c>
      <c r="AG42" s="627">
        <v>7082430448</v>
      </c>
      <c r="AH42" s="494" t="s">
        <v>881</v>
      </c>
      <c r="AI42" s="625" t="s">
        <v>894</v>
      </c>
      <c r="AJ42" s="627">
        <v>29941</v>
      </c>
      <c r="AM42" s="494" t="s">
        <v>786</v>
      </c>
      <c r="AN42" s="625" t="s">
        <v>901</v>
      </c>
      <c r="AO42" s="627">
        <v>22230</v>
      </c>
      <c r="AP42" s="623" t="s">
        <v>882</v>
      </c>
      <c r="AQ42" s="627">
        <v>7089327433</v>
      </c>
    </row>
    <row r="43" spans="1:43" ht="15.75" customHeight="1" x14ac:dyDescent="0.25">
      <c r="A43" s="625">
        <v>346</v>
      </c>
      <c r="B43" s="494" t="s">
        <v>783</v>
      </c>
      <c r="C43" s="625">
        <v>104</v>
      </c>
      <c r="D43" s="494" t="s">
        <v>922</v>
      </c>
      <c r="E43" s="627">
        <v>9504589</v>
      </c>
      <c r="F43" s="627">
        <v>29948</v>
      </c>
      <c r="G43" s="494" t="s">
        <v>925</v>
      </c>
      <c r="S43" s="629">
        <f t="shared" si="2"/>
        <v>0.52083333333333337</v>
      </c>
      <c r="T43" s="629">
        <f t="shared" si="3"/>
        <v>0.54166666666666674</v>
      </c>
      <c r="U43" s="494" t="s">
        <v>915</v>
      </c>
      <c r="V43" s="620" t="str">
        <f>Oaklawn_table[[#This Row],[TimeSlot_Start_text]]</f>
        <v>1230</v>
      </c>
      <c r="W43" s="621" t="s">
        <v>354</v>
      </c>
      <c r="X43" s="621" t="s">
        <v>354</v>
      </c>
      <c r="Y43" s="621" t="s">
        <v>354</v>
      </c>
      <c r="Z43" s="621" t="s">
        <v>354</v>
      </c>
      <c r="AA43" s="621" t="s">
        <v>354</v>
      </c>
      <c r="AB43" s="494" t="s">
        <v>1078</v>
      </c>
      <c r="AC43" s="494" t="s">
        <v>879</v>
      </c>
      <c r="AD43" s="625" t="s">
        <v>895</v>
      </c>
      <c r="AE43" s="627">
        <v>29940</v>
      </c>
      <c r="AF43" s="623" t="s">
        <v>880</v>
      </c>
      <c r="AG43" s="627">
        <v>7082430448</v>
      </c>
      <c r="AH43" s="494" t="s">
        <v>881</v>
      </c>
      <c r="AI43" s="625" t="s">
        <v>894</v>
      </c>
      <c r="AJ43" s="627">
        <v>29941</v>
      </c>
      <c r="AM43" s="494" t="s">
        <v>786</v>
      </c>
      <c r="AN43" s="625" t="s">
        <v>901</v>
      </c>
      <c r="AO43" s="627">
        <v>22230</v>
      </c>
      <c r="AP43" s="623" t="s">
        <v>882</v>
      </c>
      <c r="AQ43" s="627">
        <v>7089327433</v>
      </c>
    </row>
    <row r="44" spans="1:43" x14ac:dyDescent="0.25">
      <c r="A44" s="625">
        <v>347</v>
      </c>
      <c r="B44" s="494" t="s">
        <v>783</v>
      </c>
      <c r="C44" s="625">
        <v>104</v>
      </c>
      <c r="D44" s="494" t="s">
        <v>922</v>
      </c>
      <c r="E44" s="627">
        <v>9504589</v>
      </c>
      <c r="F44" s="627">
        <v>29948</v>
      </c>
      <c r="G44" s="494" t="s">
        <v>925</v>
      </c>
      <c r="S44" s="629">
        <f t="shared" si="2"/>
        <v>0.54166666666666663</v>
      </c>
      <c r="T44" s="629">
        <f t="shared" si="3"/>
        <v>0.5625</v>
      </c>
      <c r="U44" s="494" t="s">
        <v>916</v>
      </c>
      <c r="V44" s="620" t="str">
        <f>Oaklawn_table[[#This Row],[TimeSlot_Start_text]]</f>
        <v>1300</v>
      </c>
      <c r="W44" s="621"/>
      <c r="X44" s="621"/>
      <c r="Y44" s="621"/>
      <c r="Z44" s="621"/>
      <c r="AA44" s="621" t="s">
        <v>821</v>
      </c>
      <c r="AB44" s="494" t="s">
        <v>1071</v>
      </c>
      <c r="AC44" s="494" t="s">
        <v>879</v>
      </c>
      <c r="AD44" s="625" t="s">
        <v>895</v>
      </c>
      <c r="AE44" s="627">
        <v>29940</v>
      </c>
      <c r="AF44" s="623" t="s">
        <v>880</v>
      </c>
      <c r="AG44" s="627">
        <v>7082430448</v>
      </c>
      <c r="AH44" s="494" t="s">
        <v>881</v>
      </c>
      <c r="AI44" s="625" t="s">
        <v>894</v>
      </c>
      <c r="AJ44" s="627">
        <v>29941</v>
      </c>
      <c r="AM44" s="494" t="s">
        <v>786</v>
      </c>
      <c r="AN44" s="625" t="s">
        <v>901</v>
      </c>
      <c r="AO44" s="627">
        <v>22230</v>
      </c>
      <c r="AP44" s="623" t="s">
        <v>882</v>
      </c>
      <c r="AQ44" s="627">
        <v>7089327433</v>
      </c>
    </row>
    <row r="45" spans="1:43" x14ac:dyDescent="0.25">
      <c r="A45" s="625">
        <v>348</v>
      </c>
      <c r="B45" s="494" t="s">
        <v>783</v>
      </c>
      <c r="C45" s="625">
        <v>104</v>
      </c>
      <c r="D45" s="494" t="s">
        <v>922</v>
      </c>
      <c r="E45" s="627">
        <v>9504589</v>
      </c>
      <c r="F45" s="627">
        <v>29948</v>
      </c>
      <c r="G45" s="494" t="s">
        <v>925</v>
      </c>
      <c r="S45" s="629">
        <f t="shared" si="2"/>
        <v>0.5625</v>
      </c>
      <c r="T45" s="629">
        <f t="shared" si="3"/>
        <v>0.58333333333333337</v>
      </c>
      <c r="U45" s="494" t="s">
        <v>917</v>
      </c>
      <c r="V45" s="620" t="str">
        <f>Oaklawn_table[[#This Row],[TimeSlot_Start_text]]</f>
        <v>1330</v>
      </c>
      <c r="W45" s="621"/>
      <c r="X45" s="621"/>
      <c r="Y45" s="621" t="s">
        <v>808</v>
      </c>
      <c r="Z45" s="621"/>
      <c r="AA45" s="621" t="s">
        <v>821</v>
      </c>
      <c r="AB45" s="494" t="s">
        <v>1072</v>
      </c>
      <c r="AC45" s="494" t="s">
        <v>879</v>
      </c>
      <c r="AD45" s="625" t="s">
        <v>895</v>
      </c>
      <c r="AE45" s="627">
        <v>29940</v>
      </c>
      <c r="AF45" s="623" t="s">
        <v>880</v>
      </c>
      <c r="AG45" s="627">
        <v>7082430448</v>
      </c>
      <c r="AH45" s="494" t="s">
        <v>881</v>
      </c>
      <c r="AI45" s="625" t="s">
        <v>894</v>
      </c>
      <c r="AJ45" s="627">
        <v>29941</v>
      </c>
      <c r="AM45" s="494" t="s">
        <v>786</v>
      </c>
      <c r="AN45" s="625" t="s">
        <v>901</v>
      </c>
      <c r="AO45" s="627">
        <v>22230</v>
      </c>
      <c r="AP45" s="623" t="s">
        <v>882</v>
      </c>
      <c r="AQ45" s="627">
        <v>7089327433</v>
      </c>
    </row>
    <row r="46" spans="1:43" x14ac:dyDescent="0.25">
      <c r="A46" s="625">
        <v>349</v>
      </c>
      <c r="B46" s="494" t="s">
        <v>783</v>
      </c>
      <c r="C46" s="625">
        <v>104</v>
      </c>
      <c r="D46" s="494" t="s">
        <v>922</v>
      </c>
      <c r="E46" s="627">
        <v>9504589</v>
      </c>
      <c r="F46" s="627">
        <v>29948</v>
      </c>
      <c r="G46" s="494" t="s">
        <v>925</v>
      </c>
      <c r="S46" s="629">
        <f t="shared" si="2"/>
        <v>0.58333333333333337</v>
      </c>
      <c r="T46" s="629">
        <f t="shared" si="3"/>
        <v>0.60416666666666674</v>
      </c>
      <c r="U46" s="494" t="s">
        <v>918</v>
      </c>
      <c r="V46" s="620" t="str">
        <f>Oaklawn_table[[#This Row],[TimeSlot_Start_text]]</f>
        <v>1400</v>
      </c>
      <c r="W46" s="621"/>
      <c r="X46" s="621" t="s">
        <v>381</v>
      </c>
      <c r="Y46" s="621" t="s">
        <v>808</v>
      </c>
      <c r="Z46" s="621"/>
      <c r="AA46" s="621"/>
      <c r="AB46" s="494" t="s">
        <v>1079</v>
      </c>
      <c r="AC46" s="494" t="s">
        <v>879</v>
      </c>
      <c r="AD46" s="625" t="s">
        <v>895</v>
      </c>
      <c r="AE46" s="627">
        <v>29940</v>
      </c>
      <c r="AF46" s="623" t="s">
        <v>880</v>
      </c>
      <c r="AG46" s="627">
        <v>7082430448</v>
      </c>
      <c r="AH46" s="494" t="s">
        <v>881</v>
      </c>
      <c r="AI46" s="625" t="s">
        <v>894</v>
      </c>
      <c r="AJ46" s="627">
        <v>29941</v>
      </c>
      <c r="AM46" s="494" t="s">
        <v>786</v>
      </c>
      <c r="AN46" s="625" t="s">
        <v>901</v>
      </c>
      <c r="AO46" s="627">
        <v>22230</v>
      </c>
      <c r="AP46" s="623" t="s">
        <v>882</v>
      </c>
      <c r="AQ46" s="627">
        <v>7089327433</v>
      </c>
    </row>
    <row r="47" spans="1:43" x14ac:dyDescent="0.25">
      <c r="A47" s="625">
        <v>350</v>
      </c>
      <c r="B47" s="494" t="s">
        <v>783</v>
      </c>
      <c r="C47" s="625">
        <v>104</v>
      </c>
      <c r="D47" s="494" t="s">
        <v>922</v>
      </c>
      <c r="E47" s="627">
        <v>9504589</v>
      </c>
      <c r="F47" s="627">
        <v>29948</v>
      </c>
      <c r="G47" s="494" t="s">
        <v>925</v>
      </c>
      <c r="S47" s="629">
        <f t="shared" si="2"/>
        <v>0.60416666666666663</v>
      </c>
      <c r="T47" s="629">
        <f t="shared" si="3"/>
        <v>0.625</v>
      </c>
      <c r="U47" s="494" t="s">
        <v>919</v>
      </c>
      <c r="V47" s="620" t="str">
        <f>Oaklawn_table[[#This Row],[TimeSlot_Start_text]]</f>
        <v>1430</v>
      </c>
      <c r="W47" s="621"/>
      <c r="X47" s="621"/>
      <c r="Y47" s="621" t="s">
        <v>808</v>
      </c>
      <c r="Z47" s="621"/>
      <c r="AA47" s="621"/>
      <c r="AB47" s="494" t="s">
        <v>1080</v>
      </c>
      <c r="AC47" s="494" t="s">
        <v>879</v>
      </c>
      <c r="AD47" s="625" t="s">
        <v>895</v>
      </c>
      <c r="AE47" s="627">
        <v>29940</v>
      </c>
      <c r="AF47" s="623" t="s">
        <v>880</v>
      </c>
      <c r="AG47" s="627">
        <v>7082430448</v>
      </c>
      <c r="AH47" s="494" t="s">
        <v>881</v>
      </c>
      <c r="AI47" s="625" t="s">
        <v>894</v>
      </c>
      <c r="AJ47" s="627">
        <v>29941</v>
      </c>
      <c r="AM47" s="494" t="s">
        <v>786</v>
      </c>
      <c r="AN47" s="625" t="s">
        <v>901</v>
      </c>
      <c r="AO47" s="627">
        <v>22230</v>
      </c>
      <c r="AP47" s="623" t="s">
        <v>882</v>
      </c>
      <c r="AQ47" s="627">
        <v>7089327433</v>
      </c>
    </row>
    <row r="48" spans="1:43" x14ac:dyDescent="0.25">
      <c r="A48" s="625">
        <v>351</v>
      </c>
      <c r="B48" s="494" t="s">
        <v>783</v>
      </c>
      <c r="C48" s="625">
        <v>104</v>
      </c>
      <c r="D48" s="494" t="s">
        <v>922</v>
      </c>
      <c r="E48" s="627">
        <v>9504589</v>
      </c>
      <c r="F48" s="627">
        <v>29948</v>
      </c>
      <c r="G48" s="494" t="s">
        <v>925</v>
      </c>
      <c r="S48" s="629">
        <f t="shared" si="2"/>
        <v>0.625</v>
      </c>
      <c r="T48" s="629">
        <f t="shared" si="3"/>
        <v>0.64583333333333337</v>
      </c>
      <c r="U48" s="494" t="s">
        <v>920</v>
      </c>
      <c r="V48" s="620" t="str">
        <f>Oaklawn_table[[#This Row],[TimeSlot_Start_text]]</f>
        <v>1500</v>
      </c>
      <c r="W48" s="621"/>
      <c r="X48" s="621"/>
      <c r="Y48" s="621" t="s">
        <v>808</v>
      </c>
      <c r="Z48" s="621"/>
      <c r="AA48" s="621"/>
      <c r="AB48" s="494" t="s">
        <v>1081</v>
      </c>
      <c r="AC48" s="494" t="s">
        <v>879</v>
      </c>
      <c r="AD48" s="625" t="s">
        <v>895</v>
      </c>
      <c r="AE48" s="627">
        <v>29940</v>
      </c>
      <c r="AF48" s="623" t="s">
        <v>880</v>
      </c>
      <c r="AG48" s="627">
        <v>7082430448</v>
      </c>
      <c r="AH48" s="494" t="s">
        <v>881</v>
      </c>
      <c r="AI48" s="625" t="s">
        <v>894</v>
      </c>
      <c r="AJ48" s="627">
        <v>29941</v>
      </c>
      <c r="AM48" s="494" t="s">
        <v>786</v>
      </c>
      <c r="AN48" s="625" t="s">
        <v>901</v>
      </c>
      <c r="AO48" s="627">
        <v>22230</v>
      </c>
      <c r="AP48" s="623" t="s">
        <v>882</v>
      </c>
      <c r="AQ48" s="627">
        <v>7089327433</v>
      </c>
    </row>
    <row r="49" spans="1:43" x14ac:dyDescent="0.25">
      <c r="A49" s="625">
        <v>352</v>
      </c>
      <c r="B49" s="494" t="s">
        <v>783</v>
      </c>
      <c r="C49" s="625">
        <v>104</v>
      </c>
      <c r="D49" s="494" t="s">
        <v>922</v>
      </c>
      <c r="E49" s="627">
        <v>9504589</v>
      </c>
      <c r="F49" s="627">
        <v>29948</v>
      </c>
      <c r="G49" s="494" t="s">
        <v>925</v>
      </c>
      <c r="S49" s="629">
        <f t="shared" si="2"/>
        <v>0.64583333333333337</v>
      </c>
      <c r="T49" s="629">
        <f t="shared" si="3"/>
        <v>0.66666666666666674</v>
      </c>
      <c r="U49" s="494" t="s">
        <v>921</v>
      </c>
      <c r="V49" s="620" t="str">
        <f>Oaklawn_table[[#This Row],[TimeSlot_Start_text]]</f>
        <v>1530</v>
      </c>
      <c r="W49" s="621"/>
      <c r="X49" s="621"/>
      <c r="Y49" s="621"/>
      <c r="Z49" s="621"/>
      <c r="AA49" s="621"/>
      <c r="AB49" s="494" t="s">
        <v>1082</v>
      </c>
      <c r="AC49" s="494" t="s">
        <v>879</v>
      </c>
      <c r="AD49" s="625" t="s">
        <v>895</v>
      </c>
      <c r="AE49" s="627">
        <v>29940</v>
      </c>
      <c r="AF49" s="623" t="s">
        <v>880</v>
      </c>
      <c r="AG49" s="627">
        <v>7082430448</v>
      </c>
      <c r="AH49" s="494" t="s">
        <v>881</v>
      </c>
      <c r="AI49" s="625" t="s">
        <v>894</v>
      </c>
      <c r="AJ49" s="627">
        <v>29941</v>
      </c>
      <c r="AM49" s="494" t="s">
        <v>786</v>
      </c>
      <c r="AN49" s="625" t="s">
        <v>901</v>
      </c>
      <c r="AO49" s="627">
        <v>22230</v>
      </c>
      <c r="AP49" s="623" t="s">
        <v>882</v>
      </c>
      <c r="AQ49" s="627">
        <v>7089327433</v>
      </c>
    </row>
    <row r="50" spans="1:43" ht="15" customHeight="1" x14ac:dyDescent="0.25">
      <c r="A50" s="625">
        <v>353</v>
      </c>
      <c r="B50" s="494" t="s">
        <v>783</v>
      </c>
      <c r="C50" s="625">
        <v>105</v>
      </c>
      <c r="D50" s="494" t="s">
        <v>926</v>
      </c>
      <c r="E50" s="627">
        <v>9504574</v>
      </c>
      <c r="F50" s="627">
        <v>29944</v>
      </c>
      <c r="S50" s="629">
        <f t="shared" si="2"/>
        <v>0.33333333333333331</v>
      </c>
      <c r="T50" s="629">
        <f t="shared" si="3"/>
        <v>0.35416666666666663</v>
      </c>
      <c r="U50" s="494" t="s">
        <v>906</v>
      </c>
      <c r="V50" s="620" t="str">
        <f>Oaklawn_table[[#This Row],[TimeSlot_Start_text]]</f>
        <v>0800</v>
      </c>
      <c r="W50" s="621"/>
      <c r="X50" s="621"/>
      <c r="Y50" s="621"/>
      <c r="Z50" s="621" t="s">
        <v>381</v>
      </c>
      <c r="AA50" s="621"/>
      <c r="AB50" s="494" t="s">
        <v>1083</v>
      </c>
      <c r="AC50" s="494" t="s">
        <v>879</v>
      </c>
      <c r="AD50" s="625" t="s">
        <v>895</v>
      </c>
      <c r="AE50" s="627">
        <v>29940</v>
      </c>
      <c r="AF50" s="623" t="s">
        <v>880</v>
      </c>
      <c r="AG50" s="627">
        <v>7082430448</v>
      </c>
      <c r="AH50" s="494" t="s">
        <v>881</v>
      </c>
      <c r="AI50" s="625" t="s">
        <v>894</v>
      </c>
      <c r="AJ50" s="627">
        <v>29941</v>
      </c>
      <c r="AM50" s="494" t="s">
        <v>786</v>
      </c>
      <c r="AN50" s="625" t="s">
        <v>901</v>
      </c>
      <c r="AO50" s="627">
        <v>22230</v>
      </c>
      <c r="AP50" s="623" t="s">
        <v>882</v>
      </c>
      <c r="AQ50" s="627">
        <v>7089327433</v>
      </c>
    </row>
    <row r="51" spans="1:43" ht="15" customHeight="1" x14ac:dyDescent="0.25">
      <c r="A51" s="625">
        <v>354</v>
      </c>
      <c r="B51" s="494" t="s">
        <v>783</v>
      </c>
      <c r="C51" s="625">
        <v>105</v>
      </c>
      <c r="D51" s="494" t="s">
        <v>926</v>
      </c>
      <c r="E51" s="627">
        <v>9504574</v>
      </c>
      <c r="F51" s="627">
        <v>29944</v>
      </c>
      <c r="S51" s="629">
        <f t="shared" si="2"/>
        <v>0.35416666666666669</v>
      </c>
      <c r="T51" s="629">
        <f t="shared" si="3"/>
        <v>0.375</v>
      </c>
      <c r="U51" s="494" t="s">
        <v>907</v>
      </c>
      <c r="V51" s="620" t="str">
        <f>Oaklawn_table[[#This Row],[TimeSlot_Start_text]]</f>
        <v>0830</v>
      </c>
      <c r="W51" s="621" t="s">
        <v>809</v>
      </c>
      <c r="X51" s="621"/>
      <c r="Y51" s="621" t="s">
        <v>809</v>
      </c>
      <c r="Z51" s="621"/>
      <c r="AA51" s="621" t="s">
        <v>381</v>
      </c>
      <c r="AB51" s="494" t="s">
        <v>1084</v>
      </c>
      <c r="AC51" s="494" t="s">
        <v>879</v>
      </c>
      <c r="AD51" s="625" t="s">
        <v>895</v>
      </c>
      <c r="AE51" s="627">
        <v>29940</v>
      </c>
      <c r="AF51" s="623" t="s">
        <v>880</v>
      </c>
      <c r="AG51" s="627">
        <v>7082430448</v>
      </c>
      <c r="AH51" s="494" t="s">
        <v>881</v>
      </c>
      <c r="AI51" s="625" t="s">
        <v>894</v>
      </c>
      <c r="AJ51" s="627">
        <v>29941</v>
      </c>
      <c r="AM51" s="494" t="s">
        <v>786</v>
      </c>
      <c r="AN51" s="625" t="s">
        <v>901</v>
      </c>
      <c r="AO51" s="627">
        <v>22230</v>
      </c>
      <c r="AP51" s="623" t="s">
        <v>882</v>
      </c>
      <c r="AQ51" s="627">
        <v>7089327433</v>
      </c>
    </row>
    <row r="52" spans="1:43" ht="15" customHeight="1" x14ac:dyDescent="0.25">
      <c r="A52" s="625">
        <v>355</v>
      </c>
      <c r="B52" s="494" t="s">
        <v>783</v>
      </c>
      <c r="C52" s="625">
        <v>105</v>
      </c>
      <c r="D52" s="494" t="s">
        <v>926</v>
      </c>
      <c r="E52" s="627">
        <v>9504574</v>
      </c>
      <c r="F52" s="627">
        <v>29944</v>
      </c>
      <c r="S52" s="629">
        <f t="shared" si="2"/>
        <v>0.375</v>
      </c>
      <c r="T52" s="629">
        <f t="shared" si="3"/>
        <v>0.39583333333333331</v>
      </c>
      <c r="U52" s="494" t="s">
        <v>908</v>
      </c>
      <c r="V52" s="620" t="str">
        <f>Oaklawn_table[[#This Row],[TimeSlot_Start_text]]</f>
        <v>0900</v>
      </c>
      <c r="W52" s="621" t="s">
        <v>809</v>
      </c>
      <c r="X52" s="621"/>
      <c r="Y52" s="621" t="s">
        <v>809</v>
      </c>
      <c r="Z52" s="621"/>
      <c r="AA52" s="621"/>
      <c r="AB52" s="494" t="s">
        <v>1085</v>
      </c>
      <c r="AC52" s="494" t="s">
        <v>879</v>
      </c>
      <c r="AD52" s="625" t="s">
        <v>895</v>
      </c>
      <c r="AE52" s="627">
        <v>29940</v>
      </c>
      <c r="AF52" s="623" t="s">
        <v>880</v>
      </c>
      <c r="AG52" s="627">
        <v>7082430448</v>
      </c>
      <c r="AH52" s="494" t="s">
        <v>881</v>
      </c>
      <c r="AI52" s="625" t="s">
        <v>894</v>
      </c>
      <c r="AJ52" s="627">
        <v>29941</v>
      </c>
      <c r="AM52" s="494" t="s">
        <v>786</v>
      </c>
      <c r="AN52" s="625" t="s">
        <v>901</v>
      </c>
      <c r="AO52" s="627">
        <v>22230</v>
      </c>
      <c r="AP52" s="623" t="s">
        <v>882</v>
      </c>
      <c r="AQ52" s="627">
        <v>7089327433</v>
      </c>
    </row>
    <row r="53" spans="1:43" ht="15" customHeight="1" x14ac:dyDescent="0.25">
      <c r="A53" s="625">
        <v>356</v>
      </c>
      <c r="B53" s="494" t="s">
        <v>783</v>
      </c>
      <c r="C53" s="625">
        <v>105</v>
      </c>
      <c r="D53" s="494" t="s">
        <v>926</v>
      </c>
      <c r="E53" s="627">
        <v>9504574</v>
      </c>
      <c r="F53" s="627">
        <v>29944</v>
      </c>
      <c r="S53" s="629">
        <f t="shared" si="2"/>
        <v>0.39583333333333331</v>
      </c>
      <c r="T53" s="629">
        <f t="shared" si="3"/>
        <v>0.41666666666666663</v>
      </c>
      <c r="U53" s="494" t="s">
        <v>909</v>
      </c>
      <c r="V53" s="620" t="str">
        <f>Oaklawn_table[[#This Row],[TimeSlot_Start_text]]</f>
        <v>0930</v>
      </c>
      <c r="W53" s="621" t="s">
        <v>809</v>
      </c>
      <c r="X53" s="621"/>
      <c r="Y53" s="621" t="s">
        <v>809</v>
      </c>
      <c r="Z53" s="621" t="s">
        <v>381</v>
      </c>
      <c r="AA53" s="621"/>
      <c r="AB53" s="494" t="s">
        <v>1086</v>
      </c>
      <c r="AC53" s="494" t="s">
        <v>879</v>
      </c>
      <c r="AD53" s="625" t="s">
        <v>895</v>
      </c>
      <c r="AE53" s="627">
        <v>29940</v>
      </c>
      <c r="AF53" s="623" t="s">
        <v>880</v>
      </c>
      <c r="AG53" s="627">
        <v>7082430448</v>
      </c>
      <c r="AH53" s="494" t="s">
        <v>881</v>
      </c>
      <c r="AI53" s="625" t="s">
        <v>894</v>
      </c>
      <c r="AJ53" s="627">
        <v>29941</v>
      </c>
      <c r="AM53" s="494" t="s">
        <v>786</v>
      </c>
      <c r="AN53" s="625" t="s">
        <v>901</v>
      </c>
      <c r="AO53" s="627">
        <v>22230</v>
      </c>
      <c r="AP53" s="623" t="s">
        <v>882</v>
      </c>
      <c r="AQ53" s="627">
        <v>7089327433</v>
      </c>
    </row>
    <row r="54" spans="1:43" x14ac:dyDescent="0.25">
      <c r="A54" s="625">
        <v>357</v>
      </c>
      <c r="B54" s="494" t="s">
        <v>783</v>
      </c>
      <c r="C54" s="625">
        <v>105</v>
      </c>
      <c r="D54" s="494" t="s">
        <v>926</v>
      </c>
      <c r="E54" s="627">
        <v>9504574</v>
      </c>
      <c r="F54" s="627">
        <v>29944</v>
      </c>
      <c r="S54" s="629">
        <f t="shared" si="2"/>
        <v>0.41666666666666669</v>
      </c>
      <c r="T54" s="629">
        <f t="shared" si="3"/>
        <v>0.4375</v>
      </c>
      <c r="U54" s="494" t="s">
        <v>910</v>
      </c>
      <c r="V54" s="620" t="str">
        <f>Oaklawn_table[[#This Row],[TimeSlot_Start_text]]</f>
        <v>1000</v>
      </c>
      <c r="W54" s="621"/>
      <c r="X54" s="621"/>
      <c r="Y54" s="621"/>
      <c r="Z54" s="621"/>
      <c r="AA54" s="621"/>
      <c r="AB54" s="494" t="s">
        <v>1073</v>
      </c>
      <c r="AC54" s="494" t="s">
        <v>879</v>
      </c>
      <c r="AD54" s="625" t="s">
        <v>895</v>
      </c>
      <c r="AE54" s="627">
        <v>29940</v>
      </c>
      <c r="AF54" s="623" t="s">
        <v>880</v>
      </c>
      <c r="AG54" s="627">
        <v>7082430448</v>
      </c>
      <c r="AH54" s="494" t="s">
        <v>881</v>
      </c>
      <c r="AI54" s="625" t="s">
        <v>894</v>
      </c>
      <c r="AJ54" s="627">
        <v>29941</v>
      </c>
      <c r="AM54" s="494" t="s">
        <v>786</v>
      </c>
      <c r="AN54" s="625" t="s">
        <v>901</v>
      </c>
      <c r="AO54" s="627">
        <v>22230</v>
      </c>
      <c r="AP54" s="623" t="s">
        <v>882</v>
      </c>
      <c r="AQ54" s="627">
        <v>7089327433</v>
      </c>
    </row>
    <row r="55" spans="1:43" x14ac:dyDescent="0.25">
      <c r="A55" s="625">
        <v>358</v>
      </c>
      <c r="B55" s="494" t="s">
        <v>783</v>
      </c>
      <c r="C55" s="625">
        <v>105</v>
      </c>
      <c r="D55" s="494" t="s">
        <v>926</v>
      </c>
      <c r="E55" s="627">
        <v>9504574</v>
      </c>
      <c r="F55" s="627">
        <v>29944</v>
      </c>
      <c r="S55" s="629">
        <f t="shared" si="2"/>
        <v>0.4375</v>
      </c>
      <c r="T55" s="629">
        <f t="shared" si="3"/>
        <v>0.45833333333333331</v>
      </c>
      <c r="U55" s="494" t="s">
        <v>911</v>
      </c>
      <c r="V55" s="620" t="str">
        <f>Oaklawn_table[[#This Row],[TimeSlot_Start_text]]</f>
        <v>1030</v>
      </c>
      <c r="W55" s="621" t="s">
        <v>809</v>
      </c>
      <c r="X55" s="621"/>
      <c r="Y55" s="621" t="s">
        <v>809</v>
      </c>
      <c r="Z55" s="621"/>
      <c r="AA55" s="621"/>
      <c r="AB55" s="494" t="s">
        <v>1074</v>
      </c>
      <c r="AC55" s="494" t="s">
        <v>879</v>
      </c>
      <c r="AD55" s="625" t="s">
        <v>895</v>
      </c>
      <c r="AE55" s="627">
        <v>29940</v>
      </c>
      <c r="AF55" s="623" t="s">
        <v>880</v>
      </c>
      <c r="AG55" s="627">
        <v>7082430448</v>
      </c>
      <c r="AH55" s="494" t="s">
        <v>881</v>
      </c>
      <c r="AI55" s="625" t="s">
        <v>894</v>
      </c>
      <c r="AJ55" s="627">
        <v>29941</v>
      </c>
      <c r="AM55" s="494" t="s">
        <v>786</v>
      </c>
      <c r="AN55" s="625" t="s">
        <v>901</v>
      </c>
      <c r="AO55" s="627">
        <v>22230</v>
      </c>
      <c r="AP55" s="623" t="s">
        <v>882</v>
      </c>
      <c r="AQ55" s="627">
        <v>7089327433</v>
      </c>
    </row>
    <row r="56" spans="1:43" x14ac:dyDescent="0.25">
      <c r="A56" s="625">
        <v>359</v>
      </c>
      <c r="B56" s="494" t="s">
        <v>783</v>
      </c>
      <c r="C56" s="625">
        <v>105</v>
      </c>
      <c r="D56" s="494" t="s">
        <v>926</v>
      </c>
      <c r="E56" s="627">
        <v>9504574</v>
      </c>
      <c r="F56" s="627">
        <v>29944</v>
      </c>
      <c r="S56" s="629">
        <f t="shared" si="2"/>
        <v>0.45833333333333331</v>
      </c>
      <c r="T56" s="629">
        <f t="shared" si="3"/>
        <v>0.47916666666666663</v>
      </c>
      <c r="U56" s="494" t="s">
        <v>912</v>
      </c>
      <c r="V56" s="620" t="str">
        <f>Oaklawn_table[[#This Row],[TimeSlot_Start_text]]</f>
        <v>1100</v>
      </c>
      <c r="W56" s="621" t="s">
        <v>809</v>
      </c>
      <c r="X56" s="621"/>
      <c r="Y56" s="621" t="s">
        <v>809</v>
      </c>
      <c r="Z56" s="621"/>
      <c r="AA56" s="621"/>
      <c r="AB56" s="494" t="s">
        <v>1076</v>
      </c>
      <c r="AC56" s="494" t="s">
        <v>879</v>
      </c>
      <c r="AD56" s="625" t="s">
        <v>895</v>
      </c>
      <c r="AE56" s="627">
        <v>29940</v>
      </c>
      <c r="AF56" s="623" t="s">
        <v>880</v>
      </c>
      <c r="AG56" s="627">
        <v>7082430448</v>
      </c>
      <c r="AH56" s="494" t="s">
        <v>881</v>
      </c>
      <c r="AI56" s="625" t="s">
        <v>894</v>
      </c>
      <c r="AJ56" s="627">
        <v>29941</v>
      </c>
      <c r="AM56" s="494" t="s">
        <v>786</v>
      </c>
      <c r="AN56" s="625" t="s">
        <v>901</v>
      </c>
      <c r="AO56" s="627">
        <v>22230</v>
      </c>
      <c r="AP56" s="623" t="s">
        <v>882</v>
      </c>
      <c r="AQ56" s="627">
        <v>7089327433</v>
      </c>
    </row>
    <row r="57" spans="1:43" x14ac:dyDescent="0.25">
      <c r="A57" s="625">
        <v>360</v>
      </c>
      <c r="B57" s="494" t="s">
        <v>783</v>
      </c>
      <c r="C57" s="625">
        <v>105</v>
      </c>
      <c r="D57" s="494" t="s">
        <v>926</v>
      </c>
      <c r="E57" s="627">
        <v>9504574</v>
      </c>
      <c r="F57" s="627">
        <v>29944</v>
      </c>
      <c r="S57" s="629">
        <f t="shared" si="2"/>
        <v>0.47916666666666669</v>
      </c>
      <c r="T57" s="629">
        <f t="shared" si="3"/>
        <v>0.5</v>
      </c>
      <c r="U57" s="494" t="s">
        <v>913</v>
      </c>
      <c r="V57" s="620" t="str">
        <f>Oaklawn_table[[#This Row],[TimeSlot_Start_text]]</f>
        <v>1130</v>
      </c>
      <c r="W57" s="621" t="s">
        <v>809</v>
      </c>
      <c r="X57" s="621"/>
      <c r="Y57" s="621" t="s">
        <v>809</v>
      </c>
      <c r="Z57" s="621"/>
      <c r="AA57" s="621"/>
      <c r="AB57" s="494" t="s">
        <v>1075</v>
      </c>
      <c r="AC57" s="494" t="s">
        <v>879</v>
      </c>
      <c r="AD57" s="625" t="s">
        <v>895</v>
      </c>
      <c r="AE57" s="627">
        <v>29940</v>
      </c>
      <c r="AF57" s="623" t="s">
        <v>880</v>
      </c>
      <c r="AG57" s="627">
        <v>7082430448</v>
      </c>
      <c r="AH57" s="494" t="s">
        <v>881</v>
      </c>
      <c r="AI57" s="625" t="s">
        <v>894</v>
      </c>
      <c r="AJ57" s="627">
        <v>29941</v>
      </c>
      <c r="AM57" s="494" t="s">
        <v>786</v>
      </c>
      <c r="AN57" s="625" t="s">
        <v>901</v>
      </c>
      <c r="AO57" s="627">
        <v>22230</v>
      </c>
      <c r="AP57" s="623" t="s">
        <v>882</v>
      </c>
      <c r="AQ57" s="627">
        <v>7089327433</v>
      </c>
    </row>
    <row r="58" spans="1:43" ht="15" customHeight="1" x14ac:dyDescent="0.25">
      <c r="A58" s="625">
        <v>361</v>
      </c>
      <c r="B58" s="494" t="s">
        <v>783</v>
      </c>
      <c r="C58" s="625">
        <v>105</v>
      </c>
      <c r="D58" s="494" t="s">
        <v>926</v>
      </c>
      <c r="E58" s="627">
        <v>9504574</v>
      </c>
      <c r="F58" s="627">
        <v>29944</v>
      </c>
      <c r="S58" s="629">
        <f t="shared" si="2"/>
        <v>0.5</v>
      </c>
      <c r="T58" s="629">
        <f t="shared" si="3"/>
        <v>0.52083333333333337</v>
      </c>
      <c r="U58" s="494" t="s">
        <v>914</v>
      </c>
      <c r="V58" s="620" t="str">
        <f>Oaklawn_table[[#This Row],[TimeSlot_Start_text]]</f>
        <v>1200</v>
      </c>
      <c r="W58" s="621" t="s">
        <v>354</v>
      </c>
      <c r="X58" s="621" t="s">
        <v>354</v>
      </c>
      <c r="Y58" s="621" t="s">
        <v>354</v>
      </c>
      <c r="Z58" s="621" t="s">
        <v>354</v>
      </c>
      <c r="AA58" s="621" t="s">
        <v>354</v>
      </c>
      <c r="AB58" s="494" t="s">
        <v>1077</v>
      </c>
      <c r="AC58" s="494" t="s">
        <v>879</v>
      </c>
      <c r="AD58" s="625" t="s">
        <v>895</v>
      </c>
      <c r="AE58" s="627">
        <v>29940</v>
      </c>
      <c r="AF58" s="623" t="s">
        <v>880</v>
      </c>
      <c r="AG58" s="627">
        <v>7082430448</v>
      </c>
      <c r="AH58" s="494" t="s">
        <v>881</v>
      </c>
      <c r="AI58" s="625" t="s">
        <v>894</v>
      </c>
      <c r="AJ58" s="627">
        <v>29941</v>
      </c>
      <c r="AM58" s="494" t="s">
        <v>786</v>
      </c>
      <c r="AN58" s="625" t="s">
        <v>901</v>
      </c>
      <c r="AO58" s="627">
        <v>22230</v>
      </c>
      <c r="AP58" s="623" t="s">
        <v>882</v>
      </c>
      <c r="AQ58" s="627">
        <v>7089327433</v>
      </c>
    </row>
    <row r="59" spans="1:43" ht="15.75" customHeight="1" x14ac:dyDescent="0.25">
      <c r="A59" s="625">
        <v>362</v>
      </c>
      <c r="B59" s="494" t="s">
        <v>783</v>
      </c>
      <c r="C59" s="625">
        <v>105</v>
      </c>
      <c r="D59" s="494" t="s">
        <v>926</v>
      </c>
      <c r="E59" s="627">
        <v>9504574</v>
      </c>
      <c r="F59" s="627">
        <v>29944</v>
      </c>
      <c r="S59" s="629">
        <f t="shared" si="2"/>
        <v>0.52083333333333337</v>
      </c>
      <c r="T59" s="629">
        <f t="shared" si="3"/>
        <v>0.54166666666666674</v>
      </c>
      <c r="U59" s="494" t="s">
        <v>915</v>
      </c>
      <c r="V59" s="620" t="str">
        <f>Oaklawn_table[[#This Row],[TimeSlot_Start_text]]</f>
        <v>1230</v>
      </c>
      <c r="W59" s="621" t="s">
        <v>354</v>
      </c>
      <c r="X59" s="621" t="s">
        <v>354</v>
      </c>
      <c r="Y59" s="621" t="s">
        <v>354</v>
      </c>
      <c r="Z59" s="621" t="s">
        <v>354</v>
      </c>
      <c r="AA59" s="621" t="s">
        <v>354</v>
      </c>
      <c r="AB59" s="494" t="s">
        <v>1078</v>
      </c>
      <c r="AC59" s="494" t="s">
        <v>879</v>
      </c>
      <c r="AD59" s="625" t="s">
        <v>895</v>
      </c>
      <c r="AE59" s="627">
        <v>29940</v>
      </c>
      <c r="AF59" s="623" t="s">
        <v>880</v>
      </c>
      <c r="AG59" s="627">
        <v>7082430448</v>
      </c>
      <c r="AH59" s="494" t="s">
        <v>881</v>
      </c>
      <c r="AI59" s="625" t="s">
        <v>894</v>
      </c>
      <c r="AJ59" s="627">
        <v>29941</v>
      </c>
      <c r="AM59" s="494" t="s">
        <v>786</v>
      </c>
      <c r="AN59" s="625" t="s">
        <v>901</v>
      </c>
      <c r="AO59" s="627">
        <v>22230</v>
      </c>
      <c r="AP59" s="623" t="s">
        <v>882</v>
      </c>
      <c r="AQ59" s="627">
        <v>7089327433</v>
      </c>
    </row>
    <row r="60" spans="1:43" x14ac:dyDescent="0.25">
      <c r="A60" s="625">
        <v>363</v>
      </c>
      <c r="B60" s="494" t="s">
        <v>783</v>
      </c>
      <c r="C60" s="625">
        <v>105</v>
      </c>
      <c r="D60" s="494" t="s">
        <v>926</v>
      </c>
      <c r="E60" s="627">
        <v>9504574</v>
      </c>
      <c r="F60" s="627">
        <v>29944</v>
      </c>
      <c r="S60" s="629">
        <f t="shared" si="2"/>
        <v>0.54166666666666663</v>
      </c>
      <c r="T60" s="629">
        <f t="shared" si="3"/>
        <v>0.5625</v>
      </c>
      <c r="U60" s="494" t="s">
        <v>916</v>
      </c>
      <c r="V60" s="620" t="str">
        <f>Oaklawn_table[[#This Row],[TimeSlot_Start_text]]</f>
        <v>1300</v>
      </c>
      <c r="W60" s="621" t="s">
        <v>809</v>
      </c>
      <c r="X60" s="621" t="s">
        <v>380</v>
      </c>
      <c r="Y60" s="621" t="s">
        <v>809</v>
      </c>
      <c r="Z60" s="621"/>
      <c r="AA60" s="621"/>
      <c r="AB60" s="494" t="s">
        <v>1071</v>
      </c>
      <c r="AC60" s="494" t="s">
        <v>879</v>
      </c>
      <c r="AD60" s="625" t="s">
        <v>895</v>
      </c>
      <c r="AE60" s="627">
        <v>29940</v>
      </c>
      <c r="AF60" s="623" t="s">
        <v>880</v>
      </c>
      <c r="AG60" s="627">
        <v>7082430448</v>
      </c>
      <c r="AH60" s="494" t="s">
        <v>881</v>
      </c>
      <c r="AI60" s="625" t="s">
        <v>894</v>
      </c>
      <c r="AJ60" s="627">
        <v>29941</v>
      </c>
      <c r="AM60" s="494" t="s">
        <v>786</v>
      </c>
      <c r="AN60" s="625" t="s">
        <v>901</v>
      </c>
      <c r="AO60" s="627">
        <v>22230</v>
      </c>
      <c r="AP60" s="623" t="s">
        <v>882</v>
      </c>
      <c r="AQ60" s="627">
        <v>7089327433</v>
      </c>
    </row>
    <row r="61" spans="1:43" x14ac:dyDescent="0.25">
      <c r="A61" s="625">
        <v>364</v>
      </c>
      <c r="B61" s="494" t="s">
        <v>783</v>
      </c>
      <c r="C61" s="625">
        <v>105</v>
      </c>
      <c r="D61" s="494" t="s">
        <v>926</v>
      </c>
      <c r="E61" s="627">
        <v>9504574</v>
      </c>
      <c r="F61" s="627">
        <v>29944</v>
      </c>
      <c r="S61" s="629">
        <f t="shared" si="2"/>
        <v>0.5625</v>
      </c>
      <c r="T61" s="629">
        <f t="shared" si="3"/>
        <v>0.58333333333333337</v>
      </c>
      <c r="U61" s="494" t="s">
        <v>917</v>
      </c>
      <c r="V61" s="620" t="str">
        <f>Oaklawn_table[[#This Row],[TimeSlot_Start_text]]</f>
        <v>1330</v>
      </c>
      <c r="W61" s="621" t="s">
        <v>809</v>
      </c>
      <c r="X61" s="621"/>
      <c r="Y61" s="621" t="s">
        <v>809</v>
      </c>
      <c r="Z61" s="621"/>
      <c r="AA61" s="621"/>
      <c r="AB61" s="494" t="s">
        <v>1072</v>
      </c>
      <c r="AC61" s="494" t="s">
        <v>879</v>
      </c>
      <c r="AD61" s="625" t="s">
        <v>895</v>
      </c>
      <c r="AE61" s="627">
        <v>29940</v>
      </c>
      <c r="AF61" s="623" t="s">
        <v>880</v>
      </c>
      <c r="AG61" s="627">
        <v>7082430448</v>
      </c>
      <c r="AH61" s="494" t="s">
        <v>881</v>
      </c>
      <c r="AI61" s="625" t="s">
        <v>894</v>
      </c>
      <c r="AJ61" s="627">
        <v>29941</v>
      </c>
      <c r="AM61" s="494" t="s">
        <v>786</v>
      </c>
      <c r="AN61" s="625" t="s">
        <v>901</v>
      </c>
      <c r="AO61" s="627">
        <v>22230</v>
      </c>
      <c r="AP61" s="623" t="s">
        <v>882</v>
      </c>
      <c r="AQ61" s="627">
        <v>7089327433</v>
      </c>
    </row>
    <row r="62" spans="1:43" x14ac:dyDescent="0.25">
      <c r="A62" s="625">
        <v>365</v>
      </c>
      <c r="B62" s="494" t="s">
        <v>783</v>
      </c>
      <c r="C62" s="625">
        <v>105</v>
      </c>
      <c r="D62" s="494" t="s">
        <v>926</v>
      </c>
      <c r="E62" s="627">
        <v>9504574</v>
      </c>
      <c r="F62" s="627">
        <v>29944</v>
      </c>
      <c r="S62" s="629">
        <f t="shared" si="2"/>
        <v>0.58333333333333337</v>
      </c>
      <c r="T62" s="629">
        <f t="shared" si="3"/>
        <v>0.60416666666666674</v>
      </c>
      <c r="U62" s="494" t="s">
        <v>918</v>
      </c>
      <c r="V62" s="620" t="str">
        <f>Oaklawn_table[[#This Row],[TimeSlot_Start_text]]</f>
        <v>1400</v>
      </c>
      <c r="W62" s="621" t="s">
        <v>809</v>
      </c>
      <c r="X62" s="621"/>
      <c r="Y62" s="621" t="s">
        <v>809</v>
      </c>
      <c r="Z62" s="621"/>
      <c r="AA62" s="621"/>
      <c r="AB62" s="494" t="s">
        <v>1079</v>
      </c>
      <c r="AC62" s="494" t="s">
        <v>879</v>
      </c>
      <c r="AD62" s="625" t="s">
        <v>895</v>
      </c>
      <c r="AE62" s="627">
        <v>29940</v>
      </c>
      <c r="AF62" s="623" t="s">
        <v>880</v>
      </c>
      <c r="AG62" s="627">
        <v>7082430448</v>
      </c>
      <c r="AH62" s="494" t="s">
        <v>881</v>
      </c>
      <c r="AI62" s="625" t="s">
        <v>894</v>
      </c>
      <c r="AJ62" s="627">
        <v>29941</v>
      </c>
      <c r="AM62" s="494" t="s">
        <v>786</v>
      </c>
      <c r="AN62" s="625" t="s">
        <v>901</v>
      </c>
      <c r="AO62" s="627">
        <v>22230</v>
      </c>
      <c r="AP62" s="623" t="s">
        <v>882</v>
      </c>
      <c r="AQ62" s="627">
        <v>7089327433</v>
      </c>
    </row>
    <row r="63" spans="1:43" x14ac:dyDescent="0.25">
      <c r="A63" s="625">
        <v>366</v>
      </c>
      <c r="B63" s="494" t="s">
        <v>783</v>
      </c>
      <c r="C63" s="625">
        <v>105</v>
      </c>
      <c r="D63" s="494" t="s">
        <v>926</v>
      </c>
      <c r="E63" s="627">
        <v>9504574</v>
      </c>
      <c r="F63" s="627">
        <v>29944</v>
      </c>
      <c r="S63" s="629">
        <f t="shared" si="2"/>
        <v>0.60416666666666663</v>
      </c>
      <c r="T63" s="629">
        <f t="shared" si="3"/>
        <v>0.625</v>
      </c>
      <c r="U63" s="494" t="s">
        <v>919</v>
      </c>
      <c r="V63" s="620" t="str">
        <f>Oaklawn_table[[#This Row],[TimeSlot_Start_text]]</f>
        <v>1430</v>
      </c>
      <c r="W63" s="621" t="s">
        <v>809</v>
      </c>
      <c r="X63" s="621"/>
      <c r="Y63" s="621" t="s">
        <v>809</v>
      </c>
      <c r="Z63" s="621"/>
      <c r="AA63" s="621"/>
      <c r="AB63" s="494" t="s">
        <v>1080</v>
      </c>
      <c r="AC63" s="494" t="s">
        <v>879</v>
      </c>
      <c r="AD63" s="625" t="s">
        <v>895</v>
      </c>
      <c r="AE63" s="627">
        <v>29940</v>
      </c>
      <c r="AF63" s="623" t="s">
        <v>880</v>
      </c>
      <c r="AG63" s="627">
        <v>7082430448</v>
      </c>
      <c r="AH63" s="494" t="s">
        <v>881</v>
      </c>
      <c r="AI63" s="625" t="s">
        <v>894</v>
      </c>
      <c r="AJ63" s="627">
        <v>29941</v>
      </c>
      <c r="AM63" s="494" t="s">
        <v>786</v>
      </c>
      <c r="AN63" s="625" t="s">
        <v>901</v>
      </c>
      <c r="AO63" s="627">
        <v>22230</v>
      </c>
      <c r="AP63" s="623" t="s">
        <v>882</v>
      </c>
      <c r="AQ63" s="627">
        <v>7089327433</v>
      </c>
    </row>
    <row r="64" spans="1:43" x14ac:dyDescent="0.25">
      <c r="A64" s="625">
        <v>367</v>
      </c>
      <c r="B64" s="494" t="s">
        <v>783</v>
      </c>
      <c r="C64" s="625">
        <v>105</v>
      </c>
      <c r="D64" s="494" t="s">
        <v>926</v>
      </c>
      <c r="E64" s="627">
        <v>9504574</v>
      </c>
      <c r="F64" s="627">
        <v>29944</v>
      </c>
      <c r="S64" s="629">
        <f t="shared" si="2"/>
        <v>0.625</v>
      </c>
      <c r="T64" s="629">
        <f t="shared" si="3"/>
        <v>0.64583333333333337</v>
      </c>
      <c r="U64" s="494" t="s">
        <v>920</v>
      </c>
      <c r="V64" s="620" t="str">
        <f>Oaklawn_table[[#This Row],[TimeSlot_Start_text]]</f>
        <v>1500</v>
      </c>
      <c r="W64" s="621" t="s">
        <v>809</v>
      </c>
      <c r="X64" s="621"/>
      <c r="Y64" s="621" t="s">
        <v>809</v>
      </c>
      <c r="Z64" s="621"/>
      <c r="AA64" s="621"/>
      <c r="AB64" s="494" t="s">
        <v>1081</v>
      </c>
      <c r="AC64" s="494" t="s">
        <v>879</v>
      </c>
      <c r="AD64" s="625" t="s">
        <v>895</v>
      </c>
      <c r="AE64" s="627">
        <v>29940</v>
      </c>
      <c r="AF64" s="623" t="s">
        <v>880</v>
      </c>
      <c r="AG64" s="627">
        <v>7082430448</v>
      </c>
      <c r="AH64" s="494" t="s">
        <v>881</v>
      </c>
      <c r="AI64" s="625" t="s">
        <v>894</v>
      </c>
      <c r="AJ64" s="627">
        <v>29941</v>
      </c>
      <c r="AM64" s="494" t="s">
        <v>786</v>
      </c>
      <c r="AN64" s="625" t="s">
        <v>901</v>
      </c>
      <c r="AO64" s="627">
        <v>22230</v>
      </c>
      <c r="AP64" s="623" t="s">
        <v>882</v>
      </c>
      <c r="AQ64" s="627">
        <v>7089327433</v>
      </c>
    </row>
    <row r="65" spans="1:43" x14ac:dyDescent="0.25">
      <c r="A65" s="625">
        <v>368</v>
      </c>
      <c r="B65" s="494" t="s">
        <v>783</v>
      </c>
      <c r="C65" s="625">
        <v>105</v>
      </c>
      <c r="D65" s="494" t="s">
        <v>926</v>
      </c>
      <c r="E65" s="627">
        <v>9504574</v>
      </c>
      <c r="F65" s="627">
        <v>29944</v>
      </c>
      <c r="S65" s="629">
        <f t="shared" si="2"/>
        <v>0.64583333333333337</v>
      </c>
      <c r="T65" s="629">
        <f t="shared" si="3"/>
        <v>0.66666666666666674</v>
      </c>
      <c r="U65" s="494" t="s">
        <v>921</v>
      </c>
      <c r="V65" s="620" t="str">
        <f>Oaklawn_table[[#This Row],[TimeSlot_Start_text]]</f>
        <v>1530</v>
      </c>
      <c r="W65" s="621" t="s">
        <v>809</v>
      </c>
      <c r="X65" s="621"/>
      <c r="Y65" s="621" t="s">
        <v>809</v>
      </c>
      <c r="Z65" s="621"/>
      <c r="AA65" s="621"/>
      <c r="AB65" s="494" t="s">
        <v>1082</v>
      </c>
      <c r="AC65" s="494" t="s">
        <v>879</v>
      </c>
      <c r="AD65" s="625" t="s">
        <v>895</v>
      </c>
      <c r="AE65" s="627">
        <v>29940</v>
      </c>
      <c r="AF65" s="623" t="s">
        <v>880</v>
      </c>
      <c r="AG65" s="627">
        <v>7082430448</v>
      </c>
      <c r="AH65" s="494" t="s">
        <v>881</v>
      </c>
      <c r="AI65" s="625" t="s">
        <v>894</v>
      </c>
      <c r="AJ65" s="627">
        <v>29941</v>
      </c>
      <c r="AM65" s="494" t="s">
        <v>786</v>
      </c>
      <c r="AN65" s="625" t="s">
        <v>901</v>
      </c>
      <c r="AO65" s="627">
        <v>22230</v>
      </c>
      <c r="AP65" s="623" t="s">
        <v>882</v>
      </c>
      <c r="AQ65" s="627">
        <v>7089327433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41D4B-35DF-428D-95FC-0430BE8837D1}">
  <dimension ref="A1:AB17"/>
  <sheetViews>
    <sheetView workbookViewId="0">
      <selection sqref="A1:XFD1"/>
    </sheetView>
  </sheetViews>
  <sheetFormatPr defaultRowHeight="15" x14ac:dyDescent="0.25"/>
  <cols>
    <col min="1" max="1" width="15.5703125" style="494" customWidth="1"/>
    <col min="2" max="2" width="25.85546875" style="494" bestFit="1" customWidth="1"/>
    <col min="3" max="3" width="19.28515625" style="494" customWidth="1"/>
    <col min="4" max="4" width="22.5703125" style="494" customWidth="1"/>
    <col min="5" max="5" width="20" style="494" customWidth="1"/>
    <col min="6" max="7" width="17.42578125" style="494" customWidth="1"/>
    <col min="8" max="8" width="18.85546875" style="494" customWidth="1"/>
    <col min="9" max="10" width="19.42578125" style="494" customWidth="1"/>
    <col min="11" max="11" width="18.140625" style="494" customWidth="1"/>
    <col min="12" max="12" width="22.5703125" style="494" customWidth="1"/>
    <col min="13" max="13" width="22.42578125" style="494" customWidth="1"/>
    <col min="14" max="14" width="17.140625" style="494" customWidth="1"/>
    <col min="15" max="15" width="22.7109375" style="494" bestFit="1" customWidth="1"/>
    <col min="16" max="16" width="17.5703125" style="494" customWidth="1"/>
    <col min="17" max="18" width="15.28515625" style="494" customWidth="1"/>
    <col min="19" max="19" width="18.42578125" style="494" customWidth="1"/>
    <col min="20" max="20" width="22.85546875" style="494" bestFit="1" customWidth="1"/>
    <col min="21" max="21" width="18.85546875" style="494" customWidth="1"/>
    <col min="22" max="23" width="16.5703125" style="494" customWidth="1"/>
    <col min="24" max="24" width="17.140625" style="494" customWidth="1"/>
    <col min="25" max="25" width="21.7109375" style="494" bestFit="1" customWidth="1"/>
    <col min="26" max="27" width="15.42578125" style="494" customWidth="1"/>
    <col min="28" max="28" width="13.7109375" style="494" bestFit="1" customWidth="1"/>
    <col min="29" max="16384" width="9.140625" style="494"/>
  </cols>
  <sheetData>
    <row r="1" spans="1:28" x14ac:dyDescent="0.25">
      <c r="A1" s="494" t="s">
        <v>873</v>
      </c>
      <c r="B1" s="494" t="s">
        <v>874</v>
      </c>
      <c r="C1" s="494" t="s">
        <v>875</v>
      </c>
      <c r="D1" s="494" t="s">
        <v>876</v>
      </c>
      <c r="E1" s="494" t="s">
        <v>877</v>
      </c>
      <c r="F1" s="494" t="s">
        <v>878</v>
      </c>
      <c r="G1" s="494" t="s">
        <v>905</v>
      </c>
      <c r="H1" s="494" t="s">
        <v>872</v>
      </c>
      <c r="I1" s="494" t="s">
        <v>978</v>
      </c>
      <c r="J1" s="494" t="s">
        <v>971</v>
      </c>
      <c r="K1" s="494" t="s">
        <v>885</v>
      </c>
      <c r="L1" s="494" t="s">
        <v>884</v>
      </c>
      <c r="M1" s="494" t="s">
        <v>886</v>
      </c>
      <c r="N1" s="494" t="s">
        <v>888</v>
      </c>
      <c r="O1" s="494" t="s">
        <v>889</v>
      </c>
      <c r="P1" s="494" t="s">
        <v>890</v>
      </c>
      <c r="Q1" s="494" t="s">
        <v>891</v>
      </c>
      <c r="R1" s="494" t="s">
        <v>959</v>
      </c>
      <c r="S1" s="494" t="s">
        <v>892</v>
      </c>
      <c r="T1" s="494" t="s">
        <v>893</v>
      </c>
      <c r="U1" s="494" t="s">
        <v>896</v>
      </c>
      <c r="V1" s="494" t="s">
        <v>897</v>
      </c>
      <c r="W1" s="494" t="s">
        <v>958</v>
      </c>
      <c r="X1" s="494" t="s">
        <v>898</v>
      </c>
      <c r="Y1" s="494" t="s">
        <v>900</v>
      </c>
      <c r="Z1" s="494" t="s">
        <v>939</v>
      </c>
      <c r="AA1" s="494" t="s">
        <v>940</v>
      </c>
      <c r="AB1" s="494" t="s">
        <v>957</v>
      </c>
    </row>
    <row r="2" spans="1:28" x14ac:dyDescent="0.25">
      <c r="A2" s="494" t="s">
        <v>343</v>
      </c>
      <c r="B2" s="494" t="s">
        <v>381</v>
      </c>
      <c r="G2" s="494" t="s">
        <v>906</v>
      </c>
      <c r="H2" s="494" t="s">
        <v>783</v>
      </c>
      <c r="I2" s="494" t="s">
        <v>871</v>
      </c>
      <c r="J2" s="494" t="s">
        <v>976</v>
      </c>
      <c r="K2" s="494">
        <v>9504580</v>
      </c>
      <c r="L2" s="494" t="s">
        <v>883</v>
      </c>
      <c r="M2" s="494" t="s">
        <v>887</v>
      </c>
      <c r="N2" s="494" t="s">
        <v>879</v>
      </c>
      <c r="O2" s="494" t="s">
        <v>895</v>
      </c>
      <c r="P2" s="494">
        <v>29940</v>
      </c>
      <c r="Q2" s="494" t="s">
        <v>880</v>
      </c>
      <c r="R2" s="494" t="s">
        <v>964</v>
      </c>
      <c r="S2" s="494" t="s">
        <v>881</v>
      </c>
      <c r="T2" s="494" t="s">
        <v>894</v>
      </c>
      <c r="U2" s="494">
        <v>29941</v>
      </c>
      <c r="X2" s="494" t="s">
        <v>786</v>
      </c>
      <c r="Y2" s="494" t="s">
        <v>901</v>
      </c>
      <c r="Z2" s="494" t="s">
        <v>902</v>
      </c>
      <c r="AA2" s="494" t="s">
        <v>882</v>
      </c>
      <c r="AB2" s="494" t="s">
        <v>960</v>
      </c>
    </row>
    <row r="3" spans="1:28" x14ac:dyDescent="0.25">
      <c r="A3" s="494" t="s">
        <v>349</v>
      </c>
      <c r="C3" s="494" t="s">
        <v>807</v>
      </c>
      <c r="G3" s="494" t="s">
        <v>907</v>
      </c>
      <c r="H3" s="494" t="s">
        <v>783</v>
      </c>
      <c r="I3" s="494" t="s">
        <v>871</v>
      </c>
      <c r="J3" s="494" t="s">
        <v>976</v>
      </c>
      <c r="K3" s="494">
        <v>9504580</v>
      </c>
      <c r="L3" s="494" t="s">
        <v>883</v>
      </c>
      <c r="M3" s="494" t="s">
        <v>887</v>
      </c>
      <c r="N3" s="494" t="s">
        <v>879</v>
      </c>
      <c r="O3" s="494" t="s">
        <v>895</v>
      </c>
      <c r="P3" s="494">
        <v>29940</v>
      </c>
      <c r="Q3" s="494" t="s">
        <v>880</v>
      </c>
      <c r="R3" s="494" t="s">
        <v>964</v>
      </c>
      <c r="S3" s="494" t="s">
        <v>881</v>
      </c>
      <c r="T3" s="494" t="s">
        <v>894</v>
      </c>
      <c r="U3" s="494">
        <v>29941</v>
      </c>
      <c r="X3" s="494" t="s">
        <v>786</v>
      </c>
      <c r="Y3" s="494" t="s">
        <v>901</v>
      </c>
      <c r="Z3" s="494" t="s">
        <v>902</v>
      </c>
      <c r="AA3" s="494" t="s">
        <v>882</v>
      </c>
      <c r="AB3" s="494" t="s">
        <v>960</v>
      </c>
    </row>
    <row r="4" spans="1:28" x14ac:dyDescent="0.25">
      <c r="A4" s="494" t="s">
        <v>305</v>
      </c>
      <c r="C4" s="494" t="s">
        <v>807</v>
      </c>
      <c r="G4" s="494" t="s">
        <v>908</v>
      </c>
      <c r="H4" s="494" t="s">
        <v>783</v>
      </c>
      <c r="I4" s="494" t="s">
        <v>871</v>
      </c>
      <c r="J4" s="494" t="s">
        <v>976</v>
      </c>
      <c r="K4" s="494">
        <v>9504580</v>
      </c>
      <c r="L4" s="494" t="s">
        <v>883</v>
      </c>
      <c r="M4" s="494" t="s">
        <v>887</v>
      </c>
      <c r="N4" s="494" t="s">
        <v>879</v>
      </c>
      <c r="O4" s="494" t="s">
        <v>895</v>
      </c>
      <c r="P4" s="494">
        <v>29940</v>
      </c>
      <c r="Q4" s="494" t="s">
        <v>880</v>
      </c>
      <c r="R4" s="494" t="s">
        <v>964</v>
      </c>
      <c r="S4" s="494" t="s">
        <v>881</v>
      </c>
      <c r="T4" s="494" t="s">
        <v>894</v>
      </c>
      <c r="U4" s="494">
        <v>29941</v>
      </c>
      <c r="X4" s="494" t="s">
        <v>786</v>
      </c>
      <c r="Y4" s="494" t="s">
        <v>901</v>
      </c>
      <c r="Z4" s="494" t="s">
        <v>902</v>
      </c>
      <c r="AA4" s="494" t="s">
        <v>882</v>
      </c>
      <c r="AB4" s="494" t="s">
        <v>960</v>
      </c>
    </row>
    <row r="5" spans="1:28" x14ac:dyDescent="0.25">
      <c r="A5" s="494" t="s">
        <v>308</v>
      </c>
      <c r="B5" s="494" t="s">
        <v>381</v>
      </c>
      <c r="C5" s="494" t="s">
        <v>807</v>
      </c>
      <c r="G5" s="494" t="s">
        <v>909</v>
      </c>
      <c r="H5" s="494" t="s">
        <v>783</v>
      </c>
      <c r="I5" s="494" t="s">
        <v>871</v>
      </c>
      <c r="J5" s="494" t="s">
        <v>976</v>
      </c>
      <c r="K5" s="494">
        <v>9504580</v>
      </c>
      <c r="L5" s="494" t="s">
        <v>883</v>
      </c>
      <c r="M5" s="494" t="s">
        <v>887</v>
      </c>
      <c r="N5" s="494" t="s">
        <v>879</v>
      </c>
      <c r="O5" s="494" t="s">
        <v>895</v>
      </c>
      <c r="P5" s="494">
        <v>29940</v>
      </c>
      <c r="Q5" s="494" t="s">
        <v>880</v>
      </c>
      <c r="R5" s="494" t="s">
        <v>964</v>
      </c>
      <c r="S5" s="494" t="s">
        <v>881</v>
      </c>
      <c r="T5" s="494" t="s">
        <v>894</v>
      </c>
      <c r="U5" s="494">
        <v>29941</v>
      </c>
      <c r="X5" s="494" t="s">
        <v>786</v>
      </c>
      <c r="Y5" s="494" t="s">
        <v>901</v>
      </c>
      <c r="Z5" s="494" t="s">
        <v>902</v>
      </c>
      <c r="AA5" s="494" t="s">
        <v>882</v>
      </c>
      <c r="AB5" s="494" t="s">
        <v>960</v>
      </c>
    </row>
    <row r="6" spans="1:28" x14ac:dyDescent="0.25">
      <c r="A6" s="494" t="s">
        <v>310</v>
      </c>
      <c r="G6" s="494" t="s">
        <v>910</v>
      </c>
      <c r="H6" s="494" t="s">
        <v>783</v>
      </c>
      <c r="I6" s="494" t="s">
        <v>871</v>
      </c>
      <c r="J6" s="494" t="s">
        <v>976</v>
      </c>
      <c r="K6" s="494">
        <v>9504580</v>
      </c>
      <c r="L6" s="494" t="s">
        <v>883</v>
      </c>
      <c r="M6" s="494" t="s">
        <v>887</v>
      </c>
      <c r="N6" s="494" t="s">
        <v>879</v>
      </c>
      <c r="O6" s="494" t="s">
        <v>895</v>
      </c>
      <c r="P6" s="494">
        <v>29940</v>
      </c>
      <c r="Q6" s="494" t="s">
        <v>880</v>
      </c>
      <c r="R6" s="494" t="s">
        <v>964</v>
      </c>
      <c r="S6" s="494" t="s">
        <v>881</v>
      </c>
      <c r="T6" s="494" t="s">
        <v>894</v>
      </c>
      <c r="U6" s="494">
        <v>29941</v>
      </c>
      <c r="X6" s="494" t="s">
        <v>786</v>
      </c>
      <c r="Y6" s="494" t="s">
        <v>901</v>
      </c>
      <c r="Z6" s="494" t="s">
        <v>902</v>
      </c>
      <c r="AA6" s="494" t="s">
        <v>882</v>
      </c>
      <c r="AB6" s="494" t="s">
        <v>960</v>
      </c>
    </row>
    <row r="7" spans="1:28" x14ac:dyDescent="0.25">
      <c r="A7" s="494" t="s">
        <v>312</v>
      </c>
      <c r="C7" s="494" t="s">
        <v>807</v>
      </c>
      <c r="G7" s="494" t="s">
        <v>911</v>
      </c>
      <c r="H7" s="494" t="s">
        <v>783</v>
      </c>
      <c r="I7" s="494" t="s">
        <v>871</v>
      </c>
      <c r="J7" s="494" t="s">
        <v>976</v>
      </c>
      <c r="K7" s="494">
        <v>9504580</v>
      </c>
      <c r="L7" s="494" t="s">
        <v>883</v>
      </c>
      <c r="M7" s="494" t="s">
        <v>887</v>
      </c>
      <c r="N7" s="494" t="s">
        <v>879</v>
      </c>
      <c r="O7" s="494" t="s">
        <v>895</v>
      </c>
      <c r="P7" s="494">
        <v>29940</v>
      </c>
      <c r="Q7" s="494" t="s">
        <v>880</v>
      </c>
      <c r="R7" s="494" t="s">
        <v>964</v>
      </c>
      <c r="S7" s="494" t="s">
        <v>881</v>
      </c>
      <c r="T7" s="494" t="s">
        <v>894</v>
      </c>
      <c r="U7" s="494">
        <v>29941</v>
      </c>
      <c r="X7" s="494" t="s">
        <v>786</v>
      </c>
      <c r="Y7" s="494" t="s">
        <v>901</v>
      </c>
      <c r="Z7" s="494" t="s">
        <v>902</v>
      </c>
      <c r="AA7" s="494" t="s">
        <v>882</v>
      </c>
      <c r="AB7" s="494" t="s">
        <v>960</v>
      </c>
    </row>
    <row r="8" spans="1:28" x14ac:dyDescent="0.25">
      <c r="A8" s="494" t="s">
        <v>315</v>
      </c>
      <c r="B8" s="494" t="s">
        <v>815</v>
      </c>
      <c r="C8" s="494" t="s">
        <v>807</v>
      </c>
      <c r="G8" s="494" t="s">
        <v>912</v>
      </c>
      <c r="H8" s="494" t="s">
        <v>783</v>
      </c>
      <c r="I8" s="494" t="s">
        <v>871</v>
      </c>
      <c r="J8" s="494" t="s">
        <v>976</v>
      </c>
      <c r="K8" s="494">
        <v>9504580</v>
      </c>
      <c r="L8" s="494" t="s">
        <v>883</v>
      </c>
      <c r="M8" s="494" t="s">
        <v>887</v>
      </c>
      <c r="N8" s="494" t="s">
        <v>879</v>
      </c>
      <c r="O8" s="494" t="s">
        <v>895</v>
      </c>
      <c r="P8" s="494">
        <v>29940</v>
      </c>
      <c r="Q8" s="494" t="s">
        <v>880</v>
      </c>
      <c r="R8" s="494" t="s">
        <v>964</v>
      </c>
      <c r="S8" s="494" t="s">
        <v>881</v>
      </c>
      <c r="T8" s="494" t="s">
        <v>894</v>
      </c>
      <c r="U8" s="494">
        <v>29941</v>
      </c>
      <c r="X8" s="494" t="s">
        <v>786</v>
      </c>
      <c r="Y8" s="494" t="s">
        <v>901</v>
      </c>
      <c r="Z8" s="494" t="s">
        <v>902</v>
      </c>
      <c r="AA8" s="494" t="s">
        <v>882</v>
      </c>
      <c r="AB8" s="494" t="s">
        <v>960</v>
      </c>
    </row>
    <row r="9" spans="1:28" x14ac:dyDescent="0.25">
      <c r="A9" s="494" t="s">
        <v>352</v>
      </c>
      <c r="B9" s="494" t="s">
        <v>815</v>
      </c>
      <c r="C9" s="494" t="s">
        <v>807</v>
      </c>
      <c r="G9" s="494" t="s">
        <v>913</v>
      </c>
      <c r="H9" s="494" t="s">
        <v>783</v>
      </c>
      <c r="I9" s="494" t="s">
        <v>871</v>
      </c>
      <c r="J9" s="494" t="s">
        <v>976</v>
      </c>
      <c r="K9" s="494">
        <v>9504580</v>
      </c>
      <c r="L9" s="494" t="s">
        <v>883</v>
      </c>
      <c r="M9" s="494" t="s">
        <v>887</v>
      </c>
      <c r="N9" s="494" t="s">
        <v>879</v>
      </c>
      <c r="O9" s="494" t="s">
        <v>895</v>
      </c>
      <c r="P9" s="494">
        <v>29940</v>
      </c>
      <c r="Q9" s="494" t="s">
        <v>880</v>
      </c>
      <c r="R9" s="494" t="s">
        <v>964</v>
      </c>
      <c r="S9" s="494" t="s">
        <v>881</v>
      </c>
      <c r="T9" s="494" t="s">
        <v>894</v>
      </c>
      <c r="U9" s="494">
        <v>29941</v>
      </c>
      <c r="X9" s="494" t="s">
        <v>786</v>
      </c>
      <c r="Y9" s="494" t="s">
        <v>901</v>
      </c>
      <c r="Z9" s="494" t="s">
        <v>902</v>
      </c>
      <c r="AA9" s="494" t="s">
        <v>882</v>
      </c>
      <c r="AB9" s="494" t="s">
        <v>960</v>
      </c>
    </row>
    <row r="10" spans="1:28" ht="15" customHeight="1" x14ac:dyDescent="0.25">
      <c r="A10" s="494" t="s">
        <v>353</v>
      </c>
      <c r="B10" s="494" t="s">
        <v>354</v>
      </c>
      <c r="G10" s="494" t="s">
        <v>914</v>
      </c>
      <c r="H10" s="494" t="s">
        <v>783</v>
      </c>
      <c r="I10" s="494" t="s">
        <v>871</v>
      </c>
      <c r="J10" s="494" t="s">
        <v>976</v>
      </c>
      <c r="K10" s="494">
        <v>9504580</v>
      </c>
      <c r="L10" s="494" t="s">
        <v>883</v>
      </c>
      <c r="M10" s="494" t="s">
        <v>887</v>
      </c>
      <c r="N10" s="494" t="s">
        <v>879</v>
      </c>
      <c r="O10" s="494" t="s">
        <v>895</v>
      </c>
      <c r="P10" s="494">
        <v>29940</v>
      </c>
      <c r="Q10" s="494" t="s">
        <v>880</v>
      </c>
      <c r="R10" s="494" t="s">
        <v>964</v>
      </c>
      <c r="S10" s="494" t="s">
        <v>881</v>
      </c>
      <c r="T10" s="494" t="s">
        <v>894</v>
      </c>
      <c r="U10" s="494">
        <v>29941</v>
      </c>
      <c r="X10" s="494" t="s">
        <v>786</v>
      </c>
      <c r="Y10" s="494" t="s">
        <v>901</v>
      </c>
      <c r="Z10" s="494" t="s">
        <v>902</v>
      </c>
      <c r="AA10" s="494" t="s">
        <v>882</v>
      </c>
      <c r="AB10" s="494" t="s">
        <v>960</v>
      </c>
    </row>
    <row r="11" spans="1:28" ht="15.75" customHeight="1" x14ac:dyDescent="0.25">
      <c r="A11" s="494" t="s">
        <v>355</v>
      </c>
      <c r="G11" s="494" t="s">
        <v>915</v>
      </c>
      <c r="H11" s="494" t="s">
        <v>783</v>
      </c>
      <c r="I11" s="494" t="s">
        <v>871</v>
      </c>
      <c r="J11" s="494" t="s">
        <v>976</v>
      </c>
      <c r="K11" s="494">
        <v>9504580</v>
      </c>
      <c r="L11" s="494" t="s">
        <v>883</v>
      </c>
      <c r="M11" s="494" t="s">
        <v>887</v>
      </c>
      <c r="N11" s="494" t="s">
        <v>879</v>
      </c>
      <c r="O11" s="494" t="s">
        <v>895</v>
      </c>
      <c r="P11" s="494">
        <v>29940</v>
      </c>
      <c r="Q11" s="494" t="s">
        <v>880</v>
      </c>
      <c r="R11" s="494" t="s">
        <v>964</v>
      </c>
      <c r="S11" s="494" t="s">
        <v>881</v>
      </c>
      <c r="T11" s="494" t="s">
        <v>894</v>
      </c>
      <c r="U11" s="494">
        <v>29941</v>
      </c>
      <c r="X11" s="494" t="s">
        <v>786</v>
      </c>
      <c r="Y11" s="494" t="s">
        <v>901</v>
      </c>
      <c r="Z11" s="494" t="s">
        <v>902</v>
      </c>
      <c r="AA11" s="494" t="s">
        <v>882</v>
      </c>
      <c r="AB11" s="494" t="s">
        <v>960</v>
      </c>
    </row>
    <row r="12" spans="1:28" x14ac:dyDescent="0.25">
      <c r="A12" s="494" t="s">
        <v>318</v>
      </c>
      <c r="G12" s="494" t="s">
        <v>916</v>
      </c>
      <c r="H12" s="494" t="s">
        <v>783</v>
      </c>
      <c r="I12" s="494" t="s">
        <v>871</v>
      </c>
      <c r="J12" s="494" t="s">
        <v>976</v>
      </c>
      <c r="K12" s="494">
        <v>9504580</v>
      </c>
      <c r="L12" s="494" t="s">
        <v>883</v>
      </c>
      <c r="M12" s="494" t="s">
        <v>887</v>
      </c>
      <c r="N12" s="494" t="s">
        <v>879</v>
      </c>
      <c r="O12" s="494" t="s">
        <v>895</v>
      </c>
      <c r="P12" s="494">
        <v>29940</v>
      </c>
      <c r="Q12" s="494" t="s">
        <v>880</v>
      </c>
      <c r="R12" s="494" t="s">
        <v>964</v>
      </c>
      <c r="S12" s="494" t="s">
        <v>881</v>
      </c>
      <c r="T12" s="494" t="s">
        <v>894</v>
      </c>
      <c r="U12" s="494">
        <v>29941</v>
      </c>
      <c r="X12" s="494" t="s">
        <v>786</v>
      </c>
      <c r="Y12" s="494" t="s">
        <v>901</v>
      </c>
      <c r="Z12" s="494" t="s">
        <v>902</v>
      </c>
      <c r="AA12" s="494" t="s">
        <v>882</v>
      </c>
      <c r="AB12" s="494" t="s">
        <v>960</v>
      </c>
    </row>
    <row r="13" spans="1:28" x14ac:dyDescent="0.25">
      <c r="A13" s="494" t="s">
        <v>321</v>
      </c>
      <c r="C13" s="494" t="s">
        <v>807</v>
      </c>
      <c r="F13" s="494" t="s">
        <v>807</v>
      </c>
      <c r="G13" s="494" t="s">
        <v>917</v>
      </c>
      <c r="H13" s="494" t="s">
        <v>783</v>
      </c>
      <c r="I13" s="494" t="s">
        <v>871</v>
      </c>
      <c r="J13" s="494" t="s">
        <v>976</v>
      </c>
      <c r="K13" s="494">
        <v>9504580</v>
      </c>
      <c r="L13" s="494" t="s">
        <v>883</v>
      </c>
      <c r="M13" s="494" t="s">
        <v>887</v>
      </c>
      <c r="N13" s="494" t="s">
        <v>879</v>
      </c>
      <c r="O13" s="494" t="s">
        <v>895</v>
      </c>
      <c r="P13" s="494">
        <v>29940</v>
      </c>
      <c r="Q13" s="494" t="s">
        <v>880</v>
      </c>
      <c r="R13" s="494" t="s">
        <v>964</v>
      </c>
      <c r="S13" s="494" t="s">
        <v>881</v>
      </c>
      <c r="T13" s="494" t="s">
        <v>894</v>
      </c>
      <c r="U13" s="494">
        <v>29941</v>
      </c>
      <c r="X13" s="494" t="s">
        <v>786</v>
      </c>
      <c r="Y13" s="494" t="s">
        <v>901</v>
      </c>
      <c r="Z13" s="494" t="s">
        <v>902</v>
      </c>
      <c r="AA13" s="494" t="s">
        <v>882</v>
      </c>
      <c r="AB13" s="494" t="s">
        <v>960</v>
      </c>
    </row>
    <row r="14" spans="1:28" x14ac:dyDescent="0.25">
      <c r="A14" s="494" t="s">
        <v>324</v>
      </c>
      <c r="C14" s="494" t="s">
        <v>807</v>
      </c>
      <c r="F14" s="494" t="s">
        <v>807</v>
      </c>
      <c r="G14" s="494" t="s">
        <v>918</v>
      </c>
      <c r="H14" s="494" t="s">
        <v>783</v>
      </c>
      <c r="I14" s="494" t="s">
        <v>871</v>
      </c>
      <c r="J14" s="494" t="s">
        <v>976</v>
      </c>
      <c r="K14" s="494">
        <v>9504580</v>
      </c>
      <c r="L14" s="494" t="s">
        <v>883</v>
      </c>
      <c r="M14" s="494" t="s">
        <v>887</v>
      </c>
      <c r="N14" s="494" t="s">
        <v>879</v>
      </c>
      <c r="O14" s="494" t="s">
        <v>895</v>
      </c>
      <c r="P14" s="494">
        <v>29940</v>
      </c>
      <c r="Q14" s="494" t="s">
        <v>880</v>
      </c>
      <c r="R14" s="494" t="s">
        <v>964</v>
      </c>
      <c r="S14" s="494" t="s">
        <v>881</v>
      </c>
      <c r="T14" s="494" t="s">
        <v>894</v>
      </c>
      <c r="U14" s="494">
        <v>29941</v>
      </c>
      <c r="X14" s="494" t="s">
        <v>786</v>
      </c>
      <c r="Y14" s="494" t="s">
        <v>901</v>
      </c>
      <c r="Z14" s="494" t="s">
        <v>902</v>
      </c>
      <c r="AA14" s="494" t="s">
        <v>882</v>
      </c>
      <c r="AB14" s="494" t="s">
        <v>960</v>
      </c>
    </row>
    <row r="15" spans="1:28" x14ac:dyDescent="0.25">
      <c r="A15" s="494" t="s">
        <v>325</v>
      </c>
      <c r="C15" s="494" t="s">
        <v>807</v>
      </c>
      <c r="F15" s="494" t="s">
        <v>807</v>
      </c>
      <c r="G15" s="494" t="s">
        <v>919</v>
      </c>
      <c r="H15" s="494" t="s">
        <v>783</v>
      </c>
      <c r="I15" s="494" t="s">
        <v>871</v>
      </c>
      <c r="J15" s="494" t="s">
        <v>976</v>
      </c>
      <c r="K15" s="494">
        <v>9504580</v>
      </c>
      <c r="L15" s="494" t="s">
        <v>883</v>
      </c>
      <c r="M15" s="494" t="s">
        <v>887</v>
      </c>
      <c r="N15" s="494" t="s">
        <v>879</v>
      </c>
      <c r="O15" s="494" t="s">
        <v>895</v>
      </c>
      <c r="P15" s="494">
        <v>29940</v>
      </c>
      <c r="Q15" s="494" t="s">
        <v>880</v>
      </c>
      <c r="R15" s="494" t="s">
        <v>964</v>
      </c>
      <c r="S15" s="494" t="s">
        <v>881</v>
      </c>
      <c r="T15" s="494" t="s">
        <v>894</v>
      </c>
      <c r="U15" s="494">
        <v>29941</v>
      </c>
      <c r="X15" s="494" t="s">
        <v>786</v>
      </c>
      <c r="Y15" s="494" t="s">
        <v>901</v>
      </c>
      <c r="Z15" s="494" t="s">
        <v>902</v>
      </c>
      <c r="AA15" s="494" t="s">
        <v>882</v>
      </c>
      <c r="AB15" s="494" t="s">
        <v>960</v>
      </c>
    </row>
    <row r="16" spans="1:28" x14ac:dyDescent="0.25">
      <c r="A16" s="494" t="s">
        <v>357</v>
      </c>
      <c r="C16" s="494" t="s">
        <v>807</v>
      </c>
      <c r="F16" s="494" t="s">
        <v>807</v>
      </c>
      <c r="G16" s="494" t="s">
        <v>920</v>
      </c>
      <c r="H16" s="494" t="s">
        <v>783</v>
      </c>
      <c r="I16" s="494" t="s">
        <v>871</v>
      </c>
      <c r="J16" s="494" t="s">
        <v>976</v>
      </c>
      <c r="K16" s="494">
        <v>9504580</v>
      </c>
      <c r="L16" s="494" t="s">
        <v>883</v>
      </c>
      <c r="M16" s="494" t="s">
        <v>887</v>
      </c>
      <c r="N16" s="494" t="s">
        <v>879</v>
      </c>
      <c r="O16" s="494" t="s">
        <v>895</v>
      </c>
      <c r="P16" s="494">
        <v>29940</v>
      </c>
      <c r="Q16" s="494" t="s">
        <v>880</v>
      </c>
      <c r="R16" s="494" t="s">
        <v>964</v>
      </c>
      <c r="S16" s="494" t="s">
        <v>881</v>
      </c>
      <c r="T16" s="494" t="s">
        <v>894</v>
      </c>
      <c r="U16" s="494">
        <v>29941</v>
      </c>
      <c r="X16" s="494" t="s">
        <v>786</v>
      </c>
      <c r="Y16" s="494" t="s">
        <v>901</v>
      </c>
      <c r="Z16" s="494" t="s">
        <v>902</v>
      </c>
      <c r="AA16" s="494" t="s">
        <v>882</v>
      </c>
      <c r="AB16" s="494" t="s">
        <v>960</v>
      </c>
    </row>
    <row r="17" spans="1:28" x14ac:dyDescent="0.25">
      <c r="A17" s="494" t="s">
        <v>358</v>
      </c>
      <c r="C17" s="494" t="s">
        <v>807</v>
      </c>
      <c r="F17" s="494" t="s">
        <v>807</v>
      </c>
      <c r="G17" s="494" t="s">
        <v>921</v>
      </c>
      <c r="H17" s="494" t="s">
        <v>783</v>
      </c>
      <c r="I17" s="494" t="s">
        <v>871</v>
      </c>
      <c r="J17" s="494" t="s">
        <v>976</v>
      </c>
      <c r="K17" s="494">
        <v>9504580</v>
      </c>
      <c r="L17" s="494" t="s">
        <v>883</v>
      </c>
      <c r="M17" s="494" t="s">
        <v>887</v>
      </c>
      <c r="N17" s="494" t="s">
        <v>879</v>
      </c>
      <c r="O17" s="494" t="s">
        <v>895</v>
      </c>
      <c r="P17" s="494">
        <v>29940</v>
      </c>
      <c r="Q17" s="494" t="s">
        <v>880</v>
      </c>
      <c r="R17" s="494" t="s">
        <v>964</v>
      </c>
      <c r="S17" s="494" t="s">
        <v>881</v>
      </c>
      <c r="T17" s="494" t="s">
        <v>894</v>
      </c>
      <c r="U17" s="494">
        <v>29941</v>
      </c>
      <c r="X17" s="494" t="s">
        <v>786</v>
      </c>
      <c r="Y17" s="494" t="s">
        <v>901</v>
      </c>
      <c r="Z17" s="494" t="s">
        <v>902</v>
      </c>
      <c r="AA17" s="494" t="s">
        <v>882</v>
      </c>
      <c r="AB17" s="494" t="s">
        <v>960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B9353-0B16-42FE-AA5D-86F1334AA42E}">
  <dimension ref="A1:AB17"/>
  <sheetViews>
    <sheetView workbookViewId="0">
      <selection activeCell="K14" sqref="K14"/>
    </sheetView>
  </sheetViews>
  <sheetFormatPr defaultRowHeight="15" x14ac:dyDescent="0.25"/>
  <cols>
    <col min="1" max="1" width="15.5703125" style="494" customWidth="1"/>
    <col min="2" max="2" width="25.85546875" style="494" bestFit="1" customWidth="1"/>
    <col min="3" max="3" width="19.28515625" style="494" customWidth="1"/>
    <col min="4" max="4" width="22.5703125" style="494" customWidth="1"/>
    <col min="5" max="5" width="20" style="494" customWidth="1"/>
    <col min="6" max="7" width="17.42578125" style="494" customWidth="1"/>
    <col min="8" max="8" width="18.85546875" style="494" customWidth="1"/>
    <col min="9" max="10" width="19.42578125" style="494" customWidth="1"/>
    <col min="11" max="11" width="18.140625" style="494" customWidth="1"/>
    <col min="12" max="12" width="22.5703125" style="494" customWidth="1"/>
    <col min="13" max="13" width="22.42578125" style="494" customWidth="1"/>
    <col min="14" max="14" width="17.140625" style="494" customWidth="1"/>
    <col min="15" max="15" width="22.7109375" style="494" bestFit="1" customWidth="1"/>
    <col min="16" max="16" width="17.5703125" style="494" customWidth="1"/>
    <col min="17" max="18" width="15.28515625" style="494" customWidth="1"/>
    <col min="19" max="19" width="18.42578125" style="494" customWidth="1"/>
    <col min="20" max="20" width="22.85546875" style="494" bestFit="1" customWidth="1"/>
    <col min="21" max="21" width="18.85546875" style="494" customWidth="1"/>
    <col min="22" max="23" width="16.5703125" style="494" customWidth="1"/>
    <col min="24" max="24" width="17.140625" style="494" customWidth="1"/>
    <col min="25" max="25" width="21.7109375" style="494" bestFit="1" customWidth="1"/>
    <col min="26" max="27" width="15.42578125" style="494" customWidth="1"/>
    <col min="28" max="28" width="13.7109375" style="494" bestFit="1" customWidth="1"/>
    <col min="29" max="16384" width="9.140625" style="494"/>
  </cols>
  <sheetData>
    <row r="1" spans="1:28" x14ac:dyDescent="0.25">
      <c r="A1" s="494" t="s">
        <v>873</v>
      </c>
      <c r="B1" s="494" t="s">
        <v>874</v>
      </c>
      <c r="C1" s="494" t="s">
        <v>875</v>
      </c>
      <c r="D1" s="494" t="s">
        <v>876</v>
      </c>
      <c r="E1" s="494" t="s">
        <v>877</v>
      </c>
      <c r="F1" s="494" t="s">
        <v>878</v>
      </c>
      <c r="G1" s="494" t="s">
        <v>905</v>
      </c>
      <c r="H1" s="494" t="s">
        <v>872</v>
      </c>
      <c r="I1" s="494" t="s">
        <v>978</v>
      </c>
      <c r="J1" s="494" t="s">
        <v>971</v>
      </c>
      <c r="K1" s="494" t="s">
        <v>885</v>
      </c>
      <c r="L1" s="494" t="s">
        <v>884</v>
      </c>
      <c r="M1" s="494" t="s">
        <v>886</v>
      </c>
      <c r="N1" s="494" t="s">
        <v>888</v>
      </c>
      <c r="O1" s="494" t="s">
        <v>889</v>
      </c>
      <c r="P1" s="494" t="s">
        <v>890</v>
      </c>
      <c r="Q1" s="494" t="s">
        <v>891</v>
      </c>
      <c r="R1" s="494" t="s">
        <v>959</v>
      </c>
      <c r="S1" s="494" t="s">
        <v>892</v>
      </c>
      <c r="T1" s="494" t="s">
        <v>893</v>
      </c>
      <c r="U1" s="494" t="s">
        <v>896</v>
      </c>
      <c r="V1" s="494" t="s">
        <v>897</v>
      </c>
      <c r="W1" s="494" t="s">
        <v>958</v>
      </c>
      <c r="X1" s="494" t="s">
        <v>898</v>
      </c>
      <c r="Y1" s="494" t="s">
        <v>900</v>
      </c>
      <c r="Z1" s="494" t="s">
        <v>939</v>
      </c>
      <c r="AA1" s="494" t="s">
        <v>940</v>
      </c>
      <c r="AB1" s="494" t="s">
        <v>963</v>
      </c>
    </row>
    <row r="2" spans="1:28" x14ac:dyDescent="0.25">
      <c r="A2" s="494" t="s">
        <v>343</v>
      </c>
      <c r="B2" s="494" t="s">
        <v>805</v>
      </c>
      <c r="C2" s="494" t="s">
        <v>805</v>
      </c>
      <c r="G2" s="494" t="s">
        <v>906</v>
      </c>
      <c r="H2" s="494" t="s">
        <v>783</v>
      </c>
      <c r="I2" s="494" t="s">
        <v>903</v>
      </c>
      <c r="J2" s="494" t="s">
        <v>977</v>
      </c>
      <c r="K2" s="494">
        <v>9504585</v>
      </c>
      <c r="L2" s="494">
        <v>29947</v>
      </c>
      <c r="M2" s="494" t="s">
        <v>904</v>
      </c>
      <c r="N2" s="494" t="s">
        <v>879</v>
      </c>
      <c r="O2" s="494" t="s">
        <v>895</v>
      </c>
      <c r="P2" s="494">
        <v>29940</v>
      </c>
      <c r="Q2" s="494" t="s">
        <v>880</v>
      </c>
      <c r="R2" s="494" t="s">
        <v>964</v>
      </c>
      <c r="S2" s="494" t="s">
        <v>881</v>
      </c>
      <c r="T2" s="494" t="s">
        <v>894</v>
      </c>
      <c r="U2" s="494">
        <v>29941</v>
      </c>
      <c r="X2" s="494" t="s">
        <v>786</v>
      </c>
      <c r="Y2" s="494" t="s">
        <v>901</v>
      </c>
      <c r="Z2" s="494" t="s">
        <v>902</v>
      </c>
      <c r="AA2" s="494" t="s">
        <v>882</v>
      </c>
      <c r="AB2" s="494" t="s">
        <v>960</v>
      </c>
    </row>
    <row r="3" spans="1:28" x14ac:dyDescent="0.25">
      <c r="A3" s="494" t="s">
        <v>349</v>
      </c>
      <c r="B3" s="494" t="s">
        <v>805</v>
      </c>
      <c r="C3" s="494" t="s">
        <v>805</v>
      </c>
      <c r="G3" s="494" t="s">
        <v>907</v>
      </c>
      <c r="H3" s="494" t="s">
        <v>783</v>
      </c>
      <c r="I3" s="494" t="s">
        <v>903</v>
      </c>
      <c r="J3" s="494" t="s">
        <v>977</v>
      </c>
      <c r="K3" s="494">
        <v>9504585</v>
      </c>
      <c r="L3" s="494">
        <v>29947</v>
      </c>
      <c r="M3" s="494" t="s">
        <v>904</v>
      </c>
      <c r="N3" s="494" t="s">
        <v>879</v>
      </c>
      <c r="O3" s="494" t="s">
        <v>895</v>
      </c>
      <c r="P3" s="494">
        <v>29940</v>
      </c>
      <c r="Q3" s="494" t="s">
        <v>880</v>
      </c>
      <c r="R3" s="494" t="s">
        <v>964</v>
      </c>
      <c r="S3" s="494" t="s">
        <v>881</v>
      </c>
      <c r="T3" s="494" t="s">
        <v>894</v>
      </c>
      <c r="U3" s="494">
        <v>29941</v>
      </c>
      <c r="X3" s="494" t="s">
        <v>786</v>
      </c>
      <c r="Y3" s="494" t="s">
        <v>901</v>
      </c>
      <c r="Z3" s="494" t="s">
        <v>902</v>
      </c>
      <c r="AA3" s="494" t="s">
        <v>882</v>
      </c>
      <c r="AB3" s="494" t="s">
        <v>960</v>
      </c>
    </row>
    <row r="4" spans="1:28" x14ac:dyDescent="0.25">
      <c r="A4" s="494" t="s">
        <v>305</v>
      </c>
      <c r="B4" s="494" t="s">
        <v>805</v>
      </c>
      <c r="C4" s="494" t="s">
        <v>805</v>
      </c>
      <c r="G4" s="494" t="s">
        <v>908</v>
      </c>
      <c r="H4" s="494" t="s">
        <v>783</v>
      </c>
      <c r="I4" s="494" t="s">
        <v>903</v>
      </c>
      <c r="J4" s="494" t="s">
        <v>977</v>
      </c>
      <c r="K4" s="494">
        <v>9504585</v>
      </c>
      <c r="L4" s="494">
        <v>29947</v>
      </c>
      <c r="M4" s="494" t="s">
        <v>904</v>
      </c>
      <c r="N4" s="494" t="s">
        <v>879</v>
      </c>
      <c r="O4" s="494" t="s">
        <v>895</v>
      </c>
      <c r="P4" s="494">
        <v>29940</v>
      </c>
      <c r="Q4" s="494" t="s">
        <v>880</v>
      </c>
      <c r="R4" s="494" t="s">
        <v>964</v>
      </c>
      <c r="S4" s="494" t="s">
        <v>881</v>
      </c>
      <c r="T4" s="494" t="s">
        <v>894</v>
      </c>
      <c r="U4" s="494">
        <v>29941</v>
      </c>
      <c r="X4" s="494" t="s">
        <v>786</v>
      </c>
      <c r="Y4" s="494" t="s">
        <v>901</v>
      </c>
      <c r="Z4" s="494" t="s">
        <v>902</v>
      </c>
      <c r="AA4" s="494" t="s">
        <v>882</v>
      </c>
      <c r="AB4" s="494" t="s">
        <v>960</v>
      </c>
    </row>
    <row r="5" spans="1:28" x14ac:dyDescent="0.25">
      <c r="A5" s="494" t="s">
        <v>308</v>
      </c>
      <c r="B5" s="494" t="s">
        <v>805</v>
      </c>
      <c r="C5" s="494" t="s">
        <v>805</v>
      </c>
      <c r="G5" s="494" t="s">
        <v>909</v>
      </c>
      <c r="H5" s="494" t="s">
        <v>783</v>
      </c>
      <c r="I5" s="494" t="s">
        <v>903</v>
      </c>
      <c r="J5" s="494" t="s">
        <v>977</v>
      </c>
      <c r="K5" s="494">
        <v>9504585</v>
      </c>
      <c r="L5" s="494">
        <v>29947</v>
      </c>
      <c r="M5" s="494" t="s">
        <v>904</v>
      </c>
      <c r="N5" s="494" t="s">
        <v>879</v>
      </c>
      <c r="O5" s="494" t="s">
        <v>895</v>
      </c>
      <c r="P5" s="494">
        <v>29940</v>
      </c>
      <c r="Q5" s="494" t="s">
        <v>880</v>
      </c>
      <c r="R5" s="494" t="s">
        <v>964</v>
      </c>
      <c r="S5" s="494" t="s">
        <v>881</v>
      </c>
      <c r="T5" s="494" t="s">
        <v>894</v>
      </c>
      <c r="U5" s="494">
        <v>29941</v>
      </c>
      <c r="X5" s="494" t="s">
        <v>786</v>
      </c>
      <c r="Y5" s="494" t="s">
        <v>901</v>
      </c>
      <c r="Z5" s="494" t="s">
        <v>902</v>
      </c>
      <c r="AA5" s="494" t="s">
        <v>882</v>
      </c>
      <c r="AB5" s="494" t="s">
        <v>960</v>
      </c>
    </row>
    <row r="6" spans="1:28" x14ac:dyDescent="0.25">
      <c r="A6" s="494" t="s">
        <v>310</v>
      </c>
      <c r="G6" s="494" t="s">
        <v>910</v>
      </c>
      <c r="H6" s="494" t="s">
        <v>783</v>
      </c>
      <c r="I6" s="494" t="s">
        <v>903</v>
      </c>
      <c r="J6" s="494" t="s">
        <v>977</v>
      </c>
      <c r="K6" s="494">
        <v>9504585</v>
      </c>
      <c r="L6" s="494">
        <v>29947</v>
      </c>
      <c r="M6" s="494" t="s">
        <v>904</v>
      </c>
      <c r="N6" s="494" t="s">
        <v>879</v>
      </c>
      <c r="O6" s="494" t="s">
        <v>895</v>
      </c>
      <c r="P6" s="494">
        <v>29940</v>
      </c>
      <c r="Q6" s="494" t="s">
        <v>880</v>
      </c>
      <c r="R6" s="494" t="s">
        <v>964</v>
      </c>
      <c r="S6" s="494" t="s">
        <v>881</v>
      </c>
      <c r="T6" s="494" t="s">
        <v>894</v>
      </c>
      <c r="U6" s="494">
        <v>29941</v>
      </c>
      <c r="X6" s="494" t="s">
        <v>786</v>
      </c>
      <c r="Y6" s="494" t="s">
        <v>901</v>
      </c>
      <c r="Z6" s="494" t="s">
        <v>902</v>
      </c>
      <c r="AA6" s="494" t="s">
        <v>882</v>
      </c>
      <c r="AB6" s="494" t="s">
        <v>960</v>
      </c>
    </row>
    <row r="7" spans="1:28" x14ac:dyDescent="0.25">
      <c r="A7" s="494" t="s">
        <v>312</v>
      </c>
      <c r="B7" s="494" t="s">
        <v>805</v>
      </c>
      <c r="C7" s="494" t="s">
        <v>805</v>
      </c>
      <c r="G7" s="494" t="s">
        <v>911</v>
      </c>
      <c r="H7" s="494" t="s">
        <v>783</v>
      </c>
      <c r="I7" s="494" t="s">
        <v>903</v>
      </c>
      <c r="J7" s="494" t="s">
        <v>977</v>
      </c>
      <c r="K7" s="494">
        <v>9504585</v>
      </c>
      <c r="L7" s="494">
        <v>29947</v>
      </c>
      <c r="M7" s="494" t="s">
        <v>904</v>
      </c>
      <c r="N7" s="494" t="s">
        <v>879</v>
      </c>
      <c r="O7" s="494" t="s">
        <v>895</v>
      </c>
      <c r="P7" s="494">
        <v>29940</v>
      </c>
      <c r="Q7" s="494" t="s">
        <v>880</v>
      </c>
      <c r="R7" s="494" t="s">
        <v>964</v>
      </c>
      <c r="S7" s="494" t="s">
        <v>881</v>
      </c>
      <c r="T7" s="494" t="s">
        <v>894</v>
      </c>
      <c r="U7" s="494">
        <v>29941</v>
      </c>
      <c r="X7" s="494" t="s">
        <v>786</v>
      </c>
      <c r="Y7" s="494" t="s">
        <v>901</v>
      </c>
      <c r="Z7" s="494" t="s">
        <v>902</v>
      </c>
      <c r="AA7" s="494" t="s">
        <v>882</v>
      </c>
      <c r="AB7" s="494" t="s">
        <v>960</v>
      </c>
    </row>
    <row r="8" spans="1:28" x14ac:dyDescent="0.25">
      <c r="A8" s="494" t="s">
        <v>315</v>
      </c>
      <c r="B8" s="494" t="s">
        <v>805</v>
      </c>
      <c r="C8" s="494" t="s">
        <v>805</v>
      </c>
      <c r="G8" s="494" t="s">
        <v>912</v>
      </c>
      <c r="H8" s="494" t="s">
        <v>783</v>
      </c>
      <c r="I8" s="494" t="s">
        <v>903</v>
      </c>
      <c r="J8" s="494" t="s">
        <v>977</v>
      </c>
      <c r="K8" s="494">
        <v>9504585</v>
      </c>
      <c r="L8" s="494">
        <v>29947</v>
      </c>
      <c r="M8" s="494" t="s">
        <v>904</v>
      </c>
      <c r="N8" s="494" t="s">
        <v>879</v>
      </c>
      <c r="O8" s="494" t="s">
        <v>895</v>
      </c>
      <c r="P8" s="494">
        <v>29940</v>
      </c>
      <c r="Q8" s="494" t="s">
        <v>880</v>
      </c>
      <c r="R8" s="494" t="s">
        <v>964</v>
      </c>
      <c r="S8" s="494" t="s">
        <v>881</v>
      </c>
      <c r="T8" s="494" t="s">
        <v>894</v>
      </c>
      <c r="U8" s="494">
        <v>29941</v>
      </c>
      <c r="X8" s="494" t="s">
        <v>786</v>
      </c>
      <c r="Y8" s="494" t="s">
        <v>901</v>
      </c>
      <c r="Z8" s="494" t="s">
        <v>902</v>
      </c>
      <c r="AA8" s="494" t="s">
        <v>882</v>
      </c>
      <c r="AB8" s="494" t="s">
        <v>960</v>
      </c>
    </row>
    <row r="9" spans="1:28" x14ac:dyDescent="0.25">
      <c r="A9" s="494" t="s">
        <v>352</v>
      </c>
      <c r="G9" s="494" t="s">
        <v>913</v>
      </c>
      <c r="H9" s="494" t="s">
        <v>783</v>
      </c>
      <c r="I9" s="494" t="s">
        <v>903</v>
      </c>
      <c r="J9" s="494" t="s">
        <v>977</v>
      </c>
      <c r="K9" s="494">
        <v>9504585</v>
      </c>
      <c r="L9" s="494">
        <v>29947</v>
      </c>
      <c r="M9" s="494" t="s">
        <v>904</v>
      </c>
      <c r="N9" s="494" t="s">
        <v>879</v>
      </c>
      <c r="O9" s="494" t="s">
        <v>895</v>
      </c>
      <c r="P9" s="494">
        <v>29940</v>
      </c>
      <c r="Q9" s="494" t="s">
        <v>880</v>
      </c>
      <c r="R9" s="494" t="s">
        <v>964</v>
      </c>
      <c r="S9" s="494" t="s">
        <v>881</v>
      </c>
      <c r="T9" s="494" t="s">
        <v>894</v>
      </c>
      <c r="U9" s="494">
        <v>29941</v>
      </c>
      <c r="X9" s="494" t="s">
        <v>786</v>
      </c>
      <c r="Y9" s="494" t="s">
        <v>901</v>
      </c>
      <c r="Z9" s="494" t="s">
        <v>902</v>
      </c>
      <c r="AA9" s="494" t="s">
        <v>882</v>
      </c>
      <c r="AB9" s="494" t="s">
        <v>960</v>
      </c>
    </row>
    <row r="10" spans="1:28" ht="15" customHeight="1" x14ac:dyDescent="0.25">
      <c r="A10" s="494" t="s">
        <v>353</v>
      </c>
      <c r="B10" s="494" t="s">
        <v>354</v>
      </c>
      <c r="G10" s="494" t="s">
        <v>914</v>
      </c>
      <c r="H10" s="494" t="s">
        <v>783</v>
      </c>
      <c r="I10" s="494" t="s">
        <v>903</v>
      </c>
      <c r="J10" s="494" t="s">
        <v>977</v>
      </c>
      <c r="K10" s="494">
        <v>9504585</v>
      </c>
      <c r="L10" s="494">
        <v>29947</v>
      </c>
      <c r="M10" s="494" t="s">
        <v>904</v>
      </c>
      <c r="N10" s="494" t="s">
        <v>879</v>
      </c>
      <c r="O10" s="494" t="s">
        <v>895</v>
      </c>
      <c r="P10" s="494">
        <v>29940</v>
      </c>
      <c r="Q10" s="494" t="s">
        <v>880</v>
      </c>
      <c r="R10" s="494" t="s">
        <v>964</v>
      </c>
      <c r="S10" s="494" t="s">
        <v>881</v>
      </c>
      <c r="T10" s="494" t="s">
        <v>894</v>
      </c>
      <c r="U10" s="494">
        <v>29941</v>
      </c>
      <c r="X10" s="494" t="s">
        <v>786</v>
      </c>
      <c r="Y10" s="494" t="s">
        <v>901</v>
      </c>
      <c r="Z10" s="494" t="s">
        <v>902</v>
      </c>
      <c r="AA10" s="494" t="s">
        <v>882</v>
      </c>
      <c r="AB10" s="494" t="s">
        <v>960</v>
      </c>
    </row>
    <row r="11" spans="1:28" ht="15.75" customHeight="1" x14ac:dyDescent="0.25">
      <c r="A11" s="494" t="s">
        <v>355</v>
      </c>
      <c r="G11" s="494" t="s">
        <v>915</v>
      </c>
      <c r="H11" s="494" t="s">
        <v>783</v>
      </c>
      <c r="I11" s="494" t="s">
        <v>903</v>
      </c>
      <c r="J11" s="494" t="s">
        <v>977</v>
      </c>
      <c r="K11" s="494">
        <v>9504585</v>
      </c>
      <c r="L11" s="494">
        <v>29947</v>
      </c>
      <c r="M11" s="494" t="s">
        <v>904</v>
      </c>
      <c r="N11" s="494" t="s">
        <v>879</v>
      </c>
      <c r="O11" s="494" t="s">
        <v>895</v>
      </c>
      <c r="P11" s="494">
        <v>29940</v>
      </c>
      <c r="Q11" s="494" t="s">
        <v>880</v>
      </c>
      <c r="R11" s="494" t="s">
        <v>964</v>
      </c>
      <c r="S11" s="494" t="s">
        <v>881</v>
      </c>
      <c r="T11" s="494" t="s">
        <v>894</v>
      </c>
      <c r="U11" s="494">
        <v>29941</v>
      </c>
      <c r="X11" s="494" t="s">
        <v>786</v>
      </c>
      <c r="Y11" s="494" t="s">
        <v>901</v>
      </c>
      <c r="Z11" s="494" t="s">
        <v>902</v>
      </c>
      <c r="AA11" s="494" t="s">
        <v>882</v>
      </c>
      <c r="AB11" s="494" t="s">
        <v>960</v>
      </c>
    </row>
    <row r="12" spans="1:28" x14ac:dyDescent="0.25">
      <c r="A12" s="494" t="s">
        <v>318</v>
      </c>
      <c r="G12" s="494" t="s">
        <v>916</v>
      </c>
      <c r="H12" s="494" t="s">
        <v>783</v>
      </c>
      <c r="I12" s="494" t="s">
        <v>903</v>
      </c>
      <c r="J12" s="494" t="s">
        <v>977</v>
      </c>
      <c r="K12" s="494">
        <v>9504585</v>
      </c>
      <c r="L12" s="494">
        <v>29947</v>
      </c>
      <c r="M12" s="494" t="s">
        <v>904</v>
      </c>
      <c r="N12" s="494" t="s">
        <v>879</v>
      </c>
      <c r="O12" s="494" t="s">
        <v>895</v>
      </c>
      <c r="P12" s="494">
        <v>29940</v>
      </c>
      <c r="Q12" s="494" t="s">
        <v>880</v>
      </c>
      <c r="R12" s="494" t="s">
        <v>964</v>
      </c>
      <c r="S12" s="494" t="s">
        <v>881</v>
      </c>
      <c r="T12" s="494" t="s">
        <v>894</v>
      </c>
      <c r="U12" s="494">
        <v>29941</v>
      </c>
      <c r="X12" s="494" t="s">
        <v>786</v>
      </c>
      <c r="Y12" s="494" t="s">
        <v>901</v>
      </c>
      <c r="Z12" s="494" t="s">
        <v>902</v>
      </c>
      <c r="AA12" s="494" t="s">
        <v>882</v>
      </c>
      <c r="AB12" s="494" t="s">
        <v>960</v>
      </c>
    </row>
    <row r="13" spans="1:28" x14ac:dyDescent="0.25">
      <c r="A13" s="494" t="s">
        <v>321</v>
      </c>
      <c r="G13" s="494" t="s">
        <v>917</v>
      </c>
      <c r="H13" s="494" t="s">
        <v>783</v>
      </c>
      <c r="I13" s="494" t="s">
        <v>903</v>
      </c>
      <c r="J13" s="494" t="s">
        <v>977</v>
      </c>
      <c r="K13" s="494">
        <v>9504585</v>
      </c>
      <c r="L13" s="494">
        <v>29947</v>
      </c>
      <c r="M13" s="494" t="s">
        <v>904</v>
      </c>
      <c r="N13" s="494" t="s">
        <v>879</v>
      </c>
      <c r="O13" s="494" t="s">
        <v>895</v>
      </c>
      <c r="P13" s="494">
        <v>29940</v>
      </c>
      <c r="Q13" s="494" t="s">
        <v>880</v>
      </c>
      <c r="R13" s="494" t="s">
        <v>964</v>
      </c>
      <c r="S13" s="494" t="s">
        <v>881</v>
      </c>
      <c r="T13" s="494" t="s">
        <v>894</v>
      </c>
      <c r="U13" s="494">
        <v>29941</v>
      </c>
      <c r="X13" s="494" t="s">
        <v>786</v>
      </c>
      <c r="Y13" s="494" t="s">
        <v>901</v>
      </c>
      <c r="Z13" s="494" t="s">
        <v>902</v>
      </c>
      <c r="AA13" s="494" t="s">
        <v>882</v>
      </c>
      <c r="AB13" s="494" t="s">
        <v>960</v>
      </c>
    </row>
    <row r="14" spans="1:28" x14ac:dyDescent="0.25">
      <c r="A14" s="494" t="s">
        <v>324</v>
      </c>
      <c r="G14" s="494" t="s">
        <v>918</v>
      </c>
      <c r="H14" s="494" t="s">
        <v>783</v>
      </c>
      <c r="I14" s="494" t="s">
        <v>903</v>
      </c>
      <c r="J14" s="494" t="s">
        <v>977</v>
      </c>
      <c r="K14" s="494">
        <v>9504585</v>
      </c>
      <c r="L14" s="494">
        <v>29947</v>
      </c>
      <c r="M14" s="494" t="s">
        <v>904</v>
      </c>
      <c r="N14" s="494" t="s">
        <v>879</v>
      </c>
      <c r="O14" s="494" t="s">
        <v>895</v>
      </c>
      <c r="P14" s="494">
        <v>29940</v>
      </c>
      <c r="Q14" s="494" t="s">
        <v>880</v>
      </c>
      <c r="R14" s="494" t="s">
        <v>964</v>
      </c>
      <c r="S14" s="494" t="s">
        <v>881</v>
      </c>
      <c r="T14" s="494" t="s">
        <v>894</v>
      </c>
      <c r="U14" s="494">
        <v>29941</v>
      </c>
      <c r="X14" s="494" t="s">
        <v>786</v>
      </c>
      <c r="Y14" s="494" t="s">
        <v>901</v>
      </c>
      <c r="Z14" s="494" t="s">
        <v>902</v>
      </c>
      <c r="AA14" s="494" t="s">
        <v>882</v>
      </c>
      <c r="AB14" s="494" t="s">
        <v>960</v>
      </c>
    </row>
    <row r="15" spans="1:28" x14ac:dyDescent="0.25">
      <c r="A15" s="494" t="s">
        <v>325</v>
      </c>
      <c r="G15" s="494" t="s">
        <v>919</v>
      </c>
      <c r="H15" s="494" t="s">
        <v>783</v>
      </c>
      <c r="I15" s="494" t="s">
        <v>903</v>
      </c>
      <c r="J15" s="494" t="s">
        <v>977</v>
      </c>
      <c r="K15" s="494">
        <v>9504585</v>
      </c>
      <c r="L15" s="494">
        <v>29947</v>
      </c>
      <c r="M15" s="494" t="s">
        <v>904</v>
      </c>
      <c r="N15" s="494" t="s">
        <v>879</v>
      </c>
      <c r="O15" s="494" t="s">
        <v>895</v>
      </c>
      <c r="P15" s="494">
        <v>29940</v>
      </c>
      <c r="Q15" s="494" t="s">
        <v>880</v>
      </c>
      <c r="R15" s="494" t="s">
        <v>964</v>
      </c>
      <c r="S15" s="494" t="s">
        <v>881</v>
      </c>
      <c r="T15" s="494" t="s">
        <v>894</v>
      </c>
      <c r="U15" s="494">
        <v>29941</v>
      </c>
      <c r="X15" s="494" t="s">
        <v>786</v>
      </c>
      <c r="Y15" s="494" t="s">
        <v>901</v>
      </c>
      <c r="Z15" s="494" t="s">
        <v>902</v>
      </c>
      <c r="AA15" s="494" t="s">
        <v>882</v>
      </c>
      <c r="AB15" s="494" t="s">
        <v>960</v>
      </c>
    </row>
    <row r="16" spans="1:28" x14ac:dyDescent="0.25">
      <c r="A16" s="494" t="s">
        <v>357</v>
      </c>
      <c r="G16" s="494" t="s">
        <v>920</v>
      </c>
      <c r="H16" s="494" t="s">
        <v>783</v>
      </c>
      <c r="I16" s="494" t="s">
        <v>903</v>
      </c>
      <c r="J16" s="494" t="s">
        <v>977</v>
      </c>
      <c r="K16" s="494">
        <v>9504585</v>
      </c>
      <c r="L16" s="494">
        <v>29947</v>
      </c>
      <c r="M16" s="494" t="s">
        <v>904</v>
      </c>
      <c r="N16" s="494" t="s">
        <v>879</v>
      </c>
      <c r="O16" s="494" t="s">
        <v>895</v>
      </c>
      <c r="P16" s="494">
        <v>29940</v>
      </c>
      <c r="Q16" s="494" t="s">
        <v>880</v>
      </c>
      <c r="R16" s="494" t="s">
        <v>964</v>
      </c>
      <c r="S16" s="494" t="s">
        <v>881</v>
      </c>
      <c r="T16" s="494" t="s">
        <v>894</v>
      </c>
      <c r="U16" s="494">
        <v>29941</v>
      </c>
      <c r="X16" s="494" t="s">
        <v>786</v>
      </c>
      <c r="Y16" s="494" t="s">
        <v>901</v>
      </c>
      <c r="Z16" s="494" t="s">
        <v>902</v>
      </c>
      <c r="AA16" s="494" t="s">
        <v>882</v>
      </c>
      <c r="AB16" s="494" t="s">
        <v>960</v>
      </c>
    </row>
    <row r="17" spans="1:28" x14ac:dyDescent="0.25">
      <c r="A17" s="494" t="s">
        <v>358</v>
      </c>
      <c r="G17" s="494" t="s">
        <v>921</v>
      </c>
      <c r="H17" s="494" t="s">
        <v>783</v>
      </c>
      <c r="I17" s="494" t="s">
        <v>903</v>
      </c>
      <c r="J17" s="494" t="s">
        <v>977</v>
      </c>
      <c r="K17" s="494">
        <v>9504585</v>
      </c>
      <c r="L17" s="494">
        <v>29947</v>
      </c>
      <c r="M17" s="494" t="s">
        <v>904</v>
      </c>
      <c r="N17" s="494" t="s">
        <v>879</v>
      </c>
      <c r="O17" s="494" t="s">
        <v>895</v>
      </c>
      <c r="P17" s="494">
        <v>29940</v>
      </c>
      <c r="Q17" s="494" t="s">
        <v>880</v>
      </c>
      <c r="R17" s="494" t="s">
        <v>964</v>
      </c>
      <c r="S17" s="494" t="s">
        <v>881</v>
      </c>
      <c r="T17" s="494" t="s">
        <v>894</v>
      </c>
      <c r="U17" s="494">
        <v>29941</v>
      </c>
      <c r="X17" s="494" t="s">
        <v>786</v>
      </c>
      <c r="Y17" s="494" t="s">
        <v>901</v>
      </c>
      <c r="Z17" s="494" t="s">
        <v>902</v>
      </c>
      <c r="AA17" s="494" t="s">
        <v>882</v>
      </c>
      <c r="AB17" s="494" t="s">
        <v>960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41A7-AAAA-4C93-A97E-3CC9F047E804}">
  <dimension ref="A1:AB17"/>
  <sheetViews>
    <sheetView workbookViewId="0">
      <selection activeCell="A2" sqref="A2:XFD17"/>
    </sheetView>
  </sheetViews>
  <sheetFormatPr defaultRowHeight="15" x14ac:dyDescent="0.25"/>
  <cols>
    <col min="1" max="1" width="15.85546875" style="494" bestFit="1" customWidth="1"/>
    <col min="2" max="2" width="24.140625" style="494" bestFit="1" customWidth="1"/>
    <col min="3" max="3" width="21.7109375" style="494" bestFit="1" customWidth="1"/>
    <col min="4" max="4" width="23" style="494" bestFit="1" customWidth="1"/>
    <col min="5" max="6" width="21.7109375" style="494" bestFit="1" customWidth="1"/>
    <col min="7" max="7" width="21.140625" style="494" bestFit="1" customWidth="1"/>
    <col min="8" max="8" width="19.140625" style="494" bestFit="1" customWidth="1"/>
    <col min="9" max="9" width="19.85546875" style="494" bestFit="1" customWidth="1"/>
    <col min="10" max="10" width="19.85546875" style="494" customWidth="1"/>
    <col min="11" max="11" width="18.42578125" style="494" bestFit="1" customWidth="1"/>
    <col min="12" max="12" width="23" style="494" bestFit="1" customWidth="1"/>
    <col min="13" max="13" width="22.85546875" style="494" bestFit="1" customWidth="1"/>
    <col min="14" max="14" width="17.42578125" style="494" bestFit="1" customWidth="1"/>
    <col min="15" max="15" width="22.7109375" style="494" bestFit="1" customWidth="1"/>
    <col min="16" max="16" width="17.85546875" style="494" bestFit="1" customWidth="1"/>
    <col min="17" max="17" width="15.5703125" style="494" bestFit="1" customWidth="1"/>
    <col min="18" max="18" width="15.5703125" style="494" customWidth="1"/>
    <col min="19" max="19" width="18.7109375" style="494" bestFit="1" customWidth="1"/>
    <col min="20" max="20" width="22.85546875" style="494" bestFit="1" customWidth="1"/>
    <col min="21" max="21" width="19.140625" style="494" bestFit="1" customWidth="1"/>
    <col min="22" max="22" width="16.85546875" style="494" bestFit="1" customWidth="1"/>
    <col min="23" max="23" width="16.85546875" style="494" customWidth="1"/>
    <col min="24" max="24" width="17.42578125" style="494" bestFit="1" customWidth="1"/>
    <col min="25" max="25" width="21.7109375" style="494" bestFit="1" customWidth="1"/>
    <col min="26" max="26" width="15.7109375" style="494" bestFit="1" customWidth="1"/>
    <col min="27" max="27" width="15.7109375" style="494" customWidth="1"/>
    <col min="28" max="28" width="13.7109375" style="494" bestFit="1" customWidth="1"/>
    <col min="29" max="16384" width="9.140625" style="494"/>
  </cols>
  <sheetData>
    <row r="1" spans="1:28" x14ac:dyDescent="0.25">
      <c r="A1" s="494" t="s">
        <v>873</v>
      </c>
      <c r="B1" s="494" t="s">
        <v>874</v>
      </c>
      <c r="C1" s="494" t="s">
        <v>875</v>
      </c>
      <c r="D1" s="494" t="s">
        <v>876</v>
      </c>
      <c r="E1" s="494" t="s">
        <v>877</v>
      </c>
      <c r="F1" s="494" t="s">
        <v>878</v>
      </c>
      <c r="G1" s="494" t="s">
        <v>905</v>
      </c>
      <c r="H1" s="494" t="s">
        <v>872</v>
      </c>
      <c r="I1" s="494" t="s">
        <v>978</v>
      </c>
      <c r="J1" s="494" t="s">
        <v>971</v>
      </c>
      <c r="K1" s="494" t="s">
        <v>885</v>
      </c>
      <c r="L1" s="494" t="s">
        <v>884</v>
      </c>
      <c r="M1" s="494" t="s">
        <v>886</v>
      </c>
      <c r="N1" s="494" t="s">
        <v>888</v>
      </c>
      <c r="O1" s="494" t="s">
        <v>889</v>
      </c>
      <c r="P1" s="494" t="s">
        <v>890</v>
      </c>
      <c r="Q1" s="494" t="s">
        <v>891</v>
      </c>
      <c r="R1" s="494" t="s">
        <v>959</v>
      </c>
      <c r="S1" s="494" t="s">
        <v>892</v>
      </c>
      <c r="T1" s="494" t="s">
        <v>893</v>
      </c>
      <c r="U1" s="494" t="s">
        <v>896</v>
      </c>
      <c r="V1" s="494" t="s">
        <v>897</v>
      </c>
      <c r="W1" s="494" t="s">
        <v>958</v>
      </c>
      <c r="X1" s="494" t="s">
        <v>898</v>
      </c>
      <c r="Y1" s="494" t="s">
        <v>900</v>
      </c>
      <c r="Z1" s="494" t="s">
        <v>939</v>
      </c>
      <c r="AA1" s="494" t="s">
        <v>957</v>
      </c>
      <c r="AB1" s="494" t="s">
        <v>963</v>
      </c>
    </row>
    <row r="2" spans="1:28" x14ac:dyDescent="0.25">
      <c r="A2" s="494" t="s">
        <v>343</v>
      </c>
      <c r="B2" s="494" t="s">
        <v>711</v>
      </c>
      <c r="E2" s="494" t="s">
        <v>380</v>
      </c>
      <c r="G2" s="494" t="s">
        <v>906</v>
      </c>
      <c r="H2" s="494" t="s">
        <v>783</v>
      </c>
      <c r="I2" s="494" t="s">
        <v>922</v>
      </c>
      <c r="J2" s="494" t="s">
        <v>979</v>
      </c>
      <c r="K2" s="494" t="s">
        <v>923</v>
      </c>
      <c r="L2" s="494" t="s">
        <v>924</v>
      </c>
      <c r="M2" s="494" t="s">
        <v>925</v>
      </c>
      <c r="N2" s="494" t="s">
        <v>879</v>
      </c>
      <c r="O2" s="494" t="s">
        <v>895</v>
      </c>
      <c r="P2" s="494">
        <v>29940</v>
      </c>
      <c r="Q2" s="494" t="s">
        <v>880</v>
      </c>
      <c r="R2" s="494" t="s">
        <v>964</v>
      </c>
      <c r="S2" s="494" t="s">
        <v>881</v>
      </c>
      <c r="T2" s="494" t="s">
        <v>894</v>
      </c>
      <c r="U2" s="494">
        <v>29941</v>
      </c>
      <c r="X2" s="494" t="s">
        <v>786</v>
      </c>
      <c r="Y2" s="494" t="s">
        <v>901</v>
      </c>
      <c r="Z2" s="494" t="s">
        <v>902</v>
      </c>
      <c r="AA2" s="494" t="s">
        <v>882</v>
      </c>
      <c r="AB2" s="494" t="s">
        <v>960</v>
      </c>
    </row>
    <row r="3" spans="1:28" x14ac:dyDescent="0.25">
      <c r="A3" s="494" t="s">
        <v>349</v>
      </c>
      <c r="B3" s="494" t="s">
        <v>711</v>
      </c>
      <c r="C3" s="494" t="s">
        <v>808</v>
      </c>
      <c r="G3" s="494" t="s">
        <v>907</v>
      </c>
      <c r="H3" s="494" t="s">
        <v>783</v>
      </c>
      <c r="I3" s="494" t="s">
        <v>922</v>
      </c>
      <c r="J3" s="494" t="s">
        <v>979</v>
      </c>
      <c r="K3" s="494" t="s">
        <v>923</v>
      </c>
      <c r="L3" s="494" t="s">
        <v>924</v>
      </c>
      <c r="M3" s="494" t="s">
        <v>925</v>
      </c>
      <c r="N3" s="494" t="s">
        <v>879</v>
      </c>
      <c r="O3" s="494" t="s">
        <v>895</v>
      </c>
      <c r="P3" s="494">
        <v>29940</v>
      </c>
      <c r="Q3" s="494" t="s">
        <v>880</v>
      </c>
      <c r="R3" s="494" t="s">
        <v>964</v>
      </c>
      <c r="S3" s="494" t="s">
        <v>881</v>
      </c>
      <c r="T3" s="494" t="s">
        <v>894</v>
      </c>
      <c r="U3" s="494">
        <v>29941</v>
      </c>
      <c r="X3" s="494" t="s">
        <v>786</v>
      </c>
      <c r="Y3" s="494" t="s">
        <v>901</v>
      </c>
      <c r="Z3" s="494" t="s">
        <v>902</v>
      </c>
      <c r="AA3" s="494" t="s">
        <v>882</v>
      </c>
      <c r="AB3" s="494" t="s">
        <v>960</v>
      </c>
    </row>
    <row r="4" spans="1:28" x14ac:dyDescent="0.25">
      <c r="A4" s="494" t="s">
        <v>305</v>
      </c>
      <c r="C4" s="494" t="s">
        <v>808</v>
      </c>
      <c r="F4" s="494" t="s">
        <v>380</v>
      </c>
      <c r="G4" s="494" t="s">
        <v>908</v>
      </c>
      <c r="H4" s="494" t="s">
        <v>783</v>
      </c>
      <c r="I4" s="494" t="s">
        <v>922</v>
      </c>
      <c r="J4" s="494" t="s">
        <v>979</v>
      </c>
      <c r="K4" s="494" t="s">
        <v>923</v>
      </c>
      <c r="L4" s="494" t="s">
        <v>924</v>
      </c>
      <c r="M4" s="494" t="s">
        <v>925</v>
      </c>
      <c r="N4" s="494" t="s">
        <v>879</v>
      </c>
      <c r="O4" s="494" t="s">
        <v>895</v>
      </c>
      <c r="P4" s="494">
        <v>29940</v>
      </c>
      <c r="Q4" s="494" t="s">
        <v>880</v>
      </c>
      <c r="R4" s="494" t="s">
        <v>964</v>
      </c>
      <c r="S4" s="494" t="s">
        <v>881</v>
      </c>
      <c r="T4" s="494" t="s">
        <v>894</v>
      </c>
      <c r="U4" s="494">
        <v>29941</v>
      </c>
      <c r="X4" s="494" t="s">
        <v>786</v>
      </c>
      <c r="Y4" s="494" t="s">
        <v>901</v>
      </c>
      <c r="Z4" s="494" t="s">
        <v>902</v>
      </c>
      <c r="AA4" s="494" t="s">
        <v>882</v>
      </c>
      <c r="AB4" s="494" t="s">
        <v>960</v>
      </c>
    </row>
    <row r="5" spans="1:28" x14ac:dyDescent="0.25">
      <c r="A5" s="494" t="s">
        <v>308</v>
      </c>
      <c r="C5" s="494" t="s">
        <v>808</v>
      </c>
      <c r="G5" s="494" t="s">
        <v>909</v>
      </c>
      <c r="H5" s="494" t="s">
        <v>783</v>
      </c>
      <c r="I5" s="494" t="s">
        <v>922</v>
      </c>
      <c r="J5" s="494" t="s">
        <v>979</v>
      </c>
      <c r="K5" s="494" t="s">
        <v>923</v>
      </c>
      <c r="L5" s="494" t="s">
        <v>924</v>
      </c>
      <c r="M5" s="494" t="s">
        <v>925</v>
      </c>
      <c r="N5" s="494" t="s">
        <v>879</v>
      </c>
      <c r="O5" s="494" t="s">
        <v>895</v>
      </c>
      <c r="P5" s="494">
        <v>29940</v>
      </c>
      <c r="Q5" s="494" t="s">
        <v>880</v>
      </c>
      <c r="R5" s="494" t="s">
        <v>964</v>
      </c>
      <c r="S5" s="494" t="s">
        <v>881</v>
      </c>
      <c r="T5" s="494" t="s">
        <v>894</v>
      </c>
      <c r="U5" s="494">
        <v>29941</v>
      </c>
      <c r="X5" s="494" t="s">
        <v>786</v>
      </c>
      <c r="Y5" s="494" t="s">
        <v>901</v>
      </c>
      <c r="Z5" s="494" t="s">
        <v>902</v>
      </c>
      <c r="AA5" s="494" t="s">
        <v>882</v>
      </c>
      <c r="AB5" s="494" t="s">
        <v>960</v>
      </c>
    </row>
    <row r="6" spans="1:28" x14ac:dyDescent="0.25">
      <c r="A6" s="494" t="s">
        <v>310</v>
      </c>
      <c r="C6" s="494" t="s">
        <v>808</v>
      </c>
      <c r="G6" s="494" t="s">
        <v>910</v>
      </c>
      <c r="H6" s="494" t="s">
        <v>783</v>
      </c>
      <c r="I6" s="494" t="s">
        <v>922</v>
      </c>
      <c r="J6" s="494" t="s">
        <v>979</v>
      </c>
      <c r="K6" s="494" t="s">
        <v>923</v>
      </c>
      <c r="L6" s="494" t="s">
        <v>924</v>
      </c>
      <c r="M6" s="494" t="s">
        <v>925</v>
      </c>
      <c r="N6" s="494" t="s">
        <v>879</v>
      </c>
      <c r="O6" s="494" t="s">
        <v>895</v>
      </c>
      <c r="P6" s="494">
        <v>29940</v>
      </c>
      <c r="Q6" s="494" t="s">
        <v>880</v>
      </c>
      <c r="R6" s="494" t="s">
        <v>964</v>
      </c>
      <c r="S6" s="494" t="s">
        <v>881</v>
      </c>
      <c r="T6" s="494" t="s">
        <v>894</v>
      </c>
      <c r="U6" s="494">
        <v>29941</v>
      </c>
      <c r="X6" s="494" t="s">
        <v>786</v>
      </c>
      <c r="Y6" s="494" t="s">
        <v>901</v>
      </c>
      <c r="Z6" s="494" t="s">
        <v>902</v>
      </c>
      <c r="AA6" s="494" t="s">
        <v>882</v>
      </c>
      <c r="AB6" s="494" t="s">
        <v>960</v>
      </c>
    </row>
    <row r="7" spans="1:28" x14ac:dyDescent="0.25">
      <c r="A7" s="494" t="s">
        <v>312</v>
      </c>
      <c r="C7" s="494" t="s">
        <v>808</v>
      </c>
      <c r="G7" s="494" t="s">
        <v>911</v>
      </c>
      <c r="H7" s="494" t="s">
        <v>783</v>
      </c>
      <c r="I7" s="494" t="s">
        <v>922</v>
      </c>
      <c r="J7" s="494" t="s">
        <v>979</v>
      </c>
      <c r="K7" s="494" t="s">
        <v>923</v>
      </c>
      <c r="L7" s="494" t="s">
        <v>924</v>
      </c>
      <c r="M7" s="494" t="s">
        <v>925</v>
      </c>
      <c r="N7" s="494" t="s">
        <v>879</v>
      </c>
      <c r="O7" s="494" t="s">
        <v>895</v>
      </c>
      <c r="P7" s="494">
        <v>29940</v>
      </c>
      <c r="Q7" s="494" t="s">
        <v>880</v>
      </c>
      <c r="R7" s="494" t="s">
        <v>964</v>
      </c>
      <c r="S7" s="494" t="s">
        <v>881</v>
      </c>
      <c r="T7" s="494" t="s">
        <v>894</v>
      </c>
      <c r="U7" s="494">
        <v>29941</v>
      </c>
      <c r="X7" s="494" t="s">
        <v>786</v>
      </c>
      <c r="Y7" s="494" t="s">
        <v>901</v>
      </c>
      <c r="Z7" s="494" t="s">
        <v>902</v>
      </c>
      <c r="AA7" s="494" t="s">
        <v>882</v>
      </c>
      <c r="AB7" s="494" t="s">
        <v>960</v>
      </c>
    </row>
    <row r="8" spans="1:28" x14ac:dyDescent="0.25">
      <c r="A8" s="494" t="s">
        <v>315</v>
      </c>
      <c r="B8" s="494" t="s">
        <v>816</v>
      </c>
      <c r="C8" s="494" t="s">
        <v>808</v>
      </c>
      <c r="D8" s="494" t="s">
        <v>380</v>
      </c>
      <c r="G8" s="494" t="s">
        <v>912</v>
      </c>
      <c r="H8" s="494" t="s">
        <v>783</v>
      </c>
      <c r="I8" s="494" t="s">
        <v>922</v>
      </c>
      <c r="J8" s="494" t="s">
        <v>979</v>
      </c>
      <c r="K8" s="494" t="s">
        <v>923</v>
      </c>
      <c r="L8" s="494" t="s">
        <v>924</v>
      </c>
      <c r="M8" s="494" t="s">
        <v>925</v>
      </c>
      <c r="N8" s="494" t="s">
        <v>879</v>
      </c>
      <c r="O8" s="494" t="s">
        <v>895</v>
      </c>
      <c r="P8" s="494">
        <v>29940</v>
      </c>
      <c r="Q8" s="494" t="s">
        <v>880</v>
      </c>
      <c r="R8" s="494" t="s">
        <v>964</v>
      </c>
      <c r="S8" s="494" t="s">
        <v>881</v>
      </c>
      <c r="T8" s="494" t="s">
        <v>894</v>
      </c>
      <c r="U8" s="494">
        <v>29941</v>
      </c>
      <c r="X8" s="494" t="s">
        <v>786</v>
      </c>
      <c r="Y8" s="494" t="s">
        <v>901</v>
      </c>
      <c r="Z8" s="494" t="s">
        <v>902</v>
      </c>
      <c r="AA8" s="494" t="s">
        <v>882</v>
      </c>
      <c r="AB8" s="494" t="s">
        <v>960</v>
      </c>
    </row>
    <row r="9" spans="1:28" x14ac:dyDescent="0.25">
      <c r="A9" s="494" t="s">
        <v>352</v>
      </c>
      <c r="B9" s="494" t="s">
        <v>816</v>
      </c>
      <c r="C9" s="494" t="s">
        <v>808</v>
      </c>
      <c r="G9" s="494" t="s">
        <v>913</v>
      </c>
      <c r="H9" s="494" t="s">
        <v>783</v>
      </c>
      <c r="I9" s="494" t="s">
        <v>922</v>
      </c>
      <c r="J9" s="494" t="s">
        <v>979</v>
      </c>
      <c r="K9" s="494" t="s">
        <v>923</v>
      </c>
      <c r="L9" s="494" t="s">
        <v>924</v>
      </c>
      <c r="M9" s="494" t="s">
        <v>925</v>
      </c>
      <c r="N9" s="494" t="s">
        <v>879</v>
      </c>
      <c r="O9" s="494" t="s">
        <v>895</v>
      </c>
      <c r="P9" s="494">
        <v>29940</v>
      </c>
      <c r="Q9" s="494" t="s">
        <v>880</v>
      </c>
      <c r="R9" s="494" t="s">
        <v>964</v>
      </c>
      <c r="S9" s="494" t="s">
        <v>881</v>
      </c>
      <c r="T9" s="494" t="s">
        <v>894</v>
      </c>
      <c r="U9" s="494">
        <v>29941</v>
      </c>
      <c r="X9" s="494" t="s">
        <v>786</v>
      </c>
      <c r="Y9" s="494" t="s">
        <v>901</v>
      </c>
      <c r="Z9" s="494" t="s">
        <v>902</v>
      </c>
      <c r="AA9" s="494" t="s">
        <v>882</v>
      </c>
      <c r="AB9" s="494" t="s">
        <v>960</v>
      </c>
    </row>
    <row r="10" spans="1:28" ht="15" customHeight="1" x14ac:dyDescent="0.25">
      <c r="A10" s="494" t="s">
        <v>353</v>
      </c>
      <c r="B10" s="494" t="s">
        <v>354</v>
      </c>
      <c r="G10" s="494" t="s">
        <v>914</v>
      </c>
      <c r="H10" s="494" t="s">
        <v>783</v>
      </c>
      <c r="I10" s="494" t="s">
        <v>922</v>
      </c>
      <c r="J10" s="494" t="s">
        <v>979</v>
      </c>
      <c r="K10" s="494" t="s">
        <v>923</v>
      </c>
      <c r="L10" s="494" t="s">
        <v>924</v>
      </c>
      <c r="M10" s="494" t="s">
        <v>925</v>
      </c>
      <c r="N10" s="494" t="s">
        <v>879</v>
      </c>
      <c r="O10" s="494" t="s">
        <v>895</v>
      </c>
      <c r="P10" s="494">
        <v>29940</v>
      </c>
      <c r="Q10" s="494" t="s">
        <v>880</v>
      </c>
      <c r="R10" s="494" t="s">
        <v>964</v>
      </c>
      <c r="S10" s="494" t="s">
        <v>881</v>
      </c>
      <c r="T10" s="494" t="s">
        <v>894</v>
      </c>
      <c r="U10" s="494">
        <v>29941</v>
      </c>
      <c r="X10" s="494" t="s">
        <v>786</v>
      </c>
      <c r="Y10" s="494" t="s">
        <v>901</v>
      </c>
      <c r="Z10" s="494" t="s">
        <v>902</v>
      </c>
      <c r="AA10" s="494" t="s">
        <v>882</v>
      </c>
      <c r="AB10" s="494" t="s">
        <v>960</v>
      </c>
    </row>
    <row r="11" spans="1:28" ht="15.75" customHeight="1" x14ac:dyDescent="0.25">
      <c r="A11" s="494" t="s">
        <v>355</v>
      </c>
      <c r="G11" s="494" t="s">
        <v>915</v>
      </c>
      <c r="H11" s="494" t="s">
        <v>783</v>
      </c>
      <c r="I11" s="494" t="s">
        <v>922</v>
      </c>
      <c r="J11" s="494" t="s">
        <v>979</v>
      </c>
      <c r="K11" s="494" t="s">
        <v>923</v>
      </c>
      <c r="L11" s="494" t="s">
        <v>924</v>
      </c>
      <c r="M11" s="494" t="s">
        <v>925</v>
      </c>
      <c r="N11" s="494" t="s">
        <v>879</v>
      </c>
      <c r="O11" s="494" t="s">
        <v>895</v>
      </c>
      <c r="P11" s="494">
        <v>29940</v>
      </c>
      <c r="Q11" s="494" t="s">
        <v>880</v>
      </c>
      <c r="R11" s="494" t="s">
        <v>964</v>
      </c>
      <c r="S11" s="494" t="s">
        <v>881</v>
      </c>
      <c r="T11" s="494" t="s">
        <v>894</v>
      </c>
      <c r="U11" s="494">
        <v>29941</v>
      </c>
      <c r="X11" s="494" t="s">
        <v>786</v>
      </c>
      <c r="Y11" s="494" t="s">
        <v>901</v>
      </c>
      <c r="Z11" s="494" t="s">
        <v>902</v>
      </c>
      <c r="AA11" s="494" t="s">
        <v>882</v>
      </c>
      <c r="AB11" s="494" t="s">
        <v>960</v>
      </c>
    </row>
    <row r="12" spans="1:28" x14ac:dyDescent="0.25">
      <c r="A12" s="494" t="s">
        <v>318</v>
      </c>
      <c r="F12" s="494" t="s">
        <v>821</v>
      </c>
      <c r="G12" s="494" t="s">
        <v>916</v>
      </c>
      <c r="H12" s="494" t="s">
        <v>783</v>
      </c>
      <c r="I12" s="494" t="s">
        <v>922</v>
      </c>
      <c r="J12" s="494" t="s">
        <v>979</v>
      </c>
      <c r="K12" s="494" t="s">
        <v>923</v>
      </c>
      <c r="L12" s="494" t="s">
        <v>924</v>
      </c>
      <c r="M12" s="494" t="s">
        <v>925</v>
      </c>
      <c r="N12" s="494" t="s">
        <v>879</v>
      </c>
      <c r="O12" s="494" t="s">
        <v>895</v>
      </c>
      <c r="P12" s="494">
        <v>29940</v>
      </c>
      <c r="Q12" s="494" t="s">
        <v>880</v>
      </c>
      <c r="R12" s="494" t="s">
        <v>964</v>
      </c>
      <c r="S12" s="494" t="s">
        <v>881</v>
      </c>
      <c r="T12" s="494" t="s">
        <v>894</v>
      </c>
      <c r="U12" s="494">
        <v>29941</v>
      </c>
      <c r="X12" s="494" t="s">
        <v>786</v>
      </c>
      <c r="Y12" s="494" t="s">
        <v>901</v>
      </c>
      <c r="Z12" s="494" t="s">
        <v>902</v>
      </c>
      <c r="AA12" s="494" t="s">
        <v>882</v>
      </c>
      <c r="AB12" s="494" t="s">
        <v>960</v>
      </c>
    </row>
    <row r="13" spans="1:28" x14ac:dyDescent="0.25">
      <c r="A13" s="494" t="s">
        <v>321</v>
      </c>
      <c r="D13" s="494" t="s">
        <v>808</v>
      </c>
      <c r="F13" s="494" t="s">
        <v>821</v>
      </c>
      <c r="G13" s="494" t="s">
        <v>917</v>
      </c>
      <c r="H13" s="494" t="s">
        <v>783</v>
      </c>
      <c r="I13" s="494" t="s">
        <v>922</v>
      </c>
      <c r="J13" s="494" t="s">
        <v>979</v>
      </c>
      <c r="K13" s="494" t="s">
        <v>923</v>
      </c>
      <c r="L13" s="494" t="s">
        <v>924</v>
      </c>
      <c r="M13" s="494" t="s">
        <v>925</v>
      </c>
      <c r="N13" s="494" t="s">
        <v>879</v>
      </c>
      <c r="O13" s="494" t="s">
        <v>895</v>
      </c>
      <c r="P13" s="494">
        <v>29940</v>
      </c>
      <c r="Q13" s="494" t="s">
        <v>880</v>
      </c>
      <c r="R13" s="494" t="s">
        <v>964</v>
      </c>
      <c r="S13" s="494" t="s">
        <v>881</v>
      </c>
      <c r="T13" s="494" t="s">
        <v>894</v>
      </c>
      <c r="U13" s="494">
        <v>29941</v>
      </c>
      <c r="X13" s="494" t="s">
        <v>786</v>
      </c>
      <c r="Y13" s="494" t="s">
        <v>901</v>
      </c>
      <c r="Z13" s="494" t="s">
        <v>902</v>
      </c>
      <c r="AA13" s="494" t="s">
        <v>882</v>
      </c>
      <c r="AB13" s="494" t="s">
        <v>960</v>
      </c>
    </row>
    <row r="14" spans="1:28" x14ac:dyDescent="0.25">
      <c r="A14" s="494" t="s">
        <v>324</v>
      </c>
      <c r="C14" s="494" t="s">
        <v>381</v>
      </c>
      <c r="D14" s="494" t="s">
        <v>808</v>
      </c>
      <c r="G14" s="494" t="s">
        <v>918</v>
      </c>
      <c r="H14" s="494" t="s">
        <v>783</v>
      </c>
      <c r="I14" s="494" t="s">
        <v>922</v>
      </c>
      <c r="J14" s="494" t="s">
        <v>979</v>
      </c>
      <c r="K14" s="494" t="s">
        <v>923</v>
      </c>
      <c r="L14" s="494" t="s">
        <v>924</v>
      </c>
      <c r="M14" s="494" t="s">
        <v>925</v>
      </c>
      <c r="N14" s="494" t="s">
        <v>879</v>
      </c>
      <c r="O14" s="494" t="s">
        <v>895</v>
      </c>
      <c r="P14" s="494">
        <v>29940</v>
      </c>
      <c r="Q14" s="494" t="s">
        <v>880</v>
      </c>
      <c r="R14" s="494" t="s">
        <v>964</v>
      </c>
      <c r="S14" s="494" t="s">
        <v>881</v>
      </c>
      <c r="T14" s="494" t="s">
        <v>894</v>
      </c>
      <c r="U14" s="494">
        <v>29941</v>
      </c>
      <c r="X14" s="494" t="s">
        <v>786</v>
      </c>
      <c r="Y14" s="494" t="s">
        <v>901</v>
      </c>
      <c r="Z14" s="494" t="s">
        <v>902</v>
      </c>
      <c r="AA14" s="494" t="s">
        <v>882</v>
      </c>
      <c r="AB14" s="494" t="s">
        <v>960</v>
      </c>
    </row>
    <row r="15" spans="1:28" x14ac:dyDescent="0.25">
      <c r="A15" s="494" t="s">
        <v>325</v>
      </c>
      <c r="D15" s="494" t="s">
        <v>808</v>
      </c>
      <c r="G15" s="494" t="s">
        <v>919</v>
      </c>
      <c r="H15" s="494" t="s">
        <v>783</v>
      </c>
      <c r="I15" s="494" t="s">
        <v>922</v>
      </c>
      <c r="J15" s="494" t="s">
        <v>979</v>
      </c>
      <c r="K15" s="494" t="s">
        <v>923</v>
      </c>
      <c r="L15" s="494" t="s">
        <v>924</v>
      </c>
      <c r="M15" s="494" t="s">
        <v>925</v>
      </c>
      <c r="N15" s="494" t="s">
        <v>879</v>
      </c>
      <c r="O15" s="494" t="s">
        <v>895</v>
      </c>
      <c r="P15" s="494">
        <v>29940</v>
      </c>
      <c r="Q15" s="494" t="s">
        <v>880</v>
      </c>
      <c r="R15" s="494" t="s">
        <v>964</v>
      </c>
      <c r="S15" s="494" t="s">
        <v>881</v>
      </c>
      <c r="T15" s="494" t="s">
        <v>894</v>
      </c>
      <c r="U15" s="494">
        <v>29941</v>
      </c>
      <c r="X15" s="494" t="s">
        <v>786</v>
      </c>
      <c r="Y15" s="494" t="s">
        <v>901</v>
      </c>
      <c r="Z15" s="494" t="s">
        <v>902</v>
      </c>
      <c r="AA15" s="494" t="s">
        <v>882</v>
      </c>
      <c r="AB15" s="494" t="s">
        <v>960</v>
      </c>
    </row>
    <row r="16" spans="1:28" x14ac:dyDescent="0.25">
      <c r="A16" s="494" t="s">
        <v>357</v>
      </c>
      <c r="D16" s="494" t="s">
        <v>808</v>
      </c>
      <c r="G16" s="494" t="s">
        <v>920</v>
      </c>
      <c r="H16" s="494" t="s">
        <v>783</v>
      </c>
      <c r="I16" s="494" t="s">
        <v>922</v>
      </c>
      <c r="J16" s="494" t="s">
        <v>979</v>
      </c>
      <c r="K16" s="494" t="s">
        <v>923</v>
      </c>
      <c r="L16" s="494" t="s">
        <v>924</v>
      </c>
      <c r="M16" s="494" t="s">
        <v>925</v>
      </c>
      <c r="N16" s="494" t="s">
        <v>879</v>
      </c>
      <c r="O16" s="494" t="s">
        <v>895</v>
      </c>
      <c r="P16" s="494">
        <v>29940</v>
      </c>
      <c r="Q16" s="494" t="s">
        <v>880</v>
      </c>
      <c r="R16" s="494" t="s">
        <v>964</v>
      </c>
      <c r="S16" s="494" t="s">
        <v>881</v>
      </c>
      <c r="T16" s="494" t="s">
        <v>894</v>
      </c>
      <c r="U16" s="494">
        <v>29941</v>
      </c>
      <c r="X16" s="494" t="s">
        <v>786</v>
      </c>
      <c r="Y16" s="494" t="s">
        <v>901</v>
      </c>
      <c r="Z16" s="494" t="s">
        <v>902</v>
      </c>
      <c r="AA16" s="494" t="s">
        <v>882</v>
      </c>
      <c r="AB16" s="494" t="s">
        <v>960</v>
      </c>
    </row>
    <row r="17" spans="1:28" x14ac:dyDescent="0.25">
      <c r="A17" s="494" t="s">
        <v>358</v>
      </c>
      <c r="G17" s="494" t="s">
        <v>921</v>
      </c>
      <c r="H17" s="494" t="s">
        <v>783</v>
      </c>
      <c r="I17" s="494" t="s">
        <v>922</v>
      </c>
      <c r="J17" s="494" t="s">
        <v>979</v>
      </c>
      <c r="K17" s="494" t="s">
        <v>923</v>
      </c>
      <c r="L17" s="494" t="s">
        <v>924</v>
      </c>
      <c r="M17" s="494" t="s">
        <v>925</v>
      </c>
      <c r="N17" s="494" t="s">
        <v>879</v>
      </c>
      <c r="O17" s="494" t="s">
        <v>895</v>
      </c>
      <c r="P17" s="494">
        <v>29940</v>
      </c>
      <c r="Q17" s="494" t="s">
        <v>880</v>
      </c>
      <c r="R17" s="494" t="s">
        <v>964</v>
      </c>
      <c r="S17" s="494" t="s">
        <v>881</v>
      </c>
      <c r="T17" s="494" t="s">
        <v>894</v>
      </c>
      <c r="U17" s="494">
        <v>29941</v>
      </c>
      <c r="X17" s="494" t="s">
        <v>786</v>
      </c>
      <c r="Y17" s="494" t="s">
        <v>901</v>
      </c>
      <c r="Z17" s="494" t="s">
        <v>902</v>
      </c>
      <c r="AA17" s="494" t="s">
        <v>882</v>
      </c>
      <c r="AB17" s="494" t="s">
        <v>960</v>
      </c>
    </row>
  </sheetData>
  <phoneticPr fontId="43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EC618-C7FE-4411-84FF-A9F3C6ED7944}">
  <dimension ref="A1:AB17"/>
  <sheetViews>
    <sheetView workbookViewId="0">
      <selection activeCell="A2" sqref="A2:XFD17"/>
    </sheetView>
  </sheetViews>
  <sheetFormatPr defaultRowHeight="15" x14ac:dyDescent="0.25"/>
  <cols>
    <col min="1" max="1" width="15.5703125" style="494" customWidth="1"/>
    <col min="2" max="2" width="25.85546875" style="494" bestFit="1" customWidth="1"/>
    <col min="3" max="3" width="19.28515625" style="494" customWidth="1"/>
    <col min="4" max="4" width="22.5703125" style="494" customWidth="1"/>
    <col min="5" max="5" width="20" style="494" customWidth="1"/>
    <col min="6" max="7" width="17.42578125" style="494" customWidth="1"/>
    <col min="8" max="8" width="18.85546875" style="494" customWidth="1"/>
    <col min="9" max="10" width="19.42578125" style="494" customWidth="1"/>
    <col min="11" max="11" width="18.140625" style="494" customWidth="1"/>
    <col min="12" max="12" width="22.5703125" style="494" customWidth="1"/>
    <col min="13" max="13" width="22.42578125" style="494" customWidth="1"/>
    <col min="14" max="14" width="17.140625" style="494" customWidth="1"/>
    <col min="15" max="15" width="22.7109375" style="494" bestFit="1" customWidth="1"/>
    <col min="16" max="16" width="17.5703125" style="494" customWidth="1"/>
    <col min="17" max="18" width="15.28515625" style="494" customWidth="1"/>
    <col min="19" max="19" width="18.42578125" style="494" customWidth="1"/>
    <col min="20" max="20" width="22.85546875" style="494" bestFit="1" customWidth="1"/>
    <col min="21" max="21" width="18.85546875" style="494" customWidth="1"/>
    <col min="22" max="23" width="16.5703125" style="494" customWidth="1"/>
    <col min="24" max="24" width="17.140625" style="494" customWidth="1"/>
    <col min="25" max="25" width="21.7109375" style="494" bestFit="1" customWidth="1"/>
    <col min="26" max="27" width="15.42578125" style="494" customWidth="1"/>
    <col min="28" max="28" width="13.7109375" style="494" bestFit="1" customWidth="1"/>
    <col min="29" max="16384" width="9.140625" style="494"/>
  </cols>
  <sheetData>
    <row r="1" spans="1:28" x14ac:dyDescent="0.25">
      <c r="A1" s="494" t="s">
        <v>873</v>
      </c>
      <c r="B1" s="494" t="s">
        <v>874</v>
      </c>
      <c r="C1" s="494" t="s">
        <v>875</v>
      </c>
      <c r="D1" s="494" t="s">
        <v>876</v>
      </c>
      <c r="E1" s="494" t="s">
        <v>877</v>
      </c>
      <c r="F1" s="494" t="s">
        <v>878</v>
      </c>
      <c r="G1" s="494" t="s">
        <v>905</v>
      </c>
      <c r="H1" s="494" t="s">
        <v>872</v>
      </c>
      <c r="I1" s="494" t="s">
        <v>978</v>
      </c>
      <c r="J1" s="494" t="s">
        <v>971</v>
      </c>
      <c r="K1" s="494" t="s">
        <v>885</v>
      </c>
      <c r="L1" s="494" t="s">
        <v>884</v>
      </c>
      <c r="M1" s="494" t="s">
        <v>886</v>
      </c>
      <c r="N1" s="494" t="s">
        <v>888</v>
      </c>
      <c r="O1" s="494" t="s">
        <v>889</v>
      </c>
      <c r="P1" s="494" t="s">
        <v>890</v>
      </c>
      <c r="Q1" s="494" t="s">
        <v>891</v>
      </c>
      <c r="R1" s="494" t="s">
        <v>959</v>
      </c>
      <c r="S1" s="494" t="s">
        <v>892</v>
      </c>
      <c r="T1" s="494" t="s">
        <v>893</v>
      </c>
      <c r="U1" s="494" t="s">
        <v>896</v>
      </c>
      <c r="V1" s="494" t="s">
        <v>897</v>
      </c>
      <c r="W1" s="494" t="s">
        <v>958</v>
      </c>
      <c r="X1" s="494" t="s">
        <v>898</v>
      </c>
      <c r="Y1" s="494" t="s">
        <v>900</v>
      </c>
      <c r="Z1" s="494" t="s">
        <v>939</v>
      </c>
      <c r="AA1" s="494" t="s">
        <v>957</v>
      </c>
      <c r="AB1" s="494" t="s">
        <v>963</v>
      </c>
    </row>
    <row r="2" spans="1:28" x14ac:dyDescent="0.25">
      <c r="A2" s="494" t="s">
        <v>343</v>
      </c>
      <c r="E2" s="494" t="s">
        <v>381</v>
      </c>
      <c r="G2" s="494" t="s">
        <v>906</v>
      </c>
      <c r="H2" s="494" t="s">
        <v>783</v>
      </c>
      <c r="I2" s="494" t="s">
        <v>926</v>
      </c>
      <c r="J2" s="494" t="s">
        <v>980</v>
      </c>
      <c r="K2" s="494" t="s">
        <v>927</v>
      </c>
      <c r="L2" s="494" t="s">
        <v>928</v>
      </c>
      <c r="N2" s="494" t="s">
        <v>879</v>
      </c>
      <c r="O2" s="494" t="s">
        <v>895</v>
      </c>
      <c r="P2" s="494">
        <v>29940</v>
      </c>
      <c r="Q2" s="494" t="s">
        <v>880</v>
      </c>
      <c r="R2" s="494" t="s">
        <v>964</v>
      </c>
      <c r="S2" s="494" t="s">
        <v>881</v>
      </c>
      <c r="T2" s="494" t="s">
        <v>894</v>
      </c>
      <c r="U2" s="494">
        <v>29941</v>
      </c>
      <c r="X2" s="494" t="s">
        <v>786</v>
      </c>
      <c r="Y2" s="494" t="s">
        <v>901</v>
      </c>
      <c r="Z2" s="494" t="s">
        <v>902</v>
      </c>
      <c r="AA2" s="494" t="s">
        <v>882</v>
      </c>
      <c r="AB2" s="494" t="s">
        <v>960</v>
      </c>
    </row>
    <row r="3" spans="1:28" x14ac:dyDescent="0.25">
      <c r="A3" s="494" t="s">
        <v>349</v>
      </c>
      <c r="B3" s="494" t="s">
        <v>809</v>
      </c>
      <c r="D3" s="494" t="s">
        <v>809</v>
      </c>
      <c r="F3" s="494" t="s">
        <v>381</v>
      </c>
      <c r="G3" s="494" t="s">
        <v>907</v>
      </c>
      <c r="H3" s="494" t="s">
        <v>783</v>
      </c>
      <c r="I3" s="494" t="s">
        <v>926</v>
      </c>
      <c r="J3" s="494" t="s">
        <v>980</v>
      </c>
      <c r="K3" s="494" t="s">
        <v>927</v>
      </c>
      <c r="L3" s="494" t="s">
        <v>928</v>
      </c>
      <c r="N3" s="494" t="s">
        <v>879</v>
      </c>
      <c r="O3" s="494" t="s">
        <v>895</v>
      </c>
      <c r="P3" s="494">
        <v>29940</v>
      </c>
      <c r="Q3" s="494" t="s">
        <v>880</v>
      </c>
      <c r="R3" s="494" t="s">
        <v>964</v>
      </c>
      <c r="S3" s="494" t="s">
        <v>881</v>
      </c>
      <c r="T3" s="494" t="s">
        <v>894</v>
      </c>
      <c r="U3" s="494">
        <v>29941</v>
      </c>
      <c r="X3" s="494" t="s">
        <v>786</v>
      </c>
      <c r="Y3" s="494" t="s">
        <v>901</v>
      </c>
      <c r="Z3" s="494" t="s">
        <v>902</v>
      </c>
      <c r="AA3" s="494" t="s">
        <v>882</v>
      </c>
      <c r="AB3" s="494" t="s">
        <v>960</v>
      </c>
    </row>
    <row r="4" spans="1:28" x14ac:dyDescent="0.25">
      <c r="A4" s="494" t="s">
        <v>305</v>
      </c>
      <c r="B4" s="494" t="s">
        <v>809</v>
      </c>
      <c r="D4" s="494" t="s">
        <v>809</v>
      </c>
      <c r="G4" s="494" t="s">
        <v>908</v>
      </c>
      <c r="H4" s="494" t="s">
        <v>783</v>
      </c>
      <c r="I4" s="494" t="s">
        <v>926</v>
      </c>
      <c r="J4" s="494" t="s">
        <v>980</v>
      </c>
      <c r="K4" s="494" t="s">
        <v>927</v>
      </c>
      <c r="L4" s="494" t="s">
        <v>928</v>
      </c>
      <c r="N4" s="494" t="s">
        <v>879</v>
      </c>
      <c r="O4" s="494" t="s">
        <v>895</v>
      </c>
      <c r="P4" s="494">
        <v>29940</v>
      </c>
      <c r="Q4" s="494" t="s">
        <v>880</v>
      </c>
      <c r="R4" s="494" t="s">
        <v>964</v>
      </c>
      <c r="S4" s="494" t="s">
        <v>881</v>
      </c>
      <c r="T4" s="494" t="s">
        <v>894</v>
      </c>
      <c r="U4" s="494">
        <v>29941</v>
      </c>
      <c r="X4" s="494" t="s">
        <v>786</v>
      </c>
      <c r="Y4" s="494" t="s">
        <v>901</v>
      </c>
      <c r="Z4" s="494" t="s">
        <v>902</v>
      </c>
      <c r="AA4" s="494" t="s">
        <v>882</v>
      </c>
      <c r="AB4" s="494" t="s">
        <v>960</v>
      </c>
    </row>
    <row r="5" spans="1:28" x14ac:dyDescent="0.25">
      <c r="A5" s="494" t="s">
        <v>308</v>
      </c>
      <c r="B5" s="494" t="s">
        <v>809</v>
      </c>
      <c r="D5" s="494" t="s">
        <v>809</v>
      </c>
      <c r="E5" s="494" t="s">
        <v>381</v>
      </c>
      <c r="G5" s="494" t="s">
        <v>909</v>
      </c>
      <c r="H5" s="494" t="s">
        <v>783</v>
      </c>
      <c r="I5" s="494" t="s">
        <v>926</v>
      </c>
      <c r="J5" s="494" t="s">
        <v>980</v>
      </c>
      <c r="K5" s="494" t="s">
        <v>927</v>
      </c>
      <c r="L5" s="494" t="s">
        <v>928</v>
      </c>
      <c r="N5" s="494" t="s">
        <v>879</v>
      </c>
      <c r="O5" s="494" t="s">
        <v>895</v>
      </c>
      <c r="P5" s="494">
        <v>29940</v>
      </c>
      <c r="Q5" s="494" t="s">
        <v>880</v>
      </c>
      <c r="R5" s="494" t="s">
        <v>964</v>
      </c>
      <c r="S5" s="494" t="s">
        <v>881</v>
      </c>
      <c r="T5" s="494" t="s">
        <v>894</v>
      </c>
      <c r="U5" s="494">
        <v>29941</v>
      </c>
      <c r="X5" s="494" t="s">
        <v>786</v>
      </c>
      <c r="Y5" s="494" t="s">
        <v>901</v>
      </c>
      <c r="Z5" s="494" t="s">
        <v>902</v>
      </c>
      <c r="AA5" s="494" t="s">
        <v>882</v>
      </c>
      <c r="AB5" s="494" t="s">
        <v>960</v>
      </c>
    </row>
    <row r="6" spans="1:28" x14ac:dyDescent="0.25">
      <c r="A6" s="494" t="s">
        <v>310</v>
      </c>
      <c r="G6" s="494" t="s">
        <v>910</v>
      </c>
      <c r="H6" s="494" t="s">
        <v>783</v>
      </c>
      <c r="I6" s="494" t="s">
        <v>926</v>
      </c>
      <c r="J6" s="494" t="s">
        <v>980</v>
      </c>
      <c r="K6" s="494" t="s">
        <v>927</v>
      </c>
      <c r="L6" s="494" t="s">
        <v>928</v>
      </c>
      <c r="N6" s="494" t="s">
        <v>879</v>
      </c>
      <c r="O6" s="494" t="s">
        <v>895</v>
      </c>
      <c r="P6" s="494">
        <v>29940</v>
      </c>
      <c r="Q6" s="494" t="s">
        <v>880</v>
      </c>
      <c r="R6" s="494" t="s">
        <v>964</v>
      </c>
      <c r="S6" s="494" t="s">
        <v>881</v>
      </c>
      <c r="T6" s="494" t="s">
        <v>894</v>
      </c>
      <c r="U6" s="494">
        <v>29941</v>
      </c>
      <c r="X6" s="494" t="s">
        <v>786</v>
      </c>
      <c r="Y6" s="494" t="s">
        <v>901</v>
      </c>
      <c r="Z6" s="494" t="s">
        <v>902</v>
      </c>
      <c r="AA6" s="494" t="s">
        <v>882</v>
      </c>
      <c r="AB6" s="494" t="s">
        <v>960</v>
      </c>
    </row>
    <row r="7" spans="1:28" x14ac:dyDescent="0.25">
      <c r="A7" s="494" t="s">
        <v>312</v>
      </c>
      <c r="B7" s="494" t="s">
        <v>809</v>
      </c>
      <c r="D7" s="494" t="s">
        <v>809</v>
      </c>
      <c r="G7" s="494" t="s">
        <v>911</v>
      </c>
      <c r="H7" s="494" t="s">
        <v>783</v>
      </c>
      <c r="I7" s="494" t="s">
        <v>926</v>
      </c>
      <c r="J7" s="494" t="s">
        <v>980</v>
      </c>
      <c r="K7" s="494" t="s">
        <v>927</v>
      </c>
      <c r="L7" s="494" t="s">
        <v>928</v>
      </c>
      <c r="N7" s="494" t="s">
        <v>879</v>
      </c>
      <c r="O7" s="494" t="s">
        <v>895</v>
      </c>
      <c r="P7" s="494">
        <v>29940</v>
      </c>
      <c r="Q7" s="494" t="s">
        <v>880</v>
      </c>
      <c r="R7" s="494" t="s">
        <v>964</v>
      </c>
      <c r="S7" s="494" t="s">
        <v>881</v>
      </c>
      <c r="T7" s="494" t="s">
        <v>894</v>
      </c>
      <c r="U7" s="494">
        <v>29941</v>
      </c>
      <c r="X7" s="494" t="s">
        <v>786</v>
      </c>
      <c r="Y7" s="494" t="s">
        <v>901</v>
      </c>
      <c r="Z7" s="494" t="s">
        <v>902</v>
      </c>
      <c r="AA7" s="494" t="s">
        <v>882</v>
      </c>
      <c r="AB7" s="494" t="s">
        <v>960</v>
      </c>
    </row>
    <row r="8" spans="1:28" x14ac:dyDescent="0.25">
      <c r="A8" s="494" t="s">
        <v>315</v>
      </c>
      <c r="B8" s="494" t="s">
        <v>809</v>
      </c>
      <c r="D8" s="494" t="s">
        <v>809</v>
      </c>
      <c r="G8" s="494" t="s">
        <v>912</v>
      </c>
      <c r="H8" s="494" t="s">
        <v>783</v>
      </c>
      <c r="I8" s="494" t="s">
        <v>926</v>
      </c>
      <c r="J8" s="494" t="s">
        <v>980</v>
      </c>
      <c r="K8" s="494" t="s">
        <v>927</v>
      </c>
      <c r="L8" s="494" t="s">
        <v>928</v>
      </c>
      <c r="N8" s="494" t="s">
        <v>879</v>
      </c>
      <c r="O8" s="494" t="s">
        <v>895</v>
      </c>
      <c r="P8" s="494">
        <v>29940</v>
      </c>
      <c r="Q8" s="494" t="s">
        <v>880</v>
      </c>
      <c r="R8" s="494" t="s">
        <v>964</v>
      </c>
      <c r="S8" s="494" t="s">
        <v>881</v>
      </c>
      <c r="T8" s="494" t="s">
        <v>894</v>
      </c>
      <c r="U8" s="494">
        <v>29941</v>
      </c>
      <c r="X8" s="494" t="s">
        <v>786</v>
      </c>
      <c r="Y8" s="494" t="s">
        <v>901</v>
      </c>
      <c r="Z8" s="494" t="s">
        <v>902</v>
      </c>
      <c r="AA8" s="494" t="s">
        <v>882</v>
      </c>
      <c r="AB8" s="494" t="s">
        <v>960</v>
      </c>
    </row>
    <row r="9" spans="1:28" x14ac:dyDescent="0.25">
      <c r="A9" s="494" t="s">
        <v>352</v>
      </c>
      <c r="B9" s="494" t="s">
        <v>809</v>
      </c>
      <c r="D9" s="494" t="s">
        <v>809</v>
      </c>
      <c r="G9" s="494" t="s">
        <v>913</v>
      </c>
      <c r="H9" s="494" t="s">
        <v>783</v>
      </c>
      <c r="I9" s="494" t="s">
        <v>926</v>
      </c>
      <c r="J9" s="494" t="s">
        <v>980</v>
      </c>
      <c r="K9" s="494" t="s">
        <v>927</v>
      </c>
      <c r="L9" s="494" t="s">
        <v>928</v>
      </c>
      <c r="N9" s="494" t="s">
        <v>879</v>
      </c>
      <c r="O9" s="494" t="s">
        <v>895</v>
      </c>
      <c r="P9" s="494">
        <v>29940</v>
      </c>
      <c r="Q9" s="494" t="s">
        <v>880</v>
      </c>
      <c r="R9" s="494" t="s">
        <v>964</v>
      </c>
      <c r="S9" s="494" t="s">
        <v>881</v>
      </c>
      <c r="T9" s="494" t="s">
        <v>894</v>
      </c>
      <c r="U9" s="494">
        <v>29941</v>
      </c>
      <c r="X9" s="494" t="s">
        <v>786</v>
      </c>
      <c r="Y9" s="494" t="s">
        <v>901</v>
      </c>
      <c r="Z9" s="494" t="s">
        <v>902</v>
      </c>
      <c r="AA9" s="494" t="s">
        <v>882</v>
      </c>
      <c r="AB9" s="494" t="s">
        <v>960</v>
      </c>
    </row>
    <row r="10" spans="1:28" ht="15" customHeight="1" x14ac:dyDescent="0.25">
      <c r="A10" s="494" t="s">
        <v>353</v>
      </c>
      <c r="B10" s="494" t="s">
        <v>354</v>
      </c>
      <c r="G10" s="494" t="s">
        <v>914</v>
      </c>
      <c r="H10" s="494" t="s">
        <v>783</v>
      </c>
      <c r="I10" s="494" t="s">
        <v>926</v>
      </c>
      <c r="J10" s="494" t="s">
        <v>980</v>
      </c>
      <c r="K10" s="494" t="s">
        <v>927</v>
      </c>
      <c r="L10" s="494" t="s">
        <v>928</v>
      </c>
      <c r="N10" s="494" t="s">
        <v>879</v>
      </c>
      <c r="O10" s="494" t="s">
        <v>895</v>
      </c>
      <c r="P10" s="494">
        <v>29940</v>
      </c>
      <c r="Q10" s="494" t="s">
        <v>880</v>
      </c>
      <c r="R10" s="494" t="s">
        <v>964</v>
      </c>
      <c r="S10" s="494" t="s">
        <v>881</v>
      </c>
      <c r="T10" s="494" t="s">
        <v>894</v>
      </c>
      <c r="U10" s="494">
        <v>29941</v>
      </c>
      <c r="X10" s="494" t="s">
        <v>786</v>
      </c>
      <c r="Y10" s="494" t="s">
        <v>901</v>
      </c>
      <c r="Z10" s="494" t="s">
        <v>902</v>
      </c>
      <c r="AA10" s="494" t="s">
        <v>882</v>
      </c>
      <c r="AB10" s="494" t="s">
        <v>960</v>
      </c>
    </row>
    <row r="11" spans="1:28" ht="15.75" customHeight="1" x14ac:dyDescent="0.25">
      <c r="A11" s="494" t="s">
        <v>355</v>
      </c>
      <c r="G11" s="494" t="s">
        <v>915</v>
      </c>
      <c r="H11" s="494" t="s">
        <v>783</v>
      </c>
      <c r="I11" s="494" t="s">
        <v>926</v>
      </c>
      <c r="J11" s="494" t="s">
        <v>980</v>
      </c>
      <c r="K11" s="494" t="s">
        <v>927</v>
      </c>
      <c r="L11" s="494" t="s">
        <v>928</v>
      </c>
      <c r="N11" s="494" t="s">
        <v>879</v>
      </c>
      <c r="O11" s="494" t="s">
        <v>895</v>
      </c>
      <c r="P11" s="494">
        <v>29940</v>
      </c>
      <c r="Q11" s="494" t="s">
        <v>880</v>
      </c>
      <c r="R11" s="494" t="s">
        <v>964</v>
      </c>
      <c r="S11" s="494" t="s">
        <v>881</v>
      </c>
      <c r="T11" s="494" t="s">
        <v>894</v>
      </c>
      <c r="U11" s="494">
        <v>29941</v>
      </c>
      <c r="X11" s="494" t="s">
        <v>786</v>
      </c>
      <c r="Y11" s="494" t="s">
        <v>901</v>
      </c>
      <c r="Z11" s="494" t="s">
        <v>902</v>
      </c>
      <c r="AA11" s="494" t="s">
        <v>882</v>
      </c>
      <c r="AB11" s="494" t="s">
        <v>960</v>
      </c>
    </row>
    <row r="12" spans="1:28" x14ac:dyDescent="0.25">
      <c r="A12" s="494" t="s">
        <v>318</v>
      </c>
      <c r="B12" s="494" t="s">
        <v>809</v>
      </c>
      <c r="C12" s="494" t="s">
        <v>380</v>
      </c>
      <c r="D12" s="494" t="s">
        <v>809</v>
      </c>
      <c r="G12" s="494" t="s">
        <v>916</v>
      </c>
      <c r="H12" s="494" t="s">
        <v>783</v>
      </c>
      <c r="I12" s="494" t="s">
        <v>926</v>
      </c>
      <c r="J12" s="494" t="s">
        <v>980</v>
      </c>
      <c r="K12" s="494" t="s">
        <v>927</v>
      </c>
      <c r="L12" s="494" t="s">
        <v>928</v>
      </c>
      <c r="N12" s="494" t="s">
        <v>879</v>
      </c>
      <c r="O12" s="494" t="s">
        <v>895</v>
      </c>
      <c r="P12" s="494">
        <v>29940</v>
      </c>
      <c r="Q12" s="494" t="s">
        <v>880</v>
      </c>
      <c r="R12" s="494" t="s">
        <v>964</v>
      </c>
      <c r="S12" s="494" t="s">
        <v>881</v>
      </c>
      <c r="T12" s="494" t="s">
        <v>894</v>
      </c>
      <c r="U12" s="494">
        <v>29941</v>
      </c>
      <c r="X12" s="494" t="s">
        <v>786</v>
      </c>
      <c r="Y12" s="494" t="s">
        <v>901</v>
      </c>
      <c r="Z12" s="494" t="s">
        <v>902</v>
      </c>
      <c r="AA12" s="494" t="s">
        <v>882</v>
      </c>
      <c r="AB12" s="494" t="s">
        <v>960</v>
      </c>
    </row>
    <row r="13" spans="1:28" x14ac:dyDescent="0.25">
      <c r="A13" s="494" t="s">
        <v>321</v>
      </c>
      <c r="B13" s="494" t="s">
        <v>809</v>
      </c>
      <c r="D13" s="494" t="s">
        <v>809</v>
      </c>
      <c r="G13" s="494" t="s">
        <v>917</v>
      </c>
      <c r="H13" s="494" t="s">
        <v>783</v>
      </c>
      <c r="I13" s="494" t="s">
        <v>926</v>
      </c>
      <c r="J13" s="494" t="s">
        <v>980</v>
      </c>
      <c r="K13" s="494" t="s">
        <v>927</v>
      </c>
      <c r="L13" s="494" t="s">
        <v>928</v>
      </c>
      <c r="N13" s="494" t="s">
        <v>879</v>
      </c>
      <c r="O13" s="494" t="s">
        <v>895</v>
      </c>
      <c r="P13" s="494">
        <v>29940</v>
      </c>
      <c r="Q13" s="494" t="s">
        <v>880</v>
      </c>
      <c r="R13" s="494" t="s">
        <v>964</v>
      </c>
      <c r="S13" s="494" t="s">
        <v>881</v>
      </c>
      <c r="T13" s="494" t="s">
        <v>894</v>
      </c>
      <c r="U13" s="494">
        <v>29941</v>
      </c>
      <c r="X13" s="494" t="s">
        <v>786</v>
      </c>
      <c r="Y13" s="494" t="s">
        <v>901</v>
      </c>
      <c r="Z13" s="494" t="s">
        <v>902</v>
      </c>
      <c r="AA13" s="494" t="s">
        <v>882</v>
      </c>
      <c r="AB13" s="494" t="s">
        <v>960</v>
      </c>
    </row>
    <row r="14" spans="1:28" x14ac:dyDescent="0.25">
      <c r="A14" s="494" t="s">
        <v>324</v>
      </c>
      <c r="B14" s="494" t="s">
        <v>809</v>
      </c>
      <c r="D14" s="494" t="s">
        <v>809</v>
      </c>
      <c r="G14" s="494" t="s">
        <v>918</v>
      </c>
      <c r="H14" s="494" t="s">
        <v>783</v>
      </c>
      <c r="I14" s="494" t="s">
        <v>926</v>
      </c>
      <c r="J14" s="494" t="s">
        <v>980</v>
      </c>
      <c r="K14" s="494" t="s">
        <v>927</v>
      </c>
      <c r="L14" s="494" t="s">
        <v>928</v>
      </c>
      <c r="N14" s="494" t="s">
        <v>879</v>
      </c>
      <c r="O14" s="494" t="s">
        <v>895</v>
      </c>
      <c r="P14" s="494">
        <v>29940</v>
      </c>
      <c r="Q14" s="494" t="s">
        <v>880</v>
      </c>
      <c r="R14" s="494" t="s">
        <v>964</v>
      </c>
      <c r="S14" s="494" t="s">
        <v>881</v>
      </c>
      <c r="T14" s="494" t="s">
        <v>894</v>
      </c>
      <c r="U14" s="494">
        <v>29941</v>
      </c>
      <c r="X14" s="494" t="s">
        <v>786</v>
      </c>
      <c r="Y14" s="494" t="s">
        <v>901</v>
      </c>
      <c r="Z14" s="494" t="s">
        <v>902</v>
      </c>
      <c r="AA14" s="494" t="s">
        <v>882</v>
      </c>
      <c r="AB14" s="494" t="s">
        <v>960</v>
      </c>
    </row>
    <row r="15" spans="1:28" x14ac:dyDescent="0.25">
      <c r="A15" s="494" t="s">
        <v>325</v>
      </c>
      <c r="B15" s="494" t="s">
        <v>809</v>
      </c>
      <c r="D15" s="494" t="s">
        <v>809</v>
      </c>
      <c r="G15" s="494" t="s">
        <v>919</v>
      </c>
      <c r="H15" s="494" t="s">
        <v>783</v>
      </c>
      <c r="I15" s="494" t="s">
        <v>926</v>
      </c>
      <c r="J15" s="494" t="s">
        <v>980</v>
      </c>
      <c r="K15" s="494" t="s">
        <v>927</v>
      </c>
      <c r="L15" s="494" t="s">
        <v>928</v>
      </c>
      <c r="N15" s="494" t="s">
        <v>879</v>
      </c>
      <c r="O15" s="494" t="s">
        <v>895</v>
      </c>
      <c r="P15" s="494">
        <v>29940</v>
      </c>
      <c r="Q15" s="494" t="s">
        <v>880</v>
      </c>
      <c r="R15" s="494" t="s">
        <v>964</v>
      </c>
      <c r="S15" s="494" t="s">
        <v>881</v>
      </c>
      <c r="T15" s="494" t="s">
        <v>894</v>
      </c>
      <c r="U15" s="494">
        <v>29941</v>
      </c>
      <c r="X15" s="494" t="s">
        <v>786</v>
      </c>
      <c r="Y15" s="494" t="s">
        <v>901</v>
      </c>
      <c r="Z15" s="494" t="s">
        <v>902</v>
      </c>
      <c r="AA15" s="494" t="s">
        <v>882</v>
      </c>
      <c r="AB15" s="494" t="s">
        <v>960</v>
      </c>
    </row>
    <row r="16" spans="1:28" x14ac:dyDescent="0.25">
      <c r="A16" s="494" t="s">
        <v>357</v>
      </c>
      <c r="B16" s="494" t="s">
        <v>809</v>
      </c>
      <c r="D16" s="494" t="s">
        <v>809</v>
      </c>
      <c r="G16" s="494" t="s">
        <v>920</v>
      </c>
      <c r="H16" s="494" t="s">
        <v>783</v>
      </c>
      <c r="I16" s="494" t="s">
        <v>926</v>
      </c>
      <c r="J16" s="494" t="s">
        <v>980</v>
      </c>
      <c r="K16" s="494" t="s">
        <v>927</v>
      </c>
      <c r="L16" s="494" t="s">
        <v>928</v>
      </c>
      <c r="N16" s="494" t="s">
        <v>879</v>
      </c>
      <c r="O16" s="494" t="s">
        <v>895</v>
      </c>
      <c r="P16" s="494">
        <v>29940</v>
      </c>
      <c r="Q16" s="494" t="s">
        <v>880</v>
      </c>
      <c r="R16" s="494" t="s">
        <v>964</v>
      </c>
      <c r="S16" s="494" t="s">
        <v>881</v>
      </c>
      <c r="T16" s="494" t="s">
        <v>894</v>
      </c>
      <c r="U16" s="494">
        <v>29941</v>
      </c>
      <c r="X16" s="494" t="s">
        <v>786</v>
      </c>
      <c r="Y16" s="494" t="s">
        <v>901</v>
      </c>
      <c r="Z16" s="494" t="s">
        <v>902</v>
      </c>
      <c r="AA16" s="494" t="s">
        <v>882</v>
      </c>
      <c r="AB16" s="494" t="s">
        <v>960</v>
      </c>
    </row>
    <row r="17" spans="1:28" x14ac:dyDescent="0.25">
      <c r="A17" s="494" t="s">
        <v>358</v>
      </c>
      <c r="B17" s="494" t="s">
        <v>809</v>
      </c>
      <c r="D17" s="494" t="s">
        <v>809</v>
      </c>
      <c r="G17" s="494" t="s">
        <v>921</v>
      </c>
      <c r="H17" s="494" t="s">
        <v>783</v>
      </c>
      <c r="I17" s="494" t="s">
        <v>926</v>
      </c>
      <c r="J17" s="494" t="s">
        <v>980</v>
      </c>
      <c r="K17" s="494" t="s">
        <v>927</v>
      </c>
      <c r="L17" s="494" t="s">
        <v>928</v>
      </c>
      <c r="N17" s="494" t="s">
        <v>879</v>
      </c>
      <c r="O17" s="494" t="s">
        <v>895</v>
      </c>
      <c r="P17" s="494">
        <v>29940</v>
      </c>
      <c r="Q17" s="494" t="s">
        <v>880</v>
      </c>
      <c r="R17" s="494" t="s">
        <v>964</v>
      </c>
      <c r="S17" s="494" t="s">
        <v>881</v>
      </c>
      <c r="T17" s="494" t="s">
        <v>894</v>
      </c>
      <c r="U17" s="494">
        <v>29941</v>
      </c>
      <c r="X17" s="494" t="s">
        <v>786</v>
      </c>
      <c r="Y17" s="494" t="s">
        <v>901</v>
      </c>
      <c r="Z17" s="494" t="s">
        <v>902</v>
      </c>
      <c r="AA17" s="494" t="s">
        <v>882</v>
      </c>
      <c r="AB17" s="494" t="s">
        <v>960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5EA7A-D46D-41D8-890B-336607A70F40}">
  <dimension ref="A1:AB17"/>
  <sheetViews>
    <sheetView workbookViewId="0">
      <selection activeCell="A2" sqref="A2:XFD17"/>
    </sheetView>
  </sheetViews>
  <sheetFormatPr defaultRowHeight="15" x14ac:dyDescent="0.25"/>
  <cols>
    <col min="1" max="1" width="15.5703125" style="494" customWidth="1"/>
    <col min="2" max="2" width="25.85546875" style="494" bestFit="1" customWidth="1"/>
    <col min="3" max="3" width="19.28515625" style="494" customWidth="1"/>
    <col min="4" max="4" width="22.5703125" style="494" customWidth="1"/>
    <col min="5" max="5" width="20" style="494" customWidth="1"/>
    <col min="6" max="7" width="17.42578125" style="494" customWidth="1"/>
    <col min="8" max="8" width="18.85546875" style="494" customWidth="1"/>
    <col min="9" max="10" width="19.42578125" style="494" customWidth="1"/>
    <col min="11" max="11" width="18.140625" style="494" customWidth="1"/>
    <col min="12" max="12" width="22.5703125" style="494" customWidth="1"/>
    <col min="13" max="13" width="22.42578125" style="494" customWidth="1"/>
    <col min="14" max="14" width="17.140625" style="494" customWidth="1"/>
    <col min="15" max="15" width="22.7109375" style="494" bestFit="1" customWidth="1"/>
    <col min="16" max="16" width="17.5703125" style="494" customWidth="1"/>
    <col min="17" max="18" width="15.28515625" style="494" customWidth="1"/>
    <col min="19" max="19" width="18.42578125" style="494" customWidth="1"/>
    <col min="20" max="20" width="22.85546875" style="494" bestFit="1" customWidth="1"/>
    <col min="21" max="21" width="18.85546875" style="494" customWidth="1"/>
    <col min="22" max="23" width="16.5703125" style="494" customWidth="1"/>
    <col min="24" max="24" width="17.140625" style="494" customWidth="1"/>
    <col min="25" max="25" width="21.7109375" style="494" bestFit="1" customWidth="1"/>
    <col min="26" max="27" width="15.42578125" style="494" customWidth="1"/>
    <col min="28" max="28" width="13.7109375" style="494" bestFit="1" customWidth="1"/>
    <col min="29" max="16384" width="9.140625" style="494"/>
  </cols>
  <sheetData>
    <row r="1" spans="1:28" x14ac:dyDescent="0.25">
      <c r="A1" s="494" t="s">
        <v>873</v>
      </c>
      <c r="B1" s="494" t="s">
        <v>874</v>
      </c>
      <c r="C1" s="494" t="s">
        <v>875</v>
      </c>
      <c r="D1" s="494" t="s">
        <v>876</v>
      </c>
      <c r="E1" s="494" t="s">
        <v>877</v>
      </c>
      <c r="F1" s="494" t="s">
        <v>878</v>
      </c>
      <c r="G1" s="494" t="s">
        <v>905</v>
      </c>
      <c r="H1" s="494" t="s">
        <v>872</v>
      </c>
      <c r="I1" s="494" t="s">
        <v>978</v>
      </c>
      <c r="J1" s="494" t="s">
        <v>971</v>
      </c>
      <c r="K1" s="494" t="s">
        <v>885</v>
      </c>
      <c r="L1" s="494" t="s">
        <v>884</v>
      </c>
      <c r="M1" s="494" t="s">
        <v>886</v>
      </c>
      <c r="N1" s="494" t="s">
        <v>888</v>
      </c>
      <c r="O1" s="494" t="s">
        <v>889</v>
      </c>
      <c r="P1" s="494" t="s">
        <v>890</v>
      </c>
      <c r="Q1" s="494" t="s">
        <v>891</v>
      </c>
      <c r="R1" s="494" t="s">
        <v>959</v>
      </c>
      <c r="S1" s="494" t="s">
        <v>892</v>
      </c>
      <c r="T1" s="494" t="s">
        <v>893</v>
      </c>
      <c r="U1" s="494" t="s">
        <v>896</v>
      </c>
      <c r="V1" s="494" t="s">
        <v>897</v>
      </c>
      <c r="W1" s="494" t="s">
        <v>958</v>
      </c>
      <c r="X1" s="494" t="s">
        <v>898</v>
      </c>
      <c r="Y1" s="494" t="s">
        <v>900</v>
      </c>
      <c r="Z1" s="494" t="s">
        <v>939</v>
      </c>
      <c r="AA1" s="494" t="s">
        <v>899</v>
      </c>
      <c r="AB1" s="494" t="s">
        <v>957</v>
      </c>
    </row>
    <row r="2" spans="1:28" x14ac:dyDescent="0.25">
      <c r="A2" s="494" t="s">
        <v>343</v>
      </c>
      <c r="B2" s="494" t="s">
        <v>380</v>
      </c>
      <c r="C2" s="494" t="s">
        <v>344</v>
      </c>
      <c r="D2" s="494" t="s">
        <v>381</v>
      </c>
      <c r="E2" s="494" t="s">
        <v>346</v>
      </c>
      <c r="F2" s="494" t="s">
        <v>381</v>
      </c>
      <c r="G2" s="494" t="s">
        <v>906</v>
      </c>
      <c r="H2" s="494" t="s">
        <v>929</v>
      </c>
      <c r="I2" s="494" t="s">
        <v>930</v>
      </c>
      <c r="J2" s="494" t="s">
        <v>981</v>
      </c>
      <c r="K2" s="494" t="s">
        <v>931</v>
      </c>
      <c r="L2" s="494" t="s">
        <v>932</v>
      </c>
      <c r="N2" s="494" t="s">
        <v>933</v>
      </c>
      <c r="O2" s="494" t="s">
        <v>934</v>
      </c>
      <c r="P2" s="494" t="s">
        <v>935</v>
      </c>
      <c r="Q2" s="494" t="s">
        <v>936</v>
      </c>
      <c r="R2" s="494" t="s">
        <v>965</v>
      </c>
      <c r="S2" s="494" t="s">
        <v>332</v>
      </c>
      <c r="T2" s="494" t="s">
        <v>937</v>
      </c>
      <c r="U2" s="494" t="s">
        <v>938</v>
      </c>
      <c r="X2" s="494" t="s">
        <v>786</v>
      </c>
      <c r="Y2" s="494" t="s">
        <v>901</v>
      </c>
      <c r="Z2" s="494" t="s">
        <v>902</v>
      </c>
      <c r="AA2" s="494" t="s">
        <v>882</v>
      </c>
      <c r="AB2" s="494" t="s">
        <v>960</v>
      </c>
    </row>
    <row r="3" spans="1:28" x14ac:dyDescent="0.25">
      <c r="A3" s="494" t="s">
        <v>349</v>
      </c>
      <c r="B3" s="494" t="s">
        <v>344</v>
      </c>
      <c r="C3" s="494" t="s">
        <v>344</v>
      </c>
      <c r="D3" s="494" t="s">
        <v>381</v>
      </c>
      <c r="E3" s="494" t="s">
        <v>346</v>
      </c>
      <c r="F3" s="494" t="s">
        <v>381</v>
      </c>
      <c r="G3" s="494" t="s">
        <v>907</v>
      </c>
      <c r="H3" s="494" t="s">
        <v>929</v>
      </c>
      <c r="I3" s="494" t="s">
        <v>930</v>
      </c>
      <c r="J3" s="494" t="s">
        <v>981</v>
      </c>
      <c r="K3" s="494" t="s">
        <v>931</v>
      </c>
      <c r="L3" s="494" t="s">
        <v>932</v>
      </c>
      <c r="N3" s="494" t="s">
        <v>933</v>
      </c>
      <c r="O3" s="494" t="s">
        <v>934</v>
      </c>
      <c r="P3" s="494" t="s">
        <v>935</v>
      </c>
      <c r="Q3" s="494" t="s">
        <v>936</v>
      </c>
      <c r="R3" s="494" t="s">
        <v>965</v>
      </c>
      <c r="S3" s="494" t="s">
        <v>332</v>
      </c>
      <c r="T3" s="494" t="s">
        <v>937</v>
      </c>
      <c r="U3" s="494" t="s">
        <v>938</v>
      </c>
      <c r="X3" s="494" t="s">
        <v>786</v>
      </c>
      <c r="Y3" s="494" t="s">
        <v>901</v>
      </c>
      <c r="Z3" s="494" t="s">
        <v>902</v>
      </c>
      <c r="AA3" s="494" t="s">
        <v>882</v>
      </c>
      <c r="AB3" s="494" t="s">
        <v>960</v>
      </c>
    </row>
    <row r="4" spans="1:28" x14ac:dyDescent="0.25">
      <c r="A4" s="494" t="s">
        <v>305</v>
      </c>
      <c r="B4" s="494" t="s">
        <v>344</v>
      </c>
      <c r="C4" s="494" t="s">
        <v>344</v>
      </c>
      <c r="D4" s="494" t="s">
        <v>381</v>
      </c>
      <c r="E4" s="494" t="s">
        <v>346</v>
      </c>
      <c r="F4" s="494" t="s">
        <v>381</v>
      </c>
      <c r="G4" s="494" t="s">
        <v>908</v>
      </c>
      <c r="H4" s="494" t="s">
        <v>929</v>
      </c>
      <c r="I4" s="494" t="s">
        <v>930</v>
      </c>
      <c r="J4" s="494" t="s">
        <v>981</v>
      </c>
      <c r="K4" s="494" t="s">
        <v>931</v>
      </c>
      <c r="L4" s="494" t="s">
        <v>932</v>
      </c>
      <c r="N4" s="494" t="s">
        <v>933</v>
      </c>
      <c r="O4" s="494" t="s">
        <v>934</v>
      </c>
      <c r="P4" s="494" t="s">
        <v>935</v>
      </c>
      <c r="Q4" s="494" t="s">
        <v>936</v>
      </c>
      <c r="R4" s="494" t="s">
        <v>965</v>
      </c>
      <c r="S4" s="494" t="s">
        <v>332</v>
      </c>
      <c r="T4" s="494" t="s">
        <v>937</v>
      </c>
      <c r="U4" s="494" t="s">
        <v>938</v>
      </c>
      <c r="X4" s="494" t="s">
        <v>786</v>
      </c>
      <c r="Y4" s="494" t="s">
        <v>901</v>
      </c>
      <c r="Z4" s="494" t="s">
        <v>902</v>
      </c>
      <c r="AA4" s="494" t="s">
        <v>882</v>
      </c>
      <c r="AB4" s="494" t="s">
        <v>960</v>
      </c>
    </row>
    <row r="5" spans="1:28" x14ac:dyDescent="0.25">
      <c r="A5" s="494" t="s">
        <v>308</v>
      </c>
      <c r="B5" s="494" t="s">
        <v>344</v>
      </c>
      <c r="C5" s="494" t="s">
        <v>344</v>
      </c>
      <c r="D5" s="494" t="s">
        <v>381</v>
      </c>
      <c r="E5" s="494" t="s">
        <v>346</v>
      </c>
      <c r="F5" s="494" t="s">
        <v>381</v>
      </c>
      <c r="G5" s="494" t="s">
        <v>909</v>
      </c>
      <c r="H5" s="494" t="s">
        <v>929</v>
      </c>
      <c r="I5" s="494" t="s">
        <v>930</v>
      </c>
      <c r="J5" s="494" t="s">
        <v>981</v>
      </c>
      <c r="K5" s="494" t="s">
        <v>931</v>
      </c>
      <c r="L5" s="494" t="s">
        <v>932</v>
      </c>
      <c r="N5" s="494" t="s">
        <v>933</v>
      </c>
      <c r="O5" s="494" t="s">
        <v>934</v>
      </c>
      <c r="P5" s="494" t="s">
        <v>935</v>
      </c>
      <c r="Q5" s="494" t="s">
        <v>936</v>
      </c>
      <c r="R5" s="494" t="s">
        <v>965</v>
      </c>
      <c r="S5" s="494" t="s">
        <v>332</v>
      </c>
      <c r="T5" s="494" t="s">
        <v>937</v>
      </c>
      <c r="U5" s="494" t="s">
        <v>938</v>
      </c>
      <c r="X5" s="494" t="s">
        <v>786</v>
      </c>
      <c r="Y5" s="494" t="s">
        <v>901</v>
      </c>
      <c r="Z5" s="494" t="s">
        <v>902</v>
      </c>
      <c r="AA5" s="494" t="s">
        <v>882</v>
      </c>
      <c r="AB5" s="494" t="s">
        <v>960</v>
      </c>
    </row>
    <row r="6" spans="1:28" x14ac:dyDescent="0.25">
      <c r="A6" s="494" t="s">
        <v>310</v>
      </c>
      <c r="B6" s="494" t="s">
        <v>344</v>
      </c>
      <c r="C6" s="494" t="s">
        <v>344</v>
      </c>
      <c r="D6" s="494" t="s">
        <v>380</v>
      </c>
      <c r="F6" s="494" t="s">
        <v>380</v>
      </c>
      <c r="G6" s="494" t="s">
        <v>910</v>
      </c>
      <c r="H6" s="494" t="s">
        <v>929</v>
      </c>
      <c r="I6" s="494" t="s">
        <v>930</v>
      </c>
      <c r="J6" s="494" t="s">
        <v>981</v>
      </c>
      <c r="K6" s="494" t="s">
        <v>931</v>
      </c>
      <c r="L6" s="494" t="s">
        <v>932</v>
      </c>
      <c r="N6" s="494" t="s">
        <v>933</v>
      </c>
      <c r="O6" s="494" t="s">
        <v>934</v>
      </c>
      <c r="P6" s="494" t="s">
        <v>935</v>
      </c>
      <c r="Q6" s="494" t="s">
        <v>936</v>
      </c>
      <c r="R6" s="494" t="s">
        <v>965</v>
      </c>
      <c r="S6" s="494" t="s">
        <v>332</v>
      </c>
      <c r="T6" s="494" t="s">
        <v>937</v>
      </c>
      <c r="U6" s="494" t="s">
        <v>938</v>
      </c>
      <c r="X6" s="494" t="s">
        <v>786</v>
      </c>
      <c r="Y6" s="494" t="s">
        <v>901</v>
      </c>
      <c r="Z6" s="494" t="s">
        <v>902</v>
      </c>
      <c r="AA6" s="494" t="s">
        <v>882</v>
      </c>
      <c r="AB6" s="494" t="s">
        <v>960</v>
      </c>
    </row>
    <row r="7" spans="1:28" x14ac:dyDescent="0.25">
      <c r="A7" s="494" t="s">
        <v>312</v>
      </c>
      <c r="B7" s="494" t="s">
        <v>344</v>
      </c>
      <c r="C7" s="494" t="s">
        <v>344</v>
      </c>
      <c r="G7" s="494" t="s">
        <v>911</v>
      </c>
      <c r="H7" s="494" t="s">
        <v>929</v>
      </c>
      <c r="I7" s="494" t="s">
        <v>930</v>
      </c>
      <c r="J7" s="494" t="s">
        <v>981</v>
      </c>
      <c r="K7" s="494" t="s">
        <v>931</v>
      </c>
      <c r="L7" s="494" t="s">
        <v>932</v>
      </c>
      <c r="N7" s="494" t="s">
        <v>933</v>
      </c>
      <c r="O7" s="494" t="s">
        <v>934</v>
      </c>
      <c r="P7" s="494" t="s">
        <v>935</v>
      </c>
      <c r="Q7" s="494" t="s">
        <v>936</v>
      </c>
      <c r="R7" s="494" t="s">
        <v>965</v>
      </c>
      <c r="S7" s="494" t="s">
        <v>332</v>
      </c>
      <c r="T7" s="494" t="s">
        <v>937</v>
      </c>
      <c r="U7" s="494" t="s">
        <v>938</v>
      </c>
      <c r="X7" s="494" t="s">
        <v>786</v>
      </c>
      <c r="Y7" s="494" t="s">
        <v>901</v>
      </c>
      <c r="Z7" s="494" t="s">
        <v>902</v>
      </c>
      <c r="AA7" s="494" t="s">
        <v>882</v>
      </c>
      <c r="AB7" s="494" t="s">
        <v>960</v>
      </c>
    </row>
    <row r="8" spans="1:28" x14ac:dyDescent="0.25">
      <c r="A8" s="494" t="s">
        <v>315</v>
      </c>
      <c r="B8" s="494" t="s">
        <v>344</v>
      </c>
      <c r="C8" s="494" t="s">
        <v>344</v>
      </c>
      <c r="E8" s="494" t="s">
        <v>380</v>
      </c>
      <c r="F8" s="494" t="s">
        <v>380</v>
      </c>
      <c r="G8" s="494" t="s">
        <v>912</v>
      </c>
      <c r="H8" s="494" t="s">
        <v>929</v>
      </c>
      <c r="I8" s="494" t="s">
        <v>930</v>
      </c>
      <c r="J8" s="494" t="s">
        <v>981</v>
      </c>
      <c r="K8" s="494" t="s">
        <v>931</v>
      </c>
      <c r="L8" s="494" t="s">
        <v>932</v>
      </c>
      <c r="N8" s="494" t="s">
        <v>933</v>
      </c>
      <c r="O8" s="494" t="s">
        <v>934</v>
      </c>
      <c r="P8" s="494" t="s">
        <v>935</v>
      </c>
      <c r="Q8" s="494" t="s">
        <v>936</v>
      </c>
      <c r="R8" s="494" t="s">
        <v>965</v>
      </c>
      <c r="S8" s="494" t="s">
        <v>332</v>
      </c>
      <c r="T8" s="494" t="s">
        <v>937</v>
      </c>
      <c r="U8" s="494" t="s">
        <v>938</v>
      </c>
      <c r="X8" s="494" t="s">
        <v>786</v>
      </c>
      <c r="Y8" s="494" t="s">
        <v>901</v>
      </c>
      <c r="Z8" s="494" t="s">
        <v>902</v>
      </c>
      <c r="AA8" s="494" t="s">
        <v>882</v>
      </c>
      <c r="AB8" s="494" t="s">
        <v>960</v>
      </c>
    </row>
    <row r="9" spans="1:28" x14ac:dyDescent="0.25">
      <c r="A9" s="494" t="s">
        <v>352</v>
      </c>
      <c r="B9" s="494" t="s">
        <v>344</v>
      </c>
      <c r="C9" s="494" t="s">
        <v>344</v>
      </c>
      <c r="G9" s="494" t="s">
        <v>913</v>
      </c>
      <c r="H9" s="494" t="s">
        <v>929</v>
      </c>
      <c r="I9" s="494" t="s">
        <v>930</v>
      </c>
      <c r="J9" s="494" t="s">
        <v>981</v>
      </c>
      <c r="K9" s="494" t="s">
        <v>931</v>
      </c>
      <c r="L9" s="494" t="s">
        <v>932</v>
      </c>
      <c r="N9" s="494" t="s">
        <v>933</v>
      </c>
      <c r="O9" s="494" t="s">
        <v>934</v>
      </c>
      <c r="P9" s="494" t="s">
        <v>935</v>
      </c>
      <c r="Q9" s="494" t="s">
        <v>936</v>
      </c>
      <c r="R9" s="494" t="s">
        <v>965</v>
      </c>
      <c r="S9" s="494" t="s">
        <v>332</v>
      </c>
      <c r="T9" s="494" t="s">
        <v>937</v>
      </c>
      <c r="U9" s="494" t="s">
        <v>938</v>
      </c>
      <c r="X9" s="494" t="s">
        <v>786</v>
      </c>
      <c r="Y9" s="494" t="s">
        <v>901</v>
      </c>
      <c r="Z9" s="494" t="s">
        <v>902</v>
      </c>
      <c r="AA9" s="494" t="s">
        <v>882</v>
      </c>
      <c r="AB9" s="494" t="s">
        <v>960</v>
      </c>
    </row>
    <row r="10" spans="1:28" ht="15" customHeight="1" x14ac:dyDescent="0.25">
      <c r="A10" s="494" t="s">
        <v>353</v>
      </c>
      <c r="B10" s="494" t="s">
        <v>354</v>
      </c>
      <c r="G10" s="494" t="s">
        <v>914</v>
      </c>
      <c r="H10" s="494" t="s">
        <v>929</v>
      </c>
      <c r="I10" s="494" t="s">
        <v>930</v>
      </c>
      <c r="J10" s="494" t="s">
        <v>981</v>
      </c>
      <c r="K10" s="494" t="s">
        <v>931</v>
      </c>
      <c r="L10" s="494" t="s">
        <v>932</v>
      </c>
      <c r="N10" s="494" t="s">
        <v>933</v>
      </c>
      <c r="O10" s="494" t="s">
        <v>934</v>
      </c>
      <c r="P10" s="494" t="s">
        <v>935</v>
      </c>
      <c r="Q10" s="494" t="s">
        <v>936</v>
      </c>
      <c r="R10" s="494" t="s">
        <v>965</v>
      </c>
      <c r="S10" s="494" t="s">
        <v>332</v>
      </c>
      <c r="T10" s="494" t="s">
        <v>937</v>
      </c>
      <c r="U10" s="494" t="s">
        <v>938</v>
      </c>
      <c r="X10" s="494" t="s">
        <v>786</v>
      </c>
      <c r="Y10" s="494" t="s">
        <v>901</v>
      </c>
      <c r="Z10" s="494" t="s">
        <v>902</v>
      </c>
      <c r="AA10" s="494" t="s">
        <v>882</v>
      </c>
      <c r="AB10" s="494" t="s">
        <v>960</v>
      </c>
    </row>
    <row r="11" spans="1:28" ht="15.75" customHeight="1" x14ac:dyDescent="0.25">
      <c r="A11" s="494" t="s">
        <v>355</v>
      </c>
      <c r="G11" s="494" t="s">
        <v>915</v>
      </c>
      <c r="H11" s="494" t="s">
        <v>929</v>
      </c>
      <c r="I11" s="494" t="s">
        <v>930</v>
      </c>
      <c r="J11" s="494" t="s">
        <v>981</v>
      </c>
      <c r="K11" s="494" t="s">
        <v>931</v>
      </c>
      <c r="L11" s="494" t="s">
        <v>932</v>
      </c>
      <c r="N11" s="494" t="s">
        <v>933</v>
      </c>
      <c r="O11" s="494" t="s">
        <v>934</v>
      </c>
      <c r="P11" s="494" t="s">
        <v>935</v>
      </c>
      <c r="Q11" s="494" t="s">
        <v>936</v>
      </c>
      <c r="R11" s="494" t="s">
        <v>965</v>
      </c>
      <c r="S11" s="494" t="s">
        <v>332</v>
      </c>
      <c r="T11" s="494" t="s">
        <v>937</v>
      </c>
      <c r="U11" s="494" t="s">
        <v>938</v>
      </c>
      <c r="X11" s="494" t="s">
        <v>786</v>
      </c>
      <c r="Y11" s="494" t="s">
        <v>901</v>
      </c>
      <c r="Z11" s="494" t="s">
        <v>902</v>
      </c>
      <c r="AA11" s="494" t="s">
        <v>882</v>
      </c>
      <c r="AB11" s="494" t="s">
        <v>960</v>
      </c>
    </row>
    <row r="12" spans="1:28" x14ac:dyDescent="0.25">
      <c r="A12" s="494" t="s">
        <v>318</v>
      </c>
      <c r="B12" s="494" t="s">
        <v>381</v>
      </c>
      <c r="D12" s="494" t="s">
        <v>346</v>
      </c>
      <c r="F12" s="494" t="s">
        <v>346</v>
      </c>
      <c r="G12" s="494" t="s">
        <v>916</v>
      </c>
      <c r="H12" s="494" t="s">
        <v>929</v>
      </c>
      <c r="I12" s="494" t="s">
        <v>930</v>
      </c>
      <c r="J12" s="494" t="s">
        <v>981</v>
      </c>
      <c r="K12" s="494" t="s">
        <v>931</v>
      </c>
      <c r="L12" s="494" t="s">
        <v>932</v>
      </c>
      <c r="N12" s="494" t="s">
        <v>933</v>
      </c>
      <c r="O12" s="494" t="s">
        <v>934</v>
      </c>
      <c r="P12" s="494" t="s">
        <v>935</v>
      </c>
      <c r="Q12" s="494" t="s">
        <v>936</v>
      </c>
      <c r="R12" s="494" t="s">
        <v>965</v>
      </c>
      <c r="S12" s="494" t="s">
        <v>332</v>
      </c>
      <c r="T12" s="494" t="s">
        <v>937</v>
      </c>
      <c r="U12" s="494" t="s">
        <v>938</v>
      </c>
      <c r="X12" s="494" t="s">
        <v>786</v>
      </c>
      <c r="Y12" s="494" t="s">
        <v>901</v>
      </c>
      <c r="Z12" s="494" t="s">
        <v>902</v>
      </c>
      <c r="AA12" s="494" t="s">
        <v>882</v>
      </c>
      <c r="AB12" s="494" t="s">
        <v>960</v>
      </c>
    </row>
    <row r="13" spans="1:28" x14ac:dyDescent="0.25">
      <c r="A13" s="494" t="s">
        <v>321</v>
      </c>
      <c r="B13" s="494" t="s">
        <v>381</v>
      </c>
      <c r="D13" s="494" t="s">
        <v>346</v>
      </c>
      <c r="F13" s="494" t="s">
        <v>346</v>
      </c>
      <c r="G13" s="494" t="s">
        <v>917</v>
      </c>
      <c r="H13" s="494" t="s">
        <v>929</v>
      </c>
      <c r="I13" s="494" t="s">
        <v>930</v>
      </c>
      <c r="J13" s="494" t="s">
        <v>981</v>
      </c>
      <c r="K13" s="494" t="s">
        <v>931</v>
      </c>
      <c r="L13" s="494" t="s">
        <v>932</v>
      </c>
      <c r="N13" s="494" t="s">
        <v>933</v>
      </c>
      <c r="O13" s="494" t="s">
        <v>934</v>
      </c>
      <c r="P13" s="494" t="s">
        <v>935</v>
      </c>
      <c r="Q13" s="494" t="s">
        <v>936</v>
      </c>
      <c r="R13" s="494" t="s">
        <v>965</v>
      </c>
      <c r="S13" s="494" t="s">
        <v>332</v>
      </c>
      <c r="T13" s="494" t="s">
        <v>937</v>
      </c>
      <c r="U13" s="494" t="s">
        <v>938</v>
      </c>
      <c r="X13" s="494" t="s">
        <v>786</v>
      </c>
      <c r="Y13" s="494" t="s">
        <v>901</v>
      </c>
      <c r="Z13" s="494" t="s">
        <v>902</v>
      </c>
      <c r="AA13" s="494" t="s">
        <v>882</v>
      </c>
      <c r="AB13" s="494" t="s">
        <v>960</v>
      </c>
    </row>
    <row r="14" spans="1:28" x14ac:dyDescent="0.25">
      <c r="A14" s="494" t="s">
        <v>324</v>
      </c>
      <c r="B14" s="494" t="s">
        <v>381</v>
      </c>
      <c r="D14" s="494" t="s">
        <v>346</v>
      </c>
      <c r="F14" s="494" t="s">
        <v>346</v>
      </c>
      <c r="G14" s="494" t="s">
        <v>918</v>
      </c>
      <c r="H14" s="494" t="s">
        <v>929</v>
      </c>
      <c r="I14" s="494" t="s">
        <v>930</v>
      </c>
      <c r="J14" s="494" t="s">
        <v>981</v>
      </c>
      <c r="K14" s="494" t="s">
        <v>931</v>
      </c>
      <c r="L14" s="494" t="s">
        <v>932</v>
      </c>
      <c r="N14" s="494" t="s">
        <v>933</v>
      </c>
      <c r="O14" s="494" t="s">
        <v>934</v>
      </c>
      <c r="P14" s="494" t="s">
        <v>935</v>
      </c>
      <c r="Q14" s="494" t="s">
        <v>936</v>
      </c>
      <c r="R14" s="494" t="s">
        <v>965</v>
      </c>
      <c r="S14" s="494" t="s">
        <v>332</v>
      </c>
      <c r="T14" s="494" t="s">
        <v>937</v>
      </c>
      <c r="U14" s="494" t="s">
        <v>938</v>
      </c>
      <c r="X14" s="494" t="s">
        <v>786</v>
      </c>
      <c r="Y14" s="494" t="s">
        <v>901</v>
      </c>
      <c r="Z14" s="494" t="s">
        <v>902</v>
      </c>
      <c r="AA14" s="494" t="s">
        <v>882</v>
      </c>
      <c r="AB14" s="494" t="s">
        <v>960</v>
      </c>
    </row>
    <row r="15" spans="1:28" x14ac:dyDescent="0.25">
      <c r="A15" s="494" t="s">
        <v>325</v>
      </c>
      <c r="D15" s="494" t="s">
        <v>346</v>
      </c>
      <c r="F15" s="494" t="s">
        <v>346</v>
      </c>
      <c r="G15" s="494" t="s">
        <v>919</v>
      </c>
      <c r="H15" s="494" t="s">
        <v>929</v>
      </c>
      <c r="I15" s="494" t="s">
        <v>930</v>
      </c>
      <c r="J15" s="494" t="s">
        <v>981</v>
      </c>
      <c r="K15" s="494" t="s">
        <v>931</v>
      </c>
      <c r="L15" s="494" t="s">
        <v>932</v>
      </c>
      <c r="N15" s="494" t="s">
        <v>933</v>
      </c>
      <c r="O15" s="494" t="s">
        <v>934</v>
      </c>
      <c r="P15" s="494" t="s">
        <v>935</v>
      </c>
      <c r="Q15" s="494" t="s">
        <v>936</v>
      </c>
      <c r="R15" s="494" t="s">
        <v>965</v>
      </c>
      <c r="S15" s="494" t="s">
        <v>332</v>
      </c>
      <c r="T15" s="494" t="s">
        <v>937</v>
      </c>
      <c r="U15" s="494" t="s">
        <v>938</v>
      </c>
      <c r="X15" s="494" t="s">
        <v>786</v>
      </c>
      <c r="Y15" s="494" t="s">
        <v>901</v>
      </c>
      <c r="Z15" s="494" t="s">
        <v>902</v>
      </c>
      <c r="AA15" s="494" t="s">
        <v>882</v>
      </c>
      <c r="AB15" s="494" t="s">
        <v>960</v>
      </c>
    </row>
    <row r="16" spans="1:28" x14ac:dyDescent="0.25">
      <c r="A16" s="494" t="s">
        <v>357</v>
      </c>
      <c r="C16" s="494" t="s">
        <v>344</v>
      </c>
      <c r="D16" s="494" t="s">
        <v>346</v>
      </c>
      <c r="F16" s="494" t="s">
        <v>346</v>
      </c>
      <c r="G16" s="494" t="s">
        <v>920</v>
      </c>
      <c r="H16" s="494" t="s">
        <v>929</v>
      </c>
      <c r="I16" s="494" t="s">
        <v>930</v>
      </c>
      <c r="J16" s="494" t="s">
        <v>981</v>
      </c>
      <c r="K16" s="494" t="s">
        <v>931</v>
      </c>
      <c r="L16" s="494" t="s">
        <v>932</v>
      </c>
      <c r="N16" s="494" t="s">
        <v>933</v>
      </c>
      <c r="O16" s="494" t="s">
        <v>934</v>
      </c>
      <c r="P16" s="494" t="s">
        <v>935</v>
      </c>
      <c r="Q16" s="494" t="s">
        <v>936</v>
      </c>
      <c r="R16" s="494" t="s">
        <v>965</v>
      </c>
      <c r="S16" s="494" t="s">
        <v>332</v>
      </c>
      <c r="T16" s="494" t="s">
        <v>937</v>
      </c>
      <c r="U16" s="494" t="s">
        <v>938</v>
      </c>
      <c r="X16" s="494" t="s">
        <v>786</v>
      </c>
      <c r="Y16" s="494" t="s">
        <v>901</v>
      </c>
      <c r="Z16" s="494" t="s">
        <v>902</v>
      </c>
      <c r="AA16" s="494" t="s">
        <v>882</v>
      </c>
      <c r="AB16" s="494" t="s">
        <v>960</v>
      </c>
    </row>
    <row r="17" spans="1:28" x14ac:dyDescent="0.25">
      <c r="A17" s="494" t="s">
        <v>358</v>
      </c>
      <c r="G17" s="494" t="s">
        <v>921</v>
      </c>
      <c r="H17" s="494" t="s">
        <v>929</v>
      </c>
      <c r="I17" s="494" t="s">
        <v>930</v>
      </c>
      <c r="J17" s="494" t="s">
        <v>981</v>
      </c>
      <c r="K17" s="494" t="s">
        <v>931</v>
      </c>
      <c r="L17" s="494" t="s">
        <v>932</v>
      </c>
      <c r="N17" s="494" t="s">
        <v>933</v>
      </c>
      <c r="O17" s="494" t="s">
        <v>934</v>
      </c>
      <c r="P17" s="494" t="s">
        <v>935</v>
      </c>
      <c r="Q17" s="494" t="s">
        <v>936</v>
      </c>
      <c r="R17" s="494" t="s">
        <v>965</v>
      </c>
      <c r="S17" s="494" t="s">
        <v>332</v>
      </c>
      <c r="T17" s="494" t="s">
        <v>937</v>
      </c>
      <c r="U17" s="494" t="s">
        <v>938</v>
      </c>
      <c r="X17" s="494" t="s">
        <v>786</v>
      </c>
      <c r="Y17" s="494" t="s">
        <v>901</v>
      </c>
      <c r="Z17" s="494" t="s">
        <v>902</v>
      </c>
      <c r="AA17" s="494" t="s">
        <v>882</v>
      </c>
      <c r="AB17" s="494" t="s">
        <v>960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31FEA-3F8C-498D-ADCB-0B0AF69E7386}">
  <dimension ref="A1:AB17"/>
  <sheetViews>
    <sheetView workbookViewId="0">
      <selection activeCell="A17" activeCellId="1" sqref="A2:XFD16 A17:XFD17"/>
    </sheetView>
  </sheetViews>
  <sheetFormatPr defaultRowHeight="15" x14ac:dyDescent="0.25"/>
  <cols>
    <col min="1" max="1" width="15.5703125" style="494" customWidth="1"/>
    <col min="2" max="2" width="25.85546875" style="494" bestFit="1" customWidth="1"/>
    <col min="3" max="3" width="19.28515625" style="494" customWidth="1"/>
    <col min="4" max="4" width="22.5703125" style="494" customWidth="1"/>
    <col min="5" max="5" width="20" style="494" customWidth="1"/>
    <col min="6" max="7" width="17.42578125" style="494" customWidth="1"/>
    <col min="8" max="8" width="18.85546875" style="494" customWidth="1"/>
    <col min="9" max="10" width="19.42578125" style="494" customWidth="1"/>
    <col min="11" max="11" width="18.140625" style="494" customWidth="1"/>
    <col min="12" max="12" width="22.5703125" style="494" customWidth="1"/>
    <col min="13" max="13" width="22.42578125" style="494" customWidth="1"/>
    <col min="14" max="14" width="17.140625" style="494" customWidth="1"/>
    <col min="15" max="15" width="22.7109375" style="494" bestFit="1" customWidth="1"/>
    <col min="16" max="16" width="17.5703125" style="494" customWidth="1"/>
    <col min="17" max="18" width="15.28515625" style="494" customWidth="1"/>
    <col min="19" max="19" width="18.42578125" style="494" customWidth="1"/>
    <col min="20" max="20" width="22.85546875" style="494" bestFit="1" customWidth="1"/>
    <col min="21" max="21" width="18.85546875" style="494" customWidth="1"/>
    <col min="22" max="23" width="16.5703125" style="494" customWidth="1"/>
    <col min="24" max="24" width="17.140625" style="494" customWidth="1"/>
    <col min="25" max="25" width="21.7109375" style="494" bestFit="1" customWidth="1"/>
    <col min="26" max="27" width="15.42578125" style="494" customWidth="1"/>
    <col min="28" max="28" width="13.7109375" style="494" bestFit="1" customWidth="1"/>
    <col min="29" max="16384" width="9.140625" style="494"/>
  </cols>
  <sheetData>
    <row r="1" spans="1:28" x14ac:dyDescent="0.25">
      <c r="A1" s="494" t="s">
        <v>873</v>
      </c>
      <c r="B1" s="494" t="s">
        <v>874</v>
      </c>
      <c r="C1" s="494" t="s">
        <v>875</v>
      </c>
      <c r="D1" s="494" t="s">
        <v>876</v>
      </c>
      <c r="E1" s="494" t="s">
        <v>877</v>
      </c>
      <c r="F1" s="494" t="s">
        <v>878</v>
      </c>
      <c r="G1" s="494" t="s">
        <v>905</v>
      </c>
      <c r="H1" s="494" t="s">
        <v>872</v>
      </c>
      <c r="I1" s="494" t="s">
        <v>978</v>
      </c>
      <c r="J1" s="494" t="s">
        <v>971</v>
      </c>
      <c r="K1" s="494" t="s">
        <v>885</v>
      </c>
      <c r="L1" s="494" t="s">
        <v>884</v>
      </c>
      <c r="M1" s="494" t="s">
        <v>886</v>
      </c>
      <c r="N1" s="494" t="s">
        <v>888</v>
      </c>
      <c r="O1" s="494" t="s">
        <v>889</v>
      </c>
      <c r="P1" s="494" t="s">
        <v>890</v>
      </c>
      <c r="Q1" s="494" t="s">
        <v>891</v>
      </c>
      <c r="R1" s="494" t="s">
        <v>959</v>
      </c>
      <c r="S1" s="494" t="s">
        <v>892</v>
      </c>
      <c r="T1" s="494" t="s">
        <v>893</v>
      </c>
      <c r="U1" s="494" t="s">
        <v>896</v>
      </c>
      <c r="V1" s="494" t="s">
        <v>897</v>
      </c>
      <c r="W1" s="494" t="s">
        <v>958</v>
      </c>
      <c r="X1" s="494" t="s">
        <v>898</v>
      </c>
      <c r="Y1" s="494" t="s">
        <v>900</v>
      </c>
      <c r="Z1" s="494" t="s">
        <v>939</v>
      </c>
      <c r="AA1" s="494" t="s">
        <v>899</v>
      </c>
      <c r="AB1" s="494" t="s">
        <v>957</v>
      </c>
    </row>
    <row r="2" spans="1:28" x14ac:dyDescent="0.25">
      <c r="A2" s="494" t="s">
        <v>343</v>
      </c>
      <c r="B2" s="494" t="s">
        <v>381</v>
      </c>
      <c r="D2" s="494" t="s">
        <v>347</v>
      </c>
      <c r="E2" s="494" t="s">
        <v>347</v>
      </c>
      <c r="F2" s="494" t="s">
        <v>348</v>
      </c>
      <c r="G2" s="494" t="s">
        <v>906</v>
      </c>
      <c r="H2" s="494" t="s">
        <v>929</v>
      </c>
      <c r="I2" s="494" t="s">
        <v>941</v>
      </c>
      <c r="J2" s="494" t="s">
        <v>982</v>
      </c>
      <c r="K2" s="494" t="s">
        <v>942</v>
      </c>
      <c r="L2" s="494" t="s">
        <v>943</v>
      </c>
      <c r="N2" s="494" t="s">
        <v>933</v>
      </c>
      <c r="O2" s="494" t="s">
        <v>934</v>
      </c>
      <c r="P2" s="494" t="s">
        <v>935</v>
      </c>
      <c r="Q2" s="494" t="s">
        <v>936</v>
      </c>
      <c r="R2" s="494" t="s">
        <v>965</v>
      </c>
      <c r="S2" s="494" t="s">
        <v>332</v>
      </c>
      <c r="T2" s="494" t="s">
        <v>937</v>
      </c>
      <c r="U2" s="494" t="s">
        <v>938</v>
      </c>
      <c r="X2" s="494" t="s">
        <v>786</v>
      </c>
      <c r="Y2" s="494" t="s">
        <v>901</v>
      </c>
      <c r="Z2" s="494" t="s">
        <v>902</v>
      </c>
      <c r="AA2" s="494" t="s">
        <v>882</v>
      </c>
      <c r="AB2" s="494" t="s">
        <v>960</v>
      </c>
    </row>
    <row r="3" spans="1:28" x14ac:dyDescent="0.25">
      <c r="A3" s="494" t="s">
        <v>349</v>
      </c>
      <c r="B3" s="494" t="s">
        <v>381</v>
      </c>
      <c r="C3" s="494" t="s">
        <v>348</v>
      </c>
      <c r="D3" s="494" t="s">
        <v>347</v>
      </c>
      <c r="E3" s="494" t="s">
        <v>347</v>
      </c>
      <c r="F3" s="494" t="s">
        <v>348</v>
      </c>
      <c r="G3" s="494" t="s">
        <v>907</v>
      </c>
      <c r="H3" s="494" t="s">
        <v>929</v>
      </c>
      <c r="I3" s="494" t="s">
        <v>941</v>
      </c>
      <c r="J3" s="494" t="s">
        <v>982</v>
      </c>
      <c r="K3" s="494" t="s">
        <v>942</v>
      </c>
      <c r="L3" s="494" t="s">
        <v>943</v>
      </c>
      <c r="N3" s="494" t="s">
        <v>933</v>
      </c>
      <c r="O3" s="494" t="s">
        <v>934</v>
      </c>
      <c r="P3" s="494" t="s">
        <v>935</v>
      </c>
      <c r="Q3" s="494" t="s">
        <v>936</v>
      </c>
      <c r="R3" s="494" t="s">
        <v>965</v>
      </c>
      <c r="S3" s="494" t="s">
        <v>332</v>
      </c>
      <c r="T3" s="494" t="s">
        <v>937</v>
      </c>
      <c r="U3" s="494" t="s">
        <v>938</v>
      </c>
      <c r="X3" s="494" t="s">
        <v>786</v>
      </c>
      <c r="Y3" s="494" t="s">
        <v>901</v>
      </c>
      <c r="Z3" s="494" t="s">
        <v>902</v>
      </c>
      <c r="AA3" s="494" t="s">
        <v>882</v>
      </c>
      <c r="AB3" s="494" t="s">
        <v>960</v>
      </c>
    </row>
    <row r="4" spans="1:28" x14ac:dyDescent="0.25">
      <c r="A4" s="494" t="s">
        <v>305</v>
      </c>
      <c r="B4" s="494" t="s">
        <v>381</v>
      </c>
      <c r="C4" s="494" t="s">
        <v>348</v>
      </c>
      <c r="D4" s="494" t="s">
        <v>347</v>
      </c>
      <c r="E4" s="494" t="s">
        <v>347</v>
      </c>
      <c r="F4" s="494" t="s">
        <v>348</v>
      </c>
      <c r="G4" s="494" t="s">
        <v>908</v>
      </c>
      <c r="H4" s="494" t="s">
        <v>929</v>
      </c>
      <c r="I4" s="494" t="s">
        <v>941</v>
      </c>
      <c r="J4" s="494" t="s">
        <v>982</v>
      </c>
      <c r="K4" s="494" t="s">
        <v>942</v>
      </c>
      <c r="L4" s="494" t="s">
        <v>943</v>
      </c>
      <c r="N4" s="494" t="s">
        <v>933</v>
      </c>
      <c r="O4" s="494" t="s">
        <v>934</v>
      </c>
      <c r="P4" s="494" t="s">
        <v>935</v>
      </c>
      <c r="Q4" s="494" t="s">
        <v>936</v>
      </c>
      <c r="R4" s="494" t="s">
        <v>965</v>
      </c>
      <c r="S4" s="494" t="s">
        <v>332</v>
      </c>
      <c r="T4" s="494" t="s">
        <v>937</v>
      </c>
      <c r="U4" s="494" t="s">
        <v>938</v>
      </c>
      <c r="X4" s="494" t="s">
        <v>786</v>
      </c>
      <c r="Y4" s="494" t="s">
        <v>901</v>
      </c>
      <c r="Z4" s="494" t="s">
        <v>902</v>
      </c>
      <c r="AA4" s="494" t="s">
        <v>882</v>
      </c>
      <c r="AB4" s="494" t="s">
        <v>960</v>
      </c>
    </row>
    <row r="5" spans="1:28" x14ac:dyDescent="0.25">
      <c r="A5" s="494" t="s">
        <v>308</v>
      </c>
      <c r="B5" s="494" t="s">
        <v>381</v>
      </c>
      <c r="C5" s="494" t="s">
        <v>348</v>
      </c>
      <c r="D5" s="494" t="s">
        <v>347</v>
      </c>
      <c r="E5" s="494" t="s">
        <v>347</v>
      </c>
      <c r="F5" s="494" t="s">
        <v>348</v>
      </c>
      <c r="G5" s="494" t="s">
        <v>909</v>
      </c>
      <c r="H5" s="494" t="s">
        <v>929</v>
      </c>
      <c r="I5" s="494" t="s">
        <v>941</v>
      </c>
      <c r="J5" s="494" t="s">
        <v>982</v>
      </c>
      <c r="K5" s="494" t="s">
        <v>942</v>
      </c>
      <c r="L5" s="494" t="s">
        <v>943</v>
      </c>
      <c r="N5" s="494" t="s">
        <v>933</v>
      </c>
      <c r="O5" s="494" t="s">
        <v>934</v>
      </c>
      <c r="P5" s="494" t="s">
        <v>935</v>
      </c>
      <c r="Q5" s="494" t="s">
        <v>936</v>
      </c>
      <c r="R5" s="494" t="s">
        <v>965</v>
      </c>
      <c r="S5" s="494" t="s">
        <v>332</v>
      </c>
      <c r="T5" s="494" t="s">
        <v>937</v>
      </c>
      <c r="U5" s="494" t="s">
        <v>938</v>
      </c>
      <c r="X5" s="494" t="s">
        <v>786</v>
      </c>
      <c r="Y5" s="494" t="s">
        <v>901</v>
      </c>
      <c r="Z5" s="494" t="s">
        <v>902</v>
      </c>
      <c r="AA5" s="494" t="s">
        <v>882</v>
      </c>
      <c r="AB5" s="494" t="s">
        <v>960</v>
      </c>
    </row>
    <row r="6" spans="1:28" x14ac:dyDescent="0.25">
      <c r="A6" s="494" t="s">
        <v>310</v>
      </c>
      <c r="B6" s="494" t="s">
        <v>380</v>
      </c>
      <c r="C6" s="494" t="s">
        <v>348</v>
      </c>
      <c r="E6" s="494" t="s">
        <v>347</v>
      </c>
      <c r="F6" s="494" t="s">
        <v>348</v>
      </c>
      <c r="G6" s="494" t="s">
        <v>910</v>
      </c>
      <c r="H6" s="494" t="s">
        <v>929</v>
      </c>
      <c r="I6" s="494" t="s">
        <v>941</v>
      </c>
      <c r="J6" s="494" t="s">
        <v>982</v>
      </c>
      <c r="K6" s="494" t="s">
        <v>942</v>
      </c>
      <c r="L6" s="494" t="s">
        <v>943</v>
      </c>
      <c r="N6" s="494" t="s">
        <v>933</v>
      </c>
      <c r="O6" s="494" t="s">
        <v>934</v>
      </c>
      <c r="P6" s="494" t="s">
        <v>935</v>
      </c>
      <c r="Q6" s="494" t="s">
        <v>936</v>
      </c>
      <c r="R6" s="494" t="s">
        <v>965</v>
      </c>
      <c r="S6" s="494" t="s">
        <v>332</v>
      </c>
      <c r="T6" s="494" t="s">
        <v>937</v>
      </c>
      <c r="U6" s="494" t="s">
        <v>938</v>
      </c>
      <c r="X6" s="494" t="s">
        <v>786</v>
      </c>
      <c r="Y6" s="494" t="s">
        <v>901</v>
      </c>
      <c r="Z6" s="494" t="s">
        <v>902</v>
      </c>
      <c r="AA6" s="494" t="s">
        <v>882</v>
      </c>
      <c r="AB6" s="494" t="s">
        <v>960</v>
      </c>
    </row>
    <row r="7" spans="1:28" x14ac:dyDescent="0.25">
      <c r="A7" s="494" t="s">
        <v>312</v>
      </c>
      <c r="C7" s="494" t="s">
        <v>348</v>
      </c>
      <c r="E7" s="494" t="s">
        <v>347</v>
      </c>
      <c r="F7" s="494" t="s">
        <v>348</v>
      </c>
      <c r="G7" s="494" t="s">
        <v>911</v>
      </c>
      <c r="H7" s="494" t="s">
        <v>929</v>
      </c>
      <c r="I7" s="494" t="s">
        <v>941</v>
      </c>
      <c r="J7" s="494" t="s">
        <v>982</v>
      </c>
      <c r="K7" s="494" t="s">
        <v>942</v>
      </c>
      <c r="L7" s="494" t="s">
        <v>943</v>
      </c>
      <c r="N7" s="494" t="s">
        <v>933</v>
      </c>
      <c r="O7" s="494" t="s">
        <v>934</v>
      </c>
      <c r="P7" s="494" t="s">
        <v>935</v>
      </c>
      <c r="Q7" s="494" t="s">
        <v>936</v>
      </c>
      <c r="R7" s="494" t="s">
        <v>965</v>
      </c>
      <c r="S7" s="494" t="s">
        <v>332</v>
      </c>
      <c r="T7" s="494" t="s">
        <v>937</v>
      </c>
      <c r="U7" s="494" t="s">
        <v>938</v>
      </c>
      <c r="X7" s="494" t="s">
        <v>786</v>
      </c>
      <c r="Y7" s="494" t="s">
        <v>901</v>
      </c>
      <c r="Z7" s="494" t="s">
        <v>902</v>
      </c>
      <c r="AA7" s="494" t="s">
        <v>882</v>
      </c>
      <c r="AB7" s="494" t="s">
        <v>960</v>
      </c>
    </row>
    <row r="8" spans="1:28" x14ac:dyDescent="0.25">
      <c r="A8" s="494" t="s">
        <v>315</v>
      </c>
      <c r="C8" s="494" t="s">
        <v>348</v>
      </c>
      <c r="E8" s="494" t="s">
        <v>347</v>
      </c>
      <c r="F8" s="494" t="s">
        <v>348</v>
      </c>
      <c r="G8" s="494" t="s">
        <v>912</v>
      </c>
      <c r="H8" s="494" t="s">
        <v>929</v>
      </c>
      <c r="I8" s="494" t="s">
        <v>941</v>
      </c>
      <c r="J8" s="494" t="s">
        <v>982</v>
      </c>
      <c r="K8" s="494" t="s">
        <v>942</v>
      </c>
      <c r="L8" s="494" t="s">
        <v>943</v>
      </c>
      <c r="N8" s="494" t="s">
        <v>933</v>
      </c>
      <c r="O8" s="494" t="s">
        <v>934</v>
      </c>
      <c r="P8" s="494" t="s">
        <v>935</v>
      </c>
      <c r="Q8" s="494" t="s">
        <v>936</v>
      </c>
      <c r="R8" s="494" t="s">
        <v>965</v>
      </c>
      <c r="S8" s="494" t="s">
        <v>332</v>
      </c>
      <c r="T8" s="494" t="s">
        <v>937</v>
      </c>
      <c r="U8" s="494" t="s">
        <v>938</v>
      </c>
      <c r="X8" s="494" t="s">
        <v>786</v>
      </c>
      <c r="Y8" s="494" t="s">
        <v>901</v>
      </c>
      <c r="Z8" s="494" t="s">
        <v>902</v>
      </c>
      <c r="AA8" s="494" t="s">
        <v>882</v>
      </c>
      <c r="AB8" s="494" t="s">
        <v>960</v>
      </c>
    </row>
    <row r="9" spans="1:28" x14ac:dyDescent="0.25">
      <c r="A9" s="494" t="s">
        <v>352</v>
      </c>
      <c r="C9" s="494" t="s">
        <v>348</v>
      </c>
      <c r="E9" s="494" t="s">
        <v>347</v>
      </c>
      <c r="F9" s="494" t="s">
        <v>348</v>
      </c>
      <c r="G9" s="494" t="s">
        <v>913</v>
      </c>
      <c r="H9" s="494" t="s">
        <v>929</v>
      </c>
      <c r="I9" s="494" t="s">
        <v>941</v>
      </c>
      <c r="J9" s="494" t="s">
        <v>982</v>
      </c>
      <c r="K9" s="494" t="s">
        <v>942</v>
      </c>
      <c r="L9" s="494" t="s">
        <v>943</v>
      </c>
      <c r="N9" s="494" t="s">
        <v>933</v>
      </c>
      <c r="O9" s="494" t="s">
        <v>934</v>
      </c>
      <c r="P9" s="494" t="s">
        <v>935</v>
      </c>
      <c r="Q9" s="494" t="s">
        <v>936</v>
      </c>
      <c r="R9" s="494" t="s">
        <v>965</v>
      </c>
      <c r="S9" s="494" t="s">
        <v>332</v>
      </c>
      <c r="T9" s="494" t="s">
        <v>937</v>
      </c>
      <c r="U9" s="494" t="s">
        <v>938</v>
      </c>
      <c r="X9" s="494" t="s">
        <v>786</v>
      </c>
      <c r="Y9" s="494" t="s">
        <v>901</v>
      </c>
      <c r="Z9" s="494" t="s">
        <v>902</v>
      </c>
      <c r="AA9" s="494" t="s">
        <v>882</v>
      </c>
      <c r="AB9" s="494" t="s">
        <v>960</v>
      </c>
    </row>
    <row r="10" spans="1:28" ht="15" customHeight="1" x14ac:dyDescent="0.25">
      <c r="A10" s="494" t="s">
        <v>353</v>
      </c>
      <c r="B10" s="494" t="s">
        <v>354</v>
      </c>
      <c r="G10" s="494" t="s">
        <v>914</v>
      </c>
      <c r="H10" s="494" t="s">
        <v>929</v>
      </c>
      <c r="I10" s="494" t="s">
        <v>941</v>
      </c>
      <c r="J10" s="494" t="s">
        <v>982</v>
      </c>
      <c r="K10" s="494" t="s">
        <v>942</v>
      </c>
      <c r="L10" s="494" t="s">
        <v>943</v>
      </c>
      <c r="N10" s="494" t="s">
        <v>933</v>
      </c>
      <c r="O10" s="494" t="s">
        <v>934</v>
      </c>
      <c r="P10" s="494" t="s">
        <v>935</v>
      </c>
      <c r="Q10" s="494" t="s">
        <v>936</v>
      </c>
      <c r="R10" s="494" t="s">
        <v>965</v>
      </c>
      <c r="S10" s="494" t="s">
        <v>332</v>
      </c>
      <c r="T10" s="494" t="s">
        <v>937</v>
      </c>
      <c r="U10" s="494" t="s">
        <v>938</v>
      </c>
      <c r="X10" s="494" t="s">
        <v>786</v>
      </c>
      <c r="Y10" s="494" t="s">
        <v>901</v>
      </c>
      <c r="Z10" s="494" t="s">
        <v>902</v>
      </c>
      <c r="AA10" s="494" t="s">
        <v>882</v>
      </c>
      <c r="AB10" s="494" t="s">
        <v>960</v>
      </c>
    </row>
    <row r="11" spans="1:28" ht="15.75" customHeight="1" x14ac:dyDescent="0.25">
      <c r="A11" s="494" t="s">
        <v>355</v>
      </c>
      <c r="G11" s="494" t="s">
        <v>915</v>
      </c>
      <c r="H11" s="494" t="s">
        <v>929</v>
      </c>
      <c r="I11" s="494" t="s">
        <v>941</v>
      </c>
      <c r="J11" s="494" t="s">
        <v>982</v>
      </c>
      <c r="K11" s="494" t="s">
        <v>942</v>
      </c>
      <c r="L11" s="494" t="s">
        <v>943</v>
      </c>
      <c r="N11" s="494" t="s">
        <v>933</v>
      </c>
      <c r="O11" s="494" t="s">
        <v>934</v>
      </c>
      <c r="P11" s="494" t="s">
        <v>935</v>
      </c>
      <c r="Q11" s="494" t="s">
        <v>936</v>
      </c>
      <c r="R11" s="494" t="s">
        <v>965</v>
      </c>
      <c r="S11" s="494" t="s">
        <v>332</v>
      </c>
      <c r="T11" s="494" t="s">
        <v>937</v>
      </c>
      <c r="U11" s="494" t="s">
        <v>938</v>
      </c>
      <c r="X11" s="494" t="s">
        <v>786</v>
      </c>
      <c r="Y11" s="494" t="s">
        <v>901</v>
      </c>
      <c r="Z11" s="494" t="s">
        <v>902</v>
      </c>
      <c r="AA11" s="494" t="s">
        <v>882</v>
      </c>
      <c r="AB11" s="494" t="s">
        <v>960</v>
      </c>
    </row>
    <row r="12" spans="1:28" x14ac:dyDescent="0.25">
      <c r="A12" s="494" t="s">
        <v>318</v>
      </c>
      <c r="B12" s="494" t="s">
        <v>348</v>
      </c>
      <c r="C12" s="494" t="s">
        <v>348</v>
      </c>
      <c r="D12" s="494" t="s">
        <v>350</v>
      </c>
      <c r="F12" s="494" t="s">
        <v>356</v>
      </c>
      <c r="G12" s="494" t="s">
        <v>916</v>
      </c>
      <c r="H12" s="494" t="s">
        <v>929</v>
      </c>
      <c r="I12" s="494" t="s">
        <v>941</v>
      </c>
      <c r="J12" s="494" t="s">
        <v>982</v>
      </c>
      <c r="K12" s="494" t="s">
        <v>942</v>
      </c>
      <c r="L12" s="494" t="s">
        <v>943</v>
      </c>
      <c r="N12" s="494" t="s">
        <v>933</v>
      </c>
      <c r="O12" s="494" t="s">
        <v>934</v>
      </c>
      <c r="P12" s="494" t="s">
        <v>935</v>
      </c>
      <c r="Q12" s="494" t="s">
        <v>936</v>
      </c>
      <c r="R12" s="494" t="s">
        <v>965</v>
      </c>
      <c r="S12" s="494" t="s">
        <v>332</v>
      </c>
      <c r="T12" s="494" t="s">
        <v>937</v>
      </c>
      <c r="U12" s="494" t="s">
        <v>938</v>
      </c>
      <c r="X12" s="494" t="s">
        <v>786</v>
      </c>
      <c r="Y12" s="494" t="s">
        <v>901</v>
      </c>
      <c r="Z12" s="494" t="s">
        <v>902</v>
      </c>
      <c r="AA12" s="494" t="s">
        <v>882</v>
      </c>
      <c r="AB12" s="494" t="s">
        <v>960</v>
      </c>
    </row>
    <row r="13" spans="1:28" x14ac:dyDescent="0.25">
      <c r="A13" s="494" t="s">
        <v>321</v>
      </c>
      <c r="B13" s="494" t="s">
        <v>348</v>
      </c>
      <c r="C13" s="494" t="s">
        <v>348</v>
      </c>
      <c r="D13" s="494" t="s">
        <v>350</v>
      </c>
      <c r="F13" s="494" t="s">
        <v>356</v>
      </c>
      <c r="G13" s="494" t="s">
        <v>917</v>
      </c>
      <c r="H13" s="494" t="s">
        <v>929</v>
      </c>
      <c r="I13" s="494" t="s">
        <v>941</v>
      </c>
      <c r="J13" s="494" t="s">
        <v>982</v>
      </c>
      <c r="K13" s="494" t="s">
        <v>942</v>
      </c>
      <c r="L13" s="494" t="s">
        <v>943</v>
      </c>
      <c r="N13" s="494" t="s">
        <v>933</v>
      </c>
      <c r="O13" s="494" t="s">
        <v>934</v>
      </c>
      <c r="P13" s="494" t="s">
        <v>935</v>
      </c>
      <c r="Q13" s="494" t="s">
        <v>936</v>
      </c>
      <c r="R13" s="494" t="s">
        <v>965</v>
      </c>
      <c r="S13" s="494" t="s">
        <v>332</v>
      </c>
      <c r="T13" s="494" t="s">
        <v>937</v>
      </c>
      <c r="U13" s="494" t="s">
        <v>938</v>
      </c>
      <c r="X13" s="494" t="s">
        <v>786</v>
      </c>
      <c r="Y13" s="494" t="s">
        <v>901</v>
      </c>
      <c r="Z13" s="494" t="s">
        <v>902</v>
      </c>
      <c r="AA13" s="494" t="s">
        <v>882</v>
      </c>
      <c r="AB13" s="494" t="s">
        <v>960</v>
      </c>
    </row>
    <row r="14" spans="1:28" x14ac:dyDescent="0.25">
      <c r="A14" s="494" t="s">
        <v>324</v>
      </c>
      <c r="B14" s="494" t="s">
        <v>348</v>
      </c>
      <c r="C14" s="494" t="s">
        <v>348</v>
      </c>
      <c r="D14" s="494" t="s">
        <v>350</v>
      </c>
      <c r="F14" s="494" t="s">
        <v>356</v>
      </c>
      <c r="G14" s="494" t="s">
        <v>918</v>
      </c>
      <c r="H14" s="494" t="s">
        <v>929</v>
      </c>
      <c r="I14" s="494" t="s">
        <v>941</v>
      </c>
      <c r="J14" s="494" t="s">
        <v>982</v>
      </c>
      <c r="K14" s="494" t="s">
        <v>942</v>
      </c>
      <c r="L14" s="494" t="s">
        <v>943</v>
      </c>
      <c r="N14" s="494" t="s">
        <v>933</v>
      </c>
      <c r="O14" s="494" t="s">
        <v>934</v>
      </c>
      <c r="P14" s="494" t="s">
        <v>935</v>
      </c>
      <c r="Q14" s="494" t="s">
        <v>936</v>
      </c>
      <c r="R14" s="494" t="s">
        <v>965</v>
      </c>
      <c r="S14" s="494" t="s">
        <v>332</v>
      </c>
      <c r="T14" s="494" t="s">
        <v>937</v>
      </c>
      <c r="U14" s="494" t="s">
        <v>938</v>
      </c>
      <c r="X14" s="494" t="s">
        <v>786</v>
      </c>
      <c r="Y14" s="494" t="s">
        <v>901</v>
      </c>
      <c r="Z14" s="494" t="s">
        <v>902</v>
      </c>
      <c r="AA14" s="494" t="s">
        <v>882</v>
      </c>
      <c r="AB14" s="494" t="s">
        <v>960</v>
      </c>
    </row>
    <row r="15" spans="1:28" x14ac:dyDescent="0.25">
      <c r="A15" s="494" t="s">
        <v>325</v>
      </c>
      <c r="B15" s="494" t="s">
        <v>348</v>
      </c>
      <c r="C15" s="494" t="s">
        <v>348</v>
      </c>
      <c r="D15" s="494" t="s">
        <v>350</v>
      </c>
      <c r="F15" s="494" t="s">
        <v>356</v>
      </c>
      <c r="G15" s="494" t="s">
        <v>919</v>
      </c>
      <c r="H15" s="494" t="s">
        <v>929</v>
      </c>
      <c r="I15" s="494" t="s">
        <v>941</v>
      </c>
      <c r="J15" s="494" t="s">
        <v>982</v>
      </c>
      <c r="K15" s="494" t="s">
        <v>942</v>
      </c>
      <c r="L15" s="494" t="s">
        <v>943</v>
      </c>
      <c r="N15" s="494" t="s">
        <v>933</v>
      </c>
      <c r="O15" s="494" t="s">
        <v>934</v>
      </c>
      <c r="P15" s="494" t="s">
        <v>935</v>
      </c>
      <c r="Q15" s="494" t="s">
        <v>936</v>
      </c>
      <c r="R15" s="494" t="s">
        <v>965</v>
      </c>
      <c r="S15" s="494" t="s">
        <v>332</v>
      </c>
      <c r="T15" s="494" t="s">
        <v>937</v>
      </c>
      <c r="U15" s="494" t="s">
        <v>938</v>
      </c>
      <c r="X15" s="494" t="s">
        <v>786</v>
      </c>
      <c r="Y15" s="494" t="s">
        <v>901</v>
      </c>
      <c r="Z15" s="494" t="s">
        <v>902</v>
      </c>
      <c r="AA15" s="494" t="s">
        <v>882</v>
      </c>
      <c r="AB15" s="494" t="s">
        <v>960</v>
      </c>
    </row>
    <row r="16" spans="1:28" x14ac:dyDescent="0.25">
      <c r="A16" s="494" t="s">
        <v>357</v>
      </c>
      <c r="B16" s="494" t="s">
        <v>348</v>
      </c>
      <c r="D16" s="494" t="s">
        <v>351</v>
      </c>
      <c r="F16" s="494" t="s">
        <v>356</v>
      </c>
      <c r="G16" s="494" t="s">
        <v>920</v>
      </c>
      <c r="H16" s="494" t="s">
        <v>929</v>
      </c>
      <c r="I16" s="494" t="s">
        <v>941</v>
      </c>
      <c r="J16" s="494" t="s">
        <v>982</v>
      </c>
      <c r="K16" s="494" t="s">
        <v>942</v>
      </c>
      <c r="L16" s="494" t="s">
        <v>943</v>
      </c>
      <c r="N16" s="494" t="s">
        <v>933</v>
      </c>
      <c r="O16" s="494" t="s">
        <v>934</v>
      </c>
      <c r="P16" s="494" t="s">
        <v>935</v>
      </c>
      <c r="Q16" s="494" t="s">
        <v>936</v>
      </c>
      <c r="R16" s="494" t="s">
        <v>965</v>
      </c>
      <c r="S16" s="494" t="s">
        <v>332</v>
      </c>
      <c r="T16" s="494" t="s">
        <v>937</v>
      </c>
      <c r="U16" s="494" t="s">
        <v>938</v>
      </c>
      <c r="X16" s="494" t="s">
        <v>786</v>
      </c>
      <c r="Y16" s="494" t="s">
        <v>901</v>
      </c>
      <c r="Z16" s="494" t="s">
        <v>902</v>
      </c>
      <c r="AA16" s="494" t="s">
        <v>882</v>
      </c>
      <c r="AB16" s="494" t="s">
        <v>960</v>
      </c>
    </row>
    <row r="17" spans="1:28" x14ac:dyDescent="0.25">
      <c r="A17" s="494" t="s">
        <v>358</v>
      </c>
      <c r="B17" s="494" t="s">
        <v>348</v>
      </c>
      <c r="D17" s="494" t="s">
        <v>351</v>
      </c>
      <c r="F17" s="494" t="s">
        <v>356</v>
      </c>
      <c r="G17" s="494" t="s">
        <v>921</v>
      </c>
      <c r="H17" s="494" t="s">
        <v>929</v>
      </c>
      <c r="I17" s="494" t="s">
        <v>941</v>
      </c>
      <c r="J17" s="494" t="s">
        <v>982</v>
      </c>
      <c r="K17" s="494" t="s">
        <v>942</v>
      </c>
      <c r="L17" s="494" t="s">
        <v>943</v>
      </c>
      <c r="N17" s="494" t="s">
        <v>933</v>
      </c>
      <c r="O17" s="494" t="s">
        <v>934</v>
      </c>
      <c r="P17" s="494" t="s">
        <v>935</v>
      </c>
      <c r="Q17" s="494" t="s">
        <v>936</v>
      </c>
      <c r="R17" s="494" t="s">
        <v>965</v>
      </c>
      <c r="S17" s="494" t="s">
        <v>332</v>
      </c>
      <c r="T17" s="494" t="s">
        <v>937</v>
      </c>
      <c r="U17" s="494" t="s">
        <v>938</v>
      </c>
      <c r="X17" s="494" t="s">
        <v>786</v>
      </c>
      <c r="Y17" s="494" t="s">
        <v>901</v>
      </c>
      <c r="Z17" s="494" t="s">
        <v>902</v>
      </c>
      <c r="AA17" s="494" t="s">
        <v>882</v>
      </c>
      <c r="AB17" s="494" t="s">
        <v>960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17E9B-EF16-452E-B70F-59842FFC1C1A}">
  <dimension ref="A1:AB17"/>
  <sheetViews>
    <sheetView workbookViewId="0">
      <selection activeCell="A2" sqref="A2:XFD17"/>
    </sheetView>
  </sheetViews>
  <sheetFormatPr defaultRowHeight="15" x14ac:dyDescent="0.25"/>
  <cols>
    <col min="1" max="1" width="15.5703125" style="494" customWidth="1"/>
    <col min="2" max="2" width="25.85546875" style="494" bestFit="1" customWidth="1"/>
    <col min="3" max="3" width="19.28515625" style="494" customWidth="1"/>
    <col min="4" max="4" width="22.5703125" style="494" customWidth="1"/>
    <col min="5" max="5" width="20" style="494" customWidth="1"/>
    <col min="6" max="7" width="17.42578125" style="494" customWidth="1"/>
    <col min="8" max="8" width="18.85546875" style="494" customWidth="1"/>
    <col min="9" max="10" width="19.42578125" style="494" customWidth="1"/>
    <col min="11" max="11" width="18.140625" style="494" customWidth="1"/>
    <col min="12" max="12" width="22.5703125" style="494" customWidth="1"/>
    <col min="13" max="13" width="22.42578125" style="494" customWidth="1"/>
    <col min="14" max="14" width="17.140625" style="494" customWidth="1"/>
    <col min="15" max="15" width="22.7109375" style="494" bestFit="1" customWidth="1"/>
    <col min="16" max="16" width="17.5703125" style="494" customWidth="1"/>
    <col min="17" max="18" width="15.28515625" style="494" customWidth="1"/>
    <col min="19" max="19" width="18.42578125" style="494" customWidth="1"/>
    <col min="20" max="20" width="22.85546875" style="494" bestFit="1" customWidth="1"/>
    <col min="21" max="21" width="18.85546875" style="494" customWidth="1"/>
    <col min="22" max="23" width="16.5703125" style="494" customWidth="1"/>
    <col min="24" max="24" width="17.140625" style="494" customWidth="1"/>
    <col min="25" max="25" width="21.7109375" style="494" bestFit="1" customWidth="1"/>
    <col min="26" max="27" width="15.42578125" style="494" customWidth="1"/>
    <col min="28" max="28" width="13.7109375" style="494" bestFit="1" customWidth="1"/>
    <col min="29" max="16384" width="9.140625" style="494"/>
  </cols>
  <sheetData>
    <row r="1" spans="1:28" x14ac:dyDescent="0.25">
      <c r="A1" s="494" t="s">
        <v>873</v>
      </c>
      <c r="B1" s="494" t="s">
        <v>874</v>
      </c>
      <c r="C1" s="494" t="s">
        <v>875</v>
      </c>
      <c r="D1" s="494" t="s">
        <v>876</v>
      </c>
      <c r="E1" s="494" t="s">
        <v>877</v>
      </c>
      <c r="F1" s="494" t="s">
        <v>878</v>
      </c>
      <c r="G1" s="494" t="s">
        <v>905</v>
      </c>
      <c r="H1" s="494" t="s">
        <v>872</v>
      </c>
      <c r="I1" s="494" t="s">
        <v>978</v>
      </c>
      <c r="J1" s="494" t="s">
        <v>971</v>
      </c>
      <c r="K1" s="494" t="s">
        <v>885</v>
      </c>
      <c r="L1" s="494" t="s">
        <v>884</v>
      </c>
      <c r="M1" s="494" t="s">
        <v>886</v>
      </c>
      <c r="N1" s="494" t="s">
        <v>888</v>
      </c>
      <c r="O1" s="494" t="s">
        <v>889</v>
      </c>
      <c r="P1" s="494" t="s">
        <v>890</v>
      </c>
      <c r="Q1" s="494" t="s">
        <v>891</v>
      </c>
      <c r="R1" s="494" t="s">
        <v>959</v>
      </c>
      <c r="S1" s="494" t="s">
        <v>892</v>
      </c>
      <c r="T1" s="494" t="s">
        <v>893</v>
      </c>
      <c r="U1" s="494" t="s">
        <v>896</v>
      </c>
      <c r="V1" s="494" t="s">
        <v>897</v>
      </c>
      <c r="W1" s="494" t="s">
        <v>958</v>
      </c>
      <c r="X1" s="494" t="s">
        <v>898</v>
      </c>
      <c r="Y1" s="494" t="s">
        <v>900</v>
      </c>
      <c r="Z1" s="494" t="s">
        <v>939</v>
      </c>
      <c r="AA1" s="494" t="s">
        <v>899</v>
      </c>
      <c r="AB1" s="494" t="s">
        <v>957</v>
      </c>
    </row>
    <row r="2" spans="1:28" x14ac:dyDescent="0.25">
      <c r="A2" s="494" t="s">
        <v>343</v>
      </c>
      <c r="C2" s="494" t="s">
        <v>425</v>
      </c>
      <c r="G2" s="494" t="s">
        <v>906</v>
      </c>
      <c r="H2" s="494" t="s">
        <v>944</v>
      </c>
      <c r="I2" s="494" t="s">
        <v>945</v>
      </c>
      <c r="J2" s="494" t="s">
        <v>983</v>
      </c>
      <c r="K2" s="494" t="s">
        <v>946</v>
      </c>
      <c r="L2" s="494" t="s">
        <v>947</v>
      </c>
      <c r="M2" s="494" t="s">
        <v>948</v>
      </c>
      <c r="N2" s="494" t="s">
        <v>949</v>
      </c>
      <c r="O2" s="494" t="s">
        <v>950</v>
      </c>
      <c r="P2" s="494" t="s">
        <v>951</v>
      </c>
      <c r="Q2" s="494" t="s">
        <v>952</v>
      </c>
      <c r="R2" s="494" t="s">
        <v>961</v>
      </c>
      <c r="S2" s="494" t="s">
        <v>953</v>
      </c>
      <c r="T2" s="494" t="s">
        <v>955</v>
      </c>
      <c r="U2" s="494" t="s">
        <v>954</v>
      </c>
      <c r="V2" s="494" t="s">
        <v>956</v>
      </c>
      <c r="W2" s="494" t="s">
        <v>962</v>
      </c>
      <c r="X2" s="494" t="s">
        <v>786</v>
      </c>
      <c r="Y2" s="494" t="s">
        <v>901</v>
      </c>
      <c r="Z2" s="494" t="s">
        <v>902</v>
      </c>
      <c r="AA2" s="494" t="s">
        <v>882</v>
      </c>
      <c r="AB2" s="494" t="s">
        <v>960</v>
      </c>
    </row>
    <row r="3" spans="1:28" x14ac:dyDescent="0.25">
      <c r="A3" s="494" t="s">
        <v>349</v>
      </c>
      <c r="B3" s="494" t="s">
        <v>429</v>
      </c>
      <c r="C3" s="494" t="s">
        <v>425</v>
      </c>
      <c r="D3" s="494" t="s">
        <v>429</v>
      </c>
      <c r="G3" s="494" t="s">
        <v>907</v>
      </c>
      <c r="H3" s="494" t="s">
        <v>944</v>
      </c>
      <c r="I3" s="494" t="s">
        <v>945</v>
      </c>
      <c r="J3" s="494" t="s">
        <v>983</v>
      </c>
      <c r="K3" s="494" t="s">
        <v>946</v>
      </c>
      <c r="L3" s="494" t="s">
        <v>947</v>
      </c>
      <c r="M3" s="494" t="s">
        <v>948</v>
      </c>
      <c r="N3" s="494" t="s">
        <v>949</v>
      </c>
      <c r="O3" s="494" t="s">
        <v>950</v>
      </c>
      <c r="P3" s="494" t="s">
        <v>951</v>
      </c>
      <c r="Q3" s="494" t="s">
        <v>952</v>
      </c>
      <c r="R3" s="494" t="s">
        <v>961</v>
      </c>
      <c r="S3" s="494" t="s">
        <v>953</v>
      </c>
      <c r="T3" s="494" t="s">
        <v>955</v>
      </c>
      <c r="U3" s="494" t="s">
        <v>954</v>
      </c>
      <c r="V3" s="494" t="s">
        <v>956</v>
      </c>
      <c r="W3" s="494" t="s">
        <v>962</v>
      </c>
      <c r="X3" s="494" t="s">
        <v>786</v>
      </c>
      <c r="Y3" s="494" t="s">
        <v>901</v>
      </c>
      <c r="Z3" s="494" t="s">
        <v>902</v>
      </c>
      <c r="AA3" s="494" t="s">
        <v>882</v>
      </c>
      <c r="AB3" s="494" t="s">
        <v>960</v>
      </c>
    </row>
    <row r="4" spans="1:28" x14ac:dyDescent="0.25">
      <c r="A4" s="494" t="s">
        <v>305</v>
      </c>
      <c r="B4" s="494" t="s">
        <v>429</v>
      </c>
      <c r="C4" s="494" t="s">
        <v>425</v>
      </c>
      <c r="D4" s="494" t="s">
        <v>429</v>
      </c>
      <c r="F4" s="494" t="s">
        <v>425</v>
      </c>
      <c r="G4" s="494" t="s">
        <v>908</v>
      </c>
      <c r="H4" s="494" t="s">
        <v>944</v>
      </c>
      <c r="I4" s="494" t="s">
        <v>945</v>
      </c>
      <c r="J4" s="494" t="s">
        <v>983</v>
      </c>
      <c r="K4" s="494" t="s">
        <v>946</v>
      </c>
      <c r="L4" s="494" t="s">
        <v>947</v>
      </c>
      <c r="M4" s="494" t="s">
        <v>948</v>
      </c>
      <c r="N4" s="494" t="s">
        <v>949</v>
      </c>
      <c r="O4" s="494" t="s">
        <v>950</v>
      </c>
      <c r="P4" s="494" t="s">
        <v>951</v>
      </c>
      <c r="Q4" s="494" t="s">
        <v>952</v>
      </c>
      <c r="R4" s="494" t="s">
        <v>961</v>
      </c>
      <c r="S4" s="494" t="s">
        <v>953</v>
      </c>
      <c r="T4" s="494" t="s">
        <v>955</v>
      </c>
      <c r="U4" s="494" t="s">
        <v>954</v>
      </c>
      <c r="V4" s="494" t="s">
        <v>956</v>
      </c>
      <c r="W4" s="494" t="s">
        <v>962</v>
      </c>
      <c r="X4" s="494" t="s">
        <v>786</v>
      </c>
      <c r="Y4" s="494" t="s">
        <v>901</v>
      </c>
      <c r="Z4" s="494" t="s">
        <v>902</v>
      </c>
      <c r="AA4" s="494" t="s">
        <v>882</v>
      </c>
      <c r="AB4" s="494" t="s">
        <v>960</v>
      </c>
    </row>
    <row r="5" spans="1:28" x14ac:dyDescent="0.25">
      <c r="A5" s="494" t="s">
        <v>308</v>
      </c>
      <c r="B5" s="494" t="s">
        <v>429</v>
      </c>
      <c r="C5" s="494" t="s">
        <v>425</v>
      </c>
      <c r="D5" s="494" t="s">
        <v>429</v>
      </c>
      <c r="F5" s="494" t="s">
        <v>425</v>
      </c>
      <c r="G5" s="494" t="s">
        <v>909</v>
      </c>
      <c r="H5" s="494" t="s">
        <v>944</v>
      </c>
      <c r="I5" s="494" t="s">
        <v>945</v>
      </c>
      <c r="J5" s="494" t="s">
        <v>983</v>
      </c>
      <c r="K5" s="494" t="s">
        <v>946</v>
      </c>
      <c r="L5" s="494" t="s">
        <v>947</v>
      </c>
      <c r="M5" s="494" t="s">
        <v>948</v>
      </c>
      <c r="N5" s="494" t="s">
        <v>949</v>
      </c>
      <c r="O5" s="494" t="s">
        <v>950</v>
      </c>
      <c r="P5" s="494" t="s">
        <v>951</v>
      </c>
      <c r="Q5" s="494" t="s">
        <v>952</v>
      </c>
      <c r="R5" s="494" t="s">
        <v>961</v>
      </c>
      <c r="S5" s="494" t="s">
        <v>953</v>
      </c>
      <c r="T5" s="494" t="s">
        <v>955</v>
      </c>
      <c r="U5" s="494" t="s">
        <v>954</v>
      </c>
      <c r="V5" s="494" t="s">
        <v>956</v>
      </c>
      <c r="W5" s="494" t="s">
        <v>962</v>
      </c>
      <c r="X5" s="494" t="s">
        <v>786</v>
      </c>
      <c r="Y5" s="494" t="s">
        <v>901</v>
      </c>
      <c r="Z5" s="494" t="s">
        <v>902</v>
      </c>
      <c r="AA5" s="494" t="s">
        <v>882</v>
      </c>
      <c r="AB5" s="494" t="s">
        <v>960</v>
      </c>
    </row>
    <row r="6" spans="1:28" x14ac:dyDescent="0.25">
      <c r="A6" s="494" t="s">
        <v>310</v>
      </c>
      <c r="B6" s="494" t="s">
        <v>429</v>
      </c>
      <c r="C6" s="494" t="s">
        <v>425</v>
      </c>
      <c r="D6" s="494" t="s">
        <v>429</v>
      </c>
      <c r="F6" s="494" t="s">
        <v>425</v>
      </c>
      <c r="G6" s="494" t="s">
        <v>910</v>
      </c>
      <c r="H6" s="494" t="s">
        <v>944</v>
      </c>
      <c r="I6" s="494" t="s">
        <v>945</v>
      </c>
      <c r="J6" s="494" t="s">
        <v>983</v>
      </c>
      <c r="K6" s="494" t="s">
        <v>946</v>
      </c>
      <c r="L6" s="494" t="s">
        <v>947</v>
      </c>
      <c r="M6" s="494" t="s">
        <v>948</v>
      </c>
      <c r="N6" s="494" t="s">
        <v>949</v>
      </c>
      <c r="O6" s="494" t="s">
        <v>950</v>
      </c>
      <c r="P6" s="494" t="s">
        <v>951</v>
      </c>
      <c r="Q6" s="494" t="s">
        <v>952</v>
      </c>
      <c r="R6" s="494" t="s">
        <v>961</v>
      </c>
      <c r="S6" s="494" t="s">
        <v>953</v>
      </c>
      <c r="T6" s="494" t="s">
        <v>955</v>
      </c>
      <c r="U6" s="494" t="s">
        <v>954</v>
      </c>
      <c r="V6" s="494" t="s">
        <v>956</v>
      </c>
      <c r="W6" s="494" t="s">
        <v>962</v>
      </c>
      <c r="X6" s="494" t="s">
        <v>786</v>
      </c>
      <c r="Y6" s="494" t="s">
        <v>901</v>
      </c>
      <c r="Z6" s="494" t="s">
        <v>902</v>
      </c>
      <c r="AA6" s="494" t="s">
        <v>882</v>
      </c>
      <c r="AB6" s="494" t="s">
        <v>960</v>
      </c>
    </row>
    <row r="7" spans="1:28" x14ac:dyDescent="0.25">
      <c r="A7" s="494" t="s">
        <v>312</v>
      </c>
      <c r="B7" s="494" t="s">
        <v>429</v>
      </c>
      <c r="C7" s="494" t="s">
        <v>425</v>
      </c>
      <c r="D7" s="494" t="s">
        <v>429</v>
      </c>
      <c r="F7" s="494" t="s">
        <v>425</v>
      </c>
      <c r="G7" s="494" t="s">
        <v>911</v>
      </c>
      <c r="H7" s="494" t="s">
        <v>944</v>
      </c>
      <c r="I7" s="494" t="s">
        <v>945</v>
      </c>
      <c r="J7" s="494" t="s">
        <v>983</v>
      </c>
      <c r="K7" s="494" t="s">
        <v>946</v>
      </c>
      <c r="L7" s="494" t="s">
        <v>947</v>
      </c>
      <c r="M7" s="494" t="s">
        <v>948</v>
      </c>
      <c r="N7" s="494" t="s">
        <v>949</v>
      </c>
      <c r="O7" s="494" t="s">
        <v>950</v>
      </c>
      <c r="P7" s="494" t="s">
        <v>951</v>
      </c>
      <c r="Q7" s="494" t="s">
        <v>952</v>
      </c>
      <c r="R7" s="494" t="s">
        <v>961</v>
      </c>
      <c r="S7" s="494" t="s">
        <v>953</v>
      </c>
      <c r="T7" s="494" t="s">
        <v>955</v>
      </c>
      <c r="U7" s="494" t="s">
        <v>954</v>
      </c>
      <c r="V7" s="494" t="s">
        <v>956</v>
      </c>
      <c r="W7" s="494" t="s">
        <v>962</v>
      </c>
      <c r="X7" s="494" t="s">
        <v>786</v>
      </c>
      <c r="Y7" s="494" t="s">
        <v>901</v>
      </c>
      <c r="Z7" s="494" t="s">
        <v>902</v>
      </c>
      <c r="AA7" s="494" t="s">
        <v>882</v>
      </c>
      <c r="AB7" s="494" t="s">
        <v>960</v>
      </c>
    </row>
    <row r="8" spans="1:28" x14ac:dyDescent="0.25">
      <c r="A8" s="494" t="s">
        <v>315</v>
      </c>
      <c r="B8" s="494" t="s">
        <v>429</v>
      </c>
      <c r="F8" s="494" t="s">
        <v>425</v>
      </c>
      <c r="G8" s="494" t="s">
        <v>912</v>
      </c>
      <c r="H8" s="494" t="s">
        <v>944</v>
      </c>
      <c r="I8" s="494" t="s">
        <v>945</v>
      </c>
      <c r="J8" s="494" t="s">
        <v>983</v>
      </c>
      <c r="K8" s="494" t="s">
        <v>946</v>
      </c>
      <c r="L8" s="494" t="s">
        <v>947</v>
      </c>
      <c r="M8" s="494" t="s">
        <v>948</v>
      </c>
      <c r="N8" s="494" t="s">
        <v>949</v>
      </c>
      <c r="O8" s="494" t="s">
        <v>950</v>
      </c>
      <c r="P8" s="494" t="s">
        <v>951</v>
      </c>
      <c r="Q8" s="494" t="s">
        <v>952</v>
      </c>
      <c r="R8" s="494" t="s">
        <v>961</v>
      </c>
      <c r="S8" s="494" t="s">
        <v>953</v>
      </c>
      <c r="T8" s="494" t="s">
        <v>955</v>
      </c>
      <c r="U8" s="494" t="s">
        <v>954</v>
      </c>
      <c r="V8" s="494" t="s">
        <v>956</v>
      </c>
      <c r="W8" s="494" t="s">
        <v>962</v>
      </c>
      <c r="X8" s="494" t="s">
        <v>786</v>
      </c>
      <c r="Y8" s="494" t="s">
        <v>901</v>
      </c>
      <c r="Z8" s="494" t="s">
        <v>902</v>
      </c>
      <c r="AA8" s="494" t="s">
        <v>882</v>
      </c>
      <c r="AB8" s="494" t="s">
        <v>960</v>
      </c>
    </row>
    <row r="9" spans="1:28" x14ac:dyDescent="0.25">
      <c r="A9" s="494" t="s">
        <v>352</v>
      </c>
      <c r="B9" s="494" t="s">
        <v>429</v>
      </c>
      <c r="F9" s="494" t="s">
        <v>425</v>
      </c>
      <c r="G9" s="494" t="s">
        <v>913</v>
      </c>
      <c r="H9" s="494" t="s">
        <v>944</v>
      </c>
      <c r="I9" s="494" t="s">
        <v>945</v>
      </c>
      <c r="J9" s="494" t="s">
        <v>983</v>
      </c>
      <c r="K9" s="494" t="s">
        <v>946</v>
      </c>
      <c r="L9" s="494" t="s">
        <v>947</v>
      </c>
      <c r="M9" s="494" t="s">
        <v>948</v>
      </c>
      <c r="N9" s="494" t="s">
        <v>949</v>
      </c>
      <c r="O9" s="494" t="s">
        <v>950</v>
      </c>
      <c r="P9" s="494" t="s">
        <v>951</v>
      </c>
      <c r="Q9" s="494" t="s">
        <v>952</v>
      </c>
      <c r="R9" s="494" t="s">
        <v>961</v>
      </c>
      <c r="S9" s="494" t="s">
        <v>953</v>
      </c>
      <c r="T9" s="494" t="s">
        <v>955</v>
      </c>
      <c r="U9" s="494" t="s">
        <v>954</v>
      </c>
      <c r="V9" s="494" t="s">
        <v>956</v>
      </c>
      <c r="W9" s="494" t="s">
        <v>962</v>
      </c>
      <c r="X9" s="494" t="s">
        <v>786</v>
      </c>
      <c r="Y9" s="494" t="s">
        <v>901</v>
      </c>
      <c r="Z9" s="494" t="s">
        <v>902</v>
      </c>
      <c r="AA9" s="494" t="s">
        <v>882</v>
      </c>
      <c r="AB9" s="494" t="s">
        <v>960</v>
      </c>
    </row>
    <row r="10" spans="1:28" ht="15" customHeight="1" x14ac:dyDescent="0.25">
      <c r="A10" s="494" t="s">
        <v>353</v>
      </c>
      <c r="B10" s="494" t="s">
        <v>354</v>
      </c>
      <c r="G10" s="494" t="s">
        <v>914</v>
      </c>
      <c r="H10" s="494" t="s">
        <v>944</v>
      </c>
      <c r="I10" s="494" t="s">
        <v>945</v>
      </c>
      <c r="J10" s="494" t="s">
        <v>983</v>
      </c>
      <c r="K10" s="494" t="s">
        <v>946</v>
      </c>
      <c r="L10" s="494" t="s">
        <v>947</v>
      </c>
      <c r="M10" s="494" t="s">
        <v>948</v>
      </c>
      <c r="N10" s="494" t="s">
        <v>949</v>
      </c>
      <c r="O10" s="494" t="s">
        <v>950</v>
      </c>
      <c r="P10" s="494" t="s">
        <v>951</v>
      </c>
      <c r="Q10" s="494" t="s">
        <v>952</v>
      </c>
      <c r="R10" s="494" t="s">
        <v>961</v>
      </c>
      <c r="S10" s="494" t="s">
        <v>953</v>
      </c>
      <c r="T10" s="494" t="s">
        <v>955</v>
      </c>
      <c r="U10" s="494" t="s">
        <v>954</v>
      </c>
      <c r="V10" s="494" t="s">
        <v>956</v>
      </c>
      <c r="W10" s="494" t="s">
        <v>962</v>
      </c>
      <c r="X10" s="494" t="s">
        <v>786</v>
      </c>
      <c r="Y10" s="494" t="s">
        <v>901</v>
      </c>
      <c r="Z10" s="494" t="s">
        <v>902</v>
      </c>
      <c r="AA10" s="494" t="s">
        <v>882</v>
      </c>
      <c r="AB10" s="494" t="s">
        <v>960</v>
      </c>
    </row>
    <row r="11" spans="1:28" ht="15.75" customHeight="1" x14ac:dyDescent="0.25">
      <c r="A11" s="494" t="s">
        <v>355</v>
      </c>
      <c r="G11" s="494" t="s">
        <v>915</v>
      </c>
      <c r="H11" s="494" t="s">
        <v>944</v>
      </c>
      <c r="I11" s="494" t="s">
        <v>945</v>
      </c>
      <c r="J11" s="494" t="s">
        <v>983</v>
      </c>
      <c r="K11" s="494" t="s">
        <v>946</v>
      </c>
      <c r="L11" s="494" t="s">
        <v>947</v>
      </c>
      <c r="M11" s="494" t="s">
        <v>948</v>
      </c>
      <c r="N11" s="494" t="s">
        <v>949</v>
      </c>
      <c r="O11" s="494" t="s">
        <v>950</v>
      </c>
      <c r="P11" s="494" t="s">
        <v>951</v>
      </c>
      <c r="Q11" s="494" t="s">
        <v>952</v>
      </c>
      <c r="R11" s="494" t="s">
        <v>961</v>
      </c>
      <c r="S11" s="494" t="s">
        <v>953</v>
      </c>
      <c r="T11" s="494" t="s">
        <v>955</v>
      </c>
      <c r="U11" s="494" t="s">
        <v>954</v>
      </c>
      <c r="V11" s="494" t="s">
        <v>956</v>
      </c>
      <c r="W11" s="494" t="s">
        <v>962</v>
      </c>
      <c r="X11" s="494" t="s">
        <v>786</v>
      </c>
      <c r="Y11" s="494" t="s">
        <v>901</v>
      </c>
      <c r="Z11" s="494" t="s">
        <v>902</v>
      </c>
      <c r="AA11" s="494" t="s">
        <v>882</v>
      </c>
      <c r="AB11" s="494" t="s">
        <v>960</v>
      </c>
    </row>
    <row r="12" spans="1:28" x14ac:dyDescent="0.25">
      <c r="A12" s="494" t="s">
        <v>318</v>
      </c>
      <c r="B12" s="494" t="s">
        <v>429</v>
      </c>
      <c r="C12" s="494" t="s">
        <v>425</v>
      </c>
      <c r="D12" s="494" t="s">
        <v>429</v>
      </c>
      <c r="G12" s="494" t="s">
        <v>916</v>
      </c>
      <c r="H12" s="494" t="s">
        <v>944</v>
      </c>
      <c r="I12" s="494" t="s">
        <v>945</v>
      </c>
      <c r="J12" s="494" t="s">
        <v>983</v>
      </c>
      <c r="K12" s="494" t="s">
        <v>946</v>
      </c>
      <c r="L12" s="494" t="s">
        <v>947</v>
      </c>
      <c r="M12" s="494" t="s">
        <v>948</v>
      </c>
      <c r="N12" s="494" t="s">
        <v>949</v>
      </c>
      <c r="O12" s="494" t="s">
        <v>950</v>
      </c>
      <c r="P12" s="494" t="s">
        <v>951</v>
      </c>
      <c r="Q12" s="494" t="s">
        <v>952</v>
      </c>
      <c r="R12" s="494" t="s">
        <v>961</v>
      </c>
      <c r="S12" s="494" t="s">
        <v>953</v>
      </c>
      <c r="T12" s="494" t="s">
        <v>955</v>
      </c>
      <c r="U12" s="494" t="s">
        <v>954</v>
      </c>
      <c r="V12" s="494" t="s">
        <v>956</v>
      </c>
      <c r="W12" s="494" t="s">
        <v>962</v>
      </c>
      <c r="X12" s="494" t="s">
        <v>786</v>
      </c>
      <c r="Y12" s="494" t="s">
        <v>901</v>
      </c>
      <c r="Z12" s="494" t="s">
        <v>902</v>
      </c>
      <c r="AA12" s="494" t="s">
        <v>882</v>
      </c>
      <c r="AB12" s="494" t="s">
        <v>960</v>
      </c>
    </row>
    <row r="13" spans="1:28" x14ac:dyDescent="0.25">
      <c r="A13" s="494" t="s">
        <v>321</v>
      </c>
      <c r="B13" s="494" t="s">
        <v>429</v>
      </c>
      <c r="C13" s="494" t="s">
        <v>425</v>
      </c>
      <c r="D13" s="494" t="s">
        <v>429</v>
      </c>
      <c r="G13" s="494" t="s">
        <v>917</v>
      </c>
      <c r="H13" s="494" t="s">
        <v>944</v>
      </c>
      <c r="I13" s="494" t="s">
        <v>945</v>
      </c>
      <c r="J13" s="494" t="s">
        <v>983</v>
      </c>
      <c r="K13" s="494" t="s">
        <v>946</v>
      </c>
      <c r="L13" s="494" t="s">
        <v>947</v>
      </c>
      <c r="M13" s="494" t="s">
        <v>948</v>
      </c>
      <c r="N13" s="494" t="s">
        <v>949</v>
      </c>
      <c r="O13" s="494" t="s">
        <v>950</v>
      </c>
      <c r="P13" s="494" t="s">
        <v>951</v>
      </c>
      <c r="Q13" s="494" t="s">
        <v>952</v>
      </c>
      <c r="R13" s="494" t="s">
        <v>961</v>
      </c>
      <c r="S13" s="494" t="s">
        <v>953</v>
      </c>
      <c r="T13" s="494" t="s">
        <v>955</v>
      </c>
      <c r="U13" s="494" t="s">
        <v>954</v>
      </c>
      <c r="V13" s="494" t="s">
        <v>956</v>
      </c>
      <c r="W13" s="494" t="s">
        <v>962</v>
      </c>
      <c r="X13" s="494" t="s">
        <v>786</v>
      </c>
      <c r="Y13" s="494" t="s">
        <v>901</v>
      </c>
      <c r="Z13" s="494" t="s">
        <v>902</v>
      </c>
      <c r="AA13" s="494" t="s">
        <v>882</v>
      </c>
      <c r="AB13" s="494" t="s">
        <v>960</v>
      </c>
    </row>
    <row r="14" spans="1:28" x14ac:dyDescent="0.25">
      <c r="A14" s="494" t="s">
        <v>324</v>
      </c>
      <c r="B14" s="494" t="s">
        <v>429</v>
      </c>
      <c r="C14" s="494" t="s">
        <v>425</v>
      </c>
      <c r="D14" s="494" t="s">
        <v>429</v>
      </c>
      <c r="G14" s="494" t="s">
        <v>918</v>
      </c>
      <c r="H14" s="494" t="s">
        <v>944</v>
      </c>
      <c r="I14" s="494" t="s">
        <v>945</v>
      </c>
      <c r="J14" s="494" t="s">
        <v>983</v>
      </c>
      <c r="K14" s="494" t="s">
        <v>946</v>
      </c>
      <c r="L14" s="494" t="s">
        <v>947</v>
      </c>
      <c r="M14" s="494" t="s">
        <v>948</v>
      </c>
      <c r="N14" s="494" t="s">
        <v>949</v>
      </c>
      <c r="O14" s="494" t="s">
        <v>950</v>
      </c>
      <c r="P14" s="494" t="s">
        <v>951</v>
      </c>
      <c r="Q14" s="494" t="s">
        <v>952</v>
      </c>
      <c r="R14" s="494" t="s">
        <v>961</v>
      </c>
      <c r="S14" s="494" t="s">
        <v>953</v>
      </c>
      <c r="T14" s="494" t="s">
        <v>955</v>
      </c>
      <c r="U14" s="494" t="s">
        <v>954</v>
      </c>
      <c r="V14" s="494" t="s">
        <v>956</v>
      </c>
      <c r="W14" s="494" t="s">
        <v>962</v>
      </c>
      <c r="X14" s="494" t="s">
        <v>786</v>
      </c>
      <c r="Y14" s="494" t="s">
        <v>901</v>
      </c>
      <c r="Z14" s="494" t="s">
        <v>902</v>
      </c>
      <c r="AA14" s="494" t="s">
        <v>882</v>
      </c>
      <c r="AB14" s="494" t="s">
        <v>960</v>
      </c>
    </row>
    <row r="15" spans="1:28" x14ac:dyDescent="0.25">
      <c r="A15" s="494" t="s">
        <v>325</v>
      </c>
      <c r="B15" s="494" t="s">
        <v>429</v>
      </c>
      <c r="C15" s="494" t="s">
        <v>425</v>
      </c>
      <c r="D15" s="494" t="s">
        <v>429</v>
      </c>
      <c r="E15" s="494" t="s">
        <v>446</v>
      </c>
      <c r="G15" s="494" t="s">
        <v>919</v>
      </c>
      <c r="H15" s="494" t="s">
        <v>944</v>
      </c>
      <c r="I15" s="494" t="s">
        <v>945</v>
      </c>
      <c r="J15" s="494" t="s">
        <v>983</v>
      </c>
      <c r="K15" s="494" t="s">
        <v>946</v>
      </c>
      <c r="L15" s="494" t="s">
        <v>947</v>
      </c>
      <c r="M15" s="494" t="s">
        <v>948</v>
      </c>
      <c r="N15" s="494" t="s">
        <v>949</v>
      </c>
      <c r="O15" s="494" t="s">
        <v>950</v>
      </c>
      <c r="P15" s="494" t="s">
        <v>951</v>
      </c>
      <c r="Q15" s="494" t="s">
        <v>952</v>
      </c>
      <c r="R15" s="494" t="s">
        <v>961</v>
      </c>
      <c r="S15" s="494" t="s">
        <v>953</v>
      </c>
      <c r="T15" s="494" t="s">
        <v>955</v>
      </c>
      <c r="U15" s="494" t="s">
        <v>954</v>
      </c>
      <c r="V15" s="494" t="s">
        <v>956</v>
      </c>
      <c r="W15" s="494" t="s">
        <v>962</v>
      </c>
      <c r="X15" s="494" t="s">
        <v>786</v>
      </c>
      <c r="Y15" s="494" t="s">
        <v>901</v>
      </c>
      <c r="Z15" s="494" t="s">
        <v>902</v>
      </c>
      <c r="AA15" s="494" t="s">
        <v>882</v>
      </c>
      <c r="AB15" s="494" t="s">
        <v>960</v>
      </c>
    </row>
    <row r="16" spans="1:28" x14ac:dyDescent="0.25">
      <c r="A16" s="494" t="s">
        <v>357</v>
      </c>
      <c r="B16" s="494" t="s">
        <v>429</v>
      </c>
      <c r="C16" s="494" t="s">
        <v>425</v>
      </c>
      <c r="D16" s="494" t="s">
        <v>429</v>
      </c>
      <c r="E16" s="494" t="s">
        <v>446</v>
      </c>
      <c r="G16" s="494" t="s">
        <v>920</v>
      </c>
      <c r="H16" s="494" t="s">
        <v>944</v>
      </c>
      <c r="I16" s="494" t="s">
        <v>945</v>
      </c>
      <c r="J16" s="494" t="s">
        <v>983</v>
      </c>
      <c r="K16" s="494" t="s">
        <v>946</v>
      </c>
      <c r="L16" s="494" t="s">
        <v>947</v>
      </c>
      <c r="M16" s="494" t="s">
        <v>948</v>
      </c>
      <c r="N16" s="494" t="s">
        <v>949</v>
      </c>
      <c r="O16" s="494" t="s">
        <v>950</v>
      </c>
      <c r="P16" s="494" t="s">
        <v>951</v>
      </c>
      <c r="Q16" s="494" t="s">
        <v>952</v>
      </c>
      <c r="R16" s="494" t="s">
        <v>961</v>
      </c>
      <c r="S16" s="494" t="s">
        <v>953</v>
      </c>
      <c r="T16" s="494" t="s">
        <v>955</v>
      </c>
      <c r="U16" s="494" t="s">
        <v>954</v>
      </c>
      <c r="V16" s="494" t="s">
        <v>956</v>
      </c>
      <c r="W16" s="494" t="s">
        <v>962</v>
      </c>
      <c r="X16" s="494" t="s">
        <v>786</v>
      </c>
      <c r="Y16" s="494" t="s">
        <v>901</v>
      </c>
      <c r="Z16" s="494" t="s">
        <v>902</v>
      </c>
      <c r="AA16" s="494" t="s">
        <v>882</v>
      </c>
      <c r="AB16" s="494" t="s">
        <v>960</v>
      </c>
    </row>
    <row r="17" spans="1:28" x14ac:dyDescent="0.25">
      <c r="A17" s="494" t="s">
        <v>358</v>
      </c>
      <c r="B17" s="494" t="s">
        <v>429</v>
      </c>
      <c r="C17" s="494" t="s">
        <v>425</v>
      </c>
      <c r="D17" s="494" t="s">
        <v>429</v>
      </c>
      <c r="E17" s="494" t="s">
        <v>446</v>
      </c>
      <c r="G17" s="494" t="s">
        <v>921</v>
      </c>
      <c r="H17" s="494" t="s">
        <v>944</v>
      </c>
      <c r="I17" s="494" t="s">
        <v>945</v>
      </c>
      <c r="J17" s="494" t="s">
        <v>983</v>
      </c>
      <c r="K17" s="494" t="s">
        <v>946</v>
      </c>
      <c r="L17" s="494" t="s">
        <v>947</v>
      </c>
      <c r="M17" s="494" t="s">
        <v>948</v>
      </c>
      <c r="N17" s="494" t="s">
        <v>949</v>
      </c>
      <c r="O17" s="494" t="s">
        <v>950</v>
      </c>
      <c r="P17" s="494" t="s">
        <v>951</v>
      </c>
      <c r="Q17" s="494" t="s">
        <v>952</v>
      </c>
      <c r="R17" s="494" t="s">
        <v>961</v>
      </c>
      <c r="S17" s="494" t="s">
        <v>953</v>
      </c>
      <c r="T17" s="494" t="s">
        <v>955</v>
      </c>
      <c r="U17" s="494" t="s">
        <v>954</v>
      </c>
      <c r="V17" s="494" t="s">
        <v>956</v>
      </c>
      <c r="W17" s="494" t="s">
        <v>962</v>
      </c>
      <c r="X17" s="494" t="s">
        <v>786</v>
      </c>
      <c r="Y17" s="494" t="s">
        <v>901</v>
      </c>
      <c r="Z17" s="494" t="s">
        <v>902</v>
      </c>
      <c r="AA17" s="494" t="s">
        <v>882</v>
      </c>
      <c r="AB17" s="494" t="s">
        <v>960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763A0-7160-4669-9EC5-8989D8C09188}">
  <dimension ref="A1:AB17"/>
  <sheetViews>
    <sheetView workbookViewId="0">
      <selection activeCell="A2" sqref="A2:XFD17"/>
    </sheetView>
  </sheetViews>
  <sheetFormatPr defaultRowHeight="15" x14ac:dyDescent="0.25"/>
  <cols>
    <col min="1" max="1" width="15.5703125" style="494" customWidth="1"/>
    <col min="2" max="2" width="25.85546875" style="494" bestFit="1" customWidth="1"/>
    <col min="3" max="3" width="19.28515625" style="494" customWidth="1"/>
    <col min="4" max="4" width="22.5703125" style="494" customWidth="1"/>
    <col min="5" max="5" width="20" style="494" customWidth="1"/>
    <col min="6" max="7" width="17.42578125" style="494" customWidth="1"/>
    <col min="8" max="8" width="18.85546875" style="494" customWidth="1"/>
    <col min="9" max="10" width="19.42578125" style="494" customWidth="1"/>
    <col min="11" max="11" width="18.140625" style="494" customWidth="1"/>
    <col min="12" max="12" width="22.5703125" style="494" customWidth="1"/>
    <col min="13" max="13" width="22.42578125" style="494" customWidth="1"/>
    <col min="14" max="14" width="17.140625" style="494" customWidth="1"/>
    <col min="15" max="15" width="22.7109375" style="494" bestFit="1" customWidth="1"/>
    <col min="16" max="16" width="17.5703125" style="494" customWidth="1"/>
    <col min="17" max="18" width="15.28515625" style="494" customWidth="1"/>
    <col min="19" max="19" width="18.42578125" style="494" customWidth="1"/>
    <col min="20" max="20" width="22.85546875" style="494" bestFit="1" customWidth="1"/>
    <col min="21" max="21" width="18.85546875" style="494" customWidth="1"/>
    <col min="22" max="23" width="16.5703125" style="494" customWidth="1"/>
    <col min="24" max="24" width="17.140625" style="494" customWidth="1"/>
    <col min="25" max="25" width="21.7109375" style="494" bestFit="1" customWidth="1"/>
    <col min="26" max="27" width="15.42578125" style="494" customWidth="1"/>
    <col min="28" max="28" width="13.7109375" style="494" bestFit="1" customWidth="1"/>
    <col min="29" max="16384" width="9.140625" style="494"/>
  </cols>
  <sheetData>
    <row r="1" spans="1:28" x14ac:dyDescent="0.25">
      <c r="A1" s="494" t="s">
        <v>873</v>
      </c>
      <c r="B1" s="494" t="s">
        <v>874</v>
      </c>
      <c r="C1" s="494" t="s">
        <v>875</v>
      </c>
      <c r="D1" s="494" t="s">
        <v>876</v>
      </c>
      <c r="E1" s="494" t="s">
        <v>877</v>
      </c>
      <c r="F1" s="494" t="s">
        <v>878</v>
      </c>
      <c r="G1" s="494" t="s">
        <v>905</v>
      </c>
      <c r="H1" s="494" t="s">
        <v>872</v>
      </c>
      <c r="I1" s="494" t="s">
        <v>978</v>
      </c>
      <c r="J1" s="494" t="s">
        <v>971</v>
      </c>
      <c r="K1" s="494" t="s">
        <v>885</v>
      </c>
      <c r="L1" s="494" t="s">
        <v>884</v>
      </c>
      <c r="M1" s="494" t="s">
        <v>886</v>
      </c>
      <c r="N1" s="494" t="s">
        <v>888</v>
      </c>
      <c r="O1" s="494" t="s">
        <v>889</v>
      </c>
      <c r="P1" s="494" t="s">
        <v>890</v>
      </c>
      <c r="Q1" s="494" t="s">
        <v>891</v>
      </c>
      <c r="R1" s="494" t="s">
        <v>959</v>
      </c>
      <c r="S1" s="494" t="s">
        <v>892</v>
      </c>
      <c r="T1" s="494" t="s">
        <v>893</v>
      </c>
      <c r="U1" s="494" t="s">
        <v>896</v>
      </c>
      <c r="V1" s="494" t="s">
        <v>897</v>
      </c>
      <c r="W1" s="494" t="s">
        <v>958</v>
      </c>
      <c r="X1" s="494" t="s">
        <v>898</v>
      </c>
      <c r="Y1" s="494" t="s">
        <v>900</v>
      </c>
      <c r="Z1" s="494" t="s">
        <v>939</v>
      </c>
      <c r="AA1" s="494" t="s">
        <v>899</v>
      </c>
      <c r="AB1" s="494" t="s">
        <v>957</v>
      </c>
    </row>
    <row r="2" spans="1:28" ht="15" customHeight="1" x14ac:dyDescent="0.25">
      <c r="A2" s="494" t="s">
        <v>343</v>
      </c>
      <c r="C2" s="494" t="s">
        <v>381</v>
      </c>
      <c r="D2" s="494" t="s">
        <v>381</v>
      </c>
      <c r="G2" s="494" t="s">
        <v>906</v>
      </c>
      <c r="H2" s="494" t="s">
        <v>944</v>
      </c>
      <c r="I2" s="494" t="s">
        <v>966</v>
      </c>
      <c r="J2" s="494" t="s">
        <v>984</v>
      </c>
      <c r="K2" s="494" t="s">
        <v>967</v>
      </c>
      <c r="L2" s="494" t="s">
        <v>968</v>
      </c>
      <c r="M2" s="494" t="s">
        <v>969</v>
      </c>
      <c r="N2" s="494" t="s">
        <v>949</v>
      </c>
      <c r="O2" s="494" t="s">
        <v>950</v>
      </c>
      <c r="P2" s="494" t="s">
        <v>951</v>
      </c>
      <c r="Q2" s="494" t="s">
        <v>952</v>
      </c>
      <c r="R2" s="494" t="s">
        <v>961</v>
      </c>
      <c r="S2" s="494" t="s">
        <v>953</v>
      </c>
      <c r="T2" s="494" t="s">
        <v>955</v>
      </c>
      <c r="U2" s="494" t="s">
        <v>954</v>
      </c>
      <c r="V2" s="494" t="s">
        <v>956</v>
      </c>
      <c r="W2" s="494" t="s">
        <v>962</v>
      </c>
      <c r="X2" s="494" t="s">
        <v>786</v>
      </c>
      <c r="Y2" s="494" t="s">
        <v>901</v>
      </c>
      <c r="Z2" s="494" t="s">
        <v>902</v>
      </c>
      <c r="AA2" s="494" t="s">
        <v>882</v>
      </c>
      <c r="AB2" s="494" t="s">
        <v>960</v>
      </c>
    </row>
    <row r="3" spans="1:28" ht="15" customHeight="1" x14ac:dyDescent="0.25">
      <c r="A3" s="494" t="s">
        <v>349</v>
      </c>
      <c r="C3" s="494" t="s">
        <v>381</v>
      </c>
      <c r="D3" s="494" t="s">
        <v>381</v>
      </c>
      <c r="G3" s="494" t="s">
        <v>907</v>
      </c>
      <c r="H3" s="494" t="s">
        <v>944</v>
      </c>
      <c r="I3" s="494" t="s">
        <v>966</v>
      </c>
      <c r="J3" s="494" t="s">
        <v>984</v>
      </c>
      <c r="K3" s="494" t="s">
        <v>967</v>
      </c>
      <c r="L3" s="494" t="s">
        <v>968</v>
      </c>
      <c r="M3" s="494" t="s">
        <v>969</v>
      </c>
      <c r="N3" s="494" t="s">
        <v>949</v>
      </c>
      <c r="O3" s="494" t="s">
        <v>950</v>
      </c>
      <c r="P3" s="494" t="s">
        <v>951</v>
      </c>
      <c r="Q3" s="494" t="s">
        <v>952</v>
      </c>
      <c r="R3" s="494" t="s">
        <v>961</v>
      </c>
      <c r="S3" s="494" t="s">
        <v>953</v>
      </c>
      <c r="T3" s="494" t="s">
        <v>955</v>
      </c>
      <c r="U3" s="494" t="s">
        <v>954</v>
      </c>
      <c r="V3" s="494" t="s">
        <v>956</v>
      </c>
      <c r="W3" s="494" t="s">
        <v>962</v>
      </c>
      <c r="X3" s="494" t="s">
        <v>786</v>
      </c>
      <c r="Y3" s="494" t="s">
        <v>901</v>
      </c>
      <c r="Z3" s="494" t="s">
        <v>902</v>
      </c>
      <c r="AA3" s="494" t="s">
        <v>882</v>
      </c>
      <c r="AB3" s="494" t="s">
        <v>960</v>
      </c>
    </row>
    <row r="4" spans="1:28" ht="15" customHeight="1" x14ac:dyDescent="0.25">
      <c r="A4" s="494" t="s">
        <v>305</v>
      </c>
      <c r="B4" s="494" t="s">
        <v>381</v>
      </c>
      <c r="D4" s="494" t="s">
        <v>431</v>
      </c>
      <c r="E4" s="494" t="s">
        <v>431</v>
      </c>
      <c r="G4" s="494" t="s">
        <v>908</v>
      </c>
      <c r="H4" s="494" t="s">
        <v>944</v>
      </c>
      <c r="I4" s="494" t="s">
        <v>966</v>
      </c>
      <c r="J4" s="494" t="s">
        <v>984</v>
      </c>
      <c r="K4" s="494" t="s">
        <v>967</v>
      </c>
      <c r="L4" s="494" t="s">
        <v>968</v>
      </c>
      <c r="M4" s="494" t="s">
        <v>969</v>
      </c>
      <c r="N4" s="494" t="s">
        <v>949</v>
      </c>
      <c r="O4" s="494" t="s">
        <v>950</v>
      </c>
      <c r="P4" s="494" t="s">
        <v>951</v>
      </c>
      <c r="Q4" s="494" t="s">
        <v>952</v>
      </c>
      <c r="R4" s="494" t="s">
        <v>961</v>
      </c>
      <c r="S4" s="494" t="s">
        <v>953</v>
      </c>
      <c r="T4" s="494" t="s">
        <v>955</v>
      </c>
      <c r="U4" s="494" t="s">
        <v>954</v>
      </c>
      <c r="V4" s="494" t="s">
        <v>956</v>
      </c>
      <c r="W4" s="494" t="s">
        <v>962</v>
      </c>
      <c r="X4" s="494" t="s">
        <v>786</v>
      </c>
      <c r="Y4" s="494" t="s">
        <v>901</v>
      </c>
      <c r="Z4" s="494" t="s">
        <v>902</v>
      </c>
      <c r="AA4" s="494" t="s">
        <v>882</v>
      </c>
      <c r="AB4" s="494" t="s">
        <v>960</v>
      </c>
    </row>
    <row r="5" spans="1:28" ht="15" customHeight="1" x14ac:dyDescent="0.25">
      <c r="A5" s="494" t="s">
        <v>308</v>
      </c>
      <c r="B5" s="494" t="s">
        <v>381</v>
      </c>
      <c r="D5" s="494" t="s">
        <v>431</v>
      </c>
      <c r="E5" s="494" t="s">
        <v>431</v>
      </c>
      <c r="G5" s="494" t="s">
        <v>909</v>
      </c>
      <c r="H5" s="494" t="s">
        <v>944</v>
      </c>
      <c r="I5" s="494" t="s">
        <v>966</v>
      </c>
      <c r="J5" s="494" t="s">
        <v>984</v>
      </c>
      <c r="K5" s="494" t="s">
        <v>967</v>
      </c>
      <c r="L5" s="494" t="s">
        <v>968</v>
      </c>
      <c r="M5" s="494" t="s">
        <v>969</v>
      </c>
      <c r="N5" s="494" t="s">
        <v>949</v>
      </c>
      <c r="O5" s="494" t="s">
        <v>950</v>
      </c>
      <c r="P5" s="494" t="s">
        <v>951</v>
      </c>
      <c r="Q5" s="494" t="s">
        <v>952</v>
      </c>
      <c r="R5" s="494" t="s">
        <v>961</v>
      </c>
      <c r="S5" s="494" t="s">
        <v>953</v>
      </c>
      <c r="T5" s="494" t="s">
        <v>955</v>
      </c>
      <c r="U5" s="494" t="s">
        <v>954</v>
      </c>
      <c r="V5" s="494" t="s">
        <v>956</v>
      </c>
      <c r="W5" s="494" t="s">
        <v>962</v>
      </c>
      <c r="X5" s="494" t="s">
        <v>786</v>
      </c>
      <c r="Y5" s="494" t="s">
        <v>901</v>
      </c>
      <c r="Z5" s="494" t="s">
        <v>902</v>
      </c>
      <c r="AA5" s="494" t="s">
        <v>882</v>
      </c>
      <c r="AB5" s="494" t="s">
        <v>960</v>
      </c>
    </row>
    <row r="6" spans="1:28" x14ac:dyDescent="0.25">
      <c r="A6" s="494" t="s">
        <v>310</v>
      </c>
      <c r="E6" s="494" t="s">
        <v>431</v>
      </c>
      <c r="G6" s="494" t="s">
        <v>910</v>
      </c>
      <c r="H6" s="494" t="s">
        <v>944</v>
      </c>
      <c r="I6" s="494" t="s">
        <v>966</v>
      </c>
      <c r="J6" s="494" t="s">
        <v>984</v>
      </c>
      <c r="K6" s="494" t="s">
        <v>967</v>
      </c>
      <c r="L6" s="494" t="s">
        <v>968</v>
      </c>
      <c r="M6" s="494" t="s">
        <v>969</v>
      </c>
      <c r="N6" s="494" t="s">
        <v>949</v>
      </c>
      <c r="O6" s="494" t="s">
        <v>950</v>
      </c>
      <c r="P6" s="494" t="s">
        <v>951</v>
      </c>
      <c r="Q6" s="494" t="s">
        <v>952</v>
      </c>
      <c r="R6" s="494" t="s">
        <v>961</v>
      </c>
      <c r="S6" s="494" t="s">
        <v>953</v>
      </c>
      <c r="T6" s="494" t="s">
        <v>955</v>
      </c>
      <c r="U6" s="494" t="s">
        <v>954</v>
      </c>
      <c r="V6" s="494" t="s">
        <v>956</v>
      </c>
      <c r="W6" s="494" t="s">
        <v>962</v>
      </c>
      <c r="X6" s="494" t="s">
        <v>786</v>
      </c>
      <c r="Y6" s="494" t="s">
        <v>901</v>
      </c>
      <c r="Z6" s="494" t="s">
        <v>902</v>
      </c>
      <c r="AA6" s="494" t="s">
        <v>882</v>
      </c>
      <c r="AB6" s="494" t="s">
        <v>960</v>
      </c>
    </row>
    <row r="7" spans="1:28" x14ac:dyDescent="0.25">
      <c r="A7" s="494" t="s">
        <v>312</v>
      </c>
      <c r="D7" s="494" t="s">
        <v>381</v>
      </c>
      <c r="E7" s="494" t="s">
        <v>431</v>
      </c>
      <c r="G7" s="494" t="s">
        <v>911</v>
      </c>
      <c r="H7" s="494" t="s">
        <v>944</v>
      </c>
      <c r="I7" s="494" t="s">
        <v>966</v>
      </c>
      <c r="J7" s="494" t="s">
        <v>984</v>
      </c>
      <c r="K7" s="494" t="s">
        <v>967</v>
      </c>
      <c r="L7" s="494" t="s">
        <v>968</v>
      </c>
      <c r="M7" s="494" t="s">
        <v>969</v>
      </c>
      <c r="N7" s="494" t="s">
        <v>949</v>
      </c>
      <c r="O7" s="494" t="s">
        <v>950</v>
      </c>
      <c r="P7" s="494" t="s">
        <v>951</v>
      </c>
      <c r="Q7" s="494" t="s">
        <v>952</v>
      </c>
      <c r="R7" s="494" t="s">
        <v>961</v>
      </c>
      <c r="S7" s="494" t="s">
        <v>953</v>
      </c>
      <c r="T7" s="494" t="s">
        <v>955</v>
      </c>
      <c r="U7" s="494" t="s">
        <v>954</v>
      </c>
      <c r="V7" s="494" t="s">
        <v>956</v>
      </c>
      <c r="W7" s="494" t="s">
        <v>962</v>
      </c>
      <c r="X7" s="494" t="s">
        <v>786</v>
      </c>
      <c r="Y7" s="494" t="s">
        <v>901</v>
      </c>
      <c r="Z7" s="494" t="s">
        <v>902</v>
      </c>
      <c r="AA7" s="494" t="s">
        <v>882</v>
      </c>
      <c r="AB7" s="494" t="s">
        <v>960</v>
      </c>
    </row>
    <row r="8" spans="1:28" x14ac:dyDescent="0.25">
      <c r="A8" s="494" t="s">
        <v>315</v>
      </c>
      <c r="E8" s="494" t="s">
        <v>431</v>
      </c>
      <c r="G8" s="494" t="s">
        <v>912</v>
      </c>
      <c r="H8" s="494" t="s">
        <v>944</v>
      </c>
      <c r="I8" s="494" t="s">
        <v>966</v>
      </c>
      <c r="J8" s="494" t="s">
        <v>984</v>
      </c>
      <c r="K8" s="494" t="s">
        <v>967</v>
      </c>
      <c r="L8" s="494" t="s">
        <v>968</v>
      </c>
      <c r="M8" s="494" t="s">
        <v>969</v>
      </c>
      <c r="N8" s="494" t="s">
        <v>949</v>
      </c>
      <c r="O8" s="494" t="s">
        <v>950</v>
      </c>
      <c r="P8" s="494" t="s">
        <v>951</v>
      </c>
      <c r="Q8" s="494" t="s">
        <v>952</v>
      </c>
      <c r="R8" s="494" t="s">
        <v>961</v>
      </c>
      <c r="S8" s="494" t="s">
        <v>953</v>
      </c>
      <c r="T8" s="494" t="s">
        <v>955</v>
      </c>
      <c r="U8" s="494" t="s">
        <v>954</v>
      </c>
      <c r="V8" s="494" t="s">
        <v>956</v>
      </c>
      <c r="W8" s="494" t="s">
        <v>962</v>
      </c>
      <c r="X8" s="494" t="s">
        <v>786</v>
      </c>
      <c r="Y8" s="494" t="s">
        <v>901</v>
      </c>
      <c r="Z8" s="494" t="s">
        <v>902</v>
      </c>
      <c r="AA8" s="494" t="s">
        <v>882</v>
      </c>
      <c r="AB8" s="494" t="s">
        <v>960</v>
      </c>
    </row>
    <row r="9" spans="1:28" x14ac:dyDescent="0.25">
      <c r="A9" s="494" t="s">
        <v>352</v>
      </c>
      <c r="E9" s="494" t="s">
        <v>431</v>
      </c>
      <c r="G9" s="494" t="s">
        <v>913</v>
      </c>
      <c r="H9" s="494" t="s">
        <v>944</v>
      </c>
      <c r="I9" s="494" t="s">
        <v>966</v>
      </c>
      <c r="J9" s="494" t="s">
        <v>984</v>
      </c>
      <c r="K9" s="494" t="s">
        <v>967</v>
      </c>
      <c r="L9" s="494" t="s">
        <v>968</v>
      </c>
      <c r="M9" s="494" t="s">
        <v>969</v>
      </c>
      <c r="N9" s="494" t="s">
        <v>949</v>
      </c>
      <c r="O9" s="494" t="s">
        <v>950</v>
      </c>
      <c r="P9" s="494" t="s">
        <v>951</v>
      </c>
      <c r="Q9" s="494" t="s">
        <v>952</v>
      </c>
      <c r="R9" s="494" t="s">
        <v>961</v>
      </c>
      <c r="S9" s="494" t="s">
        <v>953</v>
      </c>
      <c r="T9" s="494" t="s">
        <v>955</v>
      </c>
      <c r="U9" s="494" t="s">
        <v>954</v>
      </c>
      <c r="V9" s="494" t="s">
        <v>956</v>
      </c>
      <c r="W9" s="494" t="s">
        <v>962</v>
      </c>
      <c r="X9" s="494" t="s">
        <v>786</v>
      </c>
      <c r="Y9" s="494" t="s">
        <v>901</v>
      </c>
      <c r="Z9" s="494" t="s">
        <v>902</v>
      </c>
      <c r="AA9" s="494" t="s">
        <v>882</v>
      </c>
      <c r="AB9" s="494" t="s">
        <v>960</v>
      </c>
    </row>
    <row r="10" spans="1:28" ht="15" customHeight="1" x14ac:dyDescent="0.25">
      <c r="A10" s="494" t="s">
        <v>353</v>
      </c>
      <c r="B10" s="494" t="s">
        <v>354</v>
      </c>
      <c r="G10" s="494" t="s">
        <v>914</v>
      </c>
      <c r="H10" s="494" t="s">
        <v>944</v>
      </c>
      <c r="I10" s="494" t="s">
        <v>966</v>
      </c>
      <c r="J10" s="494" t="s">
        <v>984</v>
      </c>
      <c r="K10" s="494" t="s">
        <v>967</v>
      </c>
      <c r="L10" s="494" t="s">
        <v>968</v>
      </c>
      <c r="M10" s="494" t="s">
        <v>969</v>
      </c>
      <c r="N10" s="494" t="s">
        <v>949</v>
      </c>
      <c r="O10" s="494" t="s">
        <v>950</v>
      </c>
      <c r="P10" s="494" t="s">
        <v>951</v>
      </c>
      <c r="Q10" s="494" t="s">
        <v>952</v>
      </c>
      <c r="R10" s="494" t="s">
        <v>961</v>
      </c>
      <c r="S10" s="494" t="s">
        <v>953</v>
      </c>
      <c r="T10" s="494" t="s">
        <v>955</v>
      </c>
      <c r="U10" s="494" t="s">
        <v>954</v>
      </c>
      <c r="V10" s="494" t="s">
        <v>956</v>
      </c>
      <c r="W10" s="494" t="s">
        <v>962</v>
      </c>
      <c r="X10" s="494" t="s">
        <v>786</v>
      </c>
      <c r="Y10" s="494" t="s">
        <v>901</v>
      </c>
      <c r="Z10" s="494" t="s">
        <v>902</v>
      </c>
      <c r="AA10" s="494" t="s">
        <v>882</v>
      </c>
      <c r="AB10" s="494" t="s">
        <v>960</v>
      </c>
    </row>
    <row r="11" spans="1:28" ht="15.75" customHeight="1" x14ac:dyDescent="0.25">
      <c r="A11" s="494" t="s">
        <v>355</v>
      </c>
      <c r="G11" s="494" t="s">
        <v>915</v>
      </c>
      <c r="H11" s="494" t="s">
        <v>944</v>
      </c>
      <c r="I11" s="494" t="s">
        <v>966</v>
      </c>
      <c r="J11" s="494" t="s">
        <v>984</v>
      </c>
      <c r="K11" s="494" t="s">
        <v>967</v>
      </c>
      <c r="L11" s="494" t="s">
        <v>968</v>
      </c>
      <c r="M11" s="494" t="s">
        <v>969</v>
      </c>
      <c r="N11" s="494" t="s">
        <v>949</v>
      </c>
      <c r="O11" s="494" t="s">
        <v>950</v>
      </c>
      <c r="P11" s="494" t="s">
        <v>951</v>
      </c>
      <c r="Q11" s="494" t="s">
        <v>952</v>
      </c>
      <c r="R11" s="494" t="s">
        <v>961</v>
      </c>
      <c r="S11" s="494" t="s">
        <v>953</v>
      </c>
      <c r="T11" s="494" t="s">
        <v>955</v>
      </c>
      <c r="U11" s="494" t="s">
        <v>954</v>
      </c>
      <c r="V11" s="494" t="s">
        <v>956</v>
      </c>
      <c r="W11" s="494" t="s">
        <v>962</v>
      </c>
      <c r="X11" s="494" t="s">
        <v>786</v>
      </c>
      <c r="Y11" s="494" t="s">
        <v>901</v>
      </c>
      <c r="Z11" s="494" t="s">
        <v>902</v>
      </c>
      <c r="AA11" s="494" t="s">
        <v>882</v>
      </c>
      <c r="AB11" s="494" t="s">
        <v>960</v>
      </c>
    </row>
    <row r="12" spans="1:28" x14ac:dyDescent="0.25">
      <c r="A12" s="494" t="s">
        <v>318</v>
      </c>
      <c r="B12" s="494" t="s">
        <v>427</v>
      </c>
      <c r="C12" s="494" t="s">
        <v>381</v>
      </c>
      <c r="D12" s="494" t="s">
        <v>431</v>
      </c>
      <c r="E12" s="494" t="s">
        <v>381</v>
      </c>
      <c r="G12" s="494" t="s">
        <v>916</v>
      </c>
      <c r="H12" s="494" t="s">
        <v>944</v>
      </c>
      <c r="I12" s="494" t="s">
        <v>966</v>
      </c>
      <c r="J12" s="494" t="s">
        <v>984</v>
      </c>
      <c r="K12" s="494" t="s">
        <v>967</v>
      </c>
      <c r="L12" s="494" t="s">
        <v>968</v>
      </c>
      <c r="M12" s="494" t="s">
        <v>969</v>
      </c>
      <c r="N12" s="494" t="s">
        <v>949</v>
      </c>
      <c r="O12" s="494" t="s">
        <v>950</v>
      </c>
      <c r="P12" s="494" t="s">
        <v>951</v>
      </c>
      <c r="Q12" s="494" t="s">
        <v>952</v>
      </c>
      <c r="R12" s="494" t="s">
        <v>961</v>
      </c>
      <c r="S12" s="494" t="s">
        <v>953</v>
      </c>
      <c r="T12" s="494" t="s">
        <v>955</v>
      </c>
      <c r="U12" s="494" t="s">
        <v>954</v>
      </c>
      <c r="V12" s="494" t="s">
        <v>956</v>
      </c>
      <c r="W12" s="494" t="s">
        <v>962</v>
      </c>
      <c r="X12" s="494" t="s">
        <v>786</v>
      </c>
      <c r="Y12" s="494" t="s">
        <v>901</v>
      </c>
      <c r="Z12" s="494" t="s">
        <v>902</v>
      </c>
      <c r="AA12" s="494" t="s">
        <v>882</v>
      </c>
      <c r="AB12" s="494" t="s">
        <v>960</v>
      </c>
    </row>
    <row r="13" spans="1:28" x14ac:dyDescent="0.25">
      <c r="A13" s="494" t="s">
        <v>321</v>
      </c>
      <c r="B13" s="494" t="s">
        <v>427</v>
      </c>
      <c r="D13" s="494" t="s">
        <v>431</v>
      </c>
      <c r="G13" s="494" t="s">
        <v>917</v>
      </c>
      <c r="H13" s="494" t="s">
        <v>944</v>
      </c>
      <c r="I13" s="494" t="s">
        <v>966</v>
      </c>
      <c r="J13" s="494" t="s">
        <v>984</v>
      </c>
      <c r="K13" s="494" t="s">
        <v>967</v>
      </c>
      <c r="L13" s="494" t="s">
        <v>968</v>
      </c>
      <c r="M13" s="494" t="s">
        <v>969</v>
      </c>
      <c r="N13" s="494" t="s">
        <v>949</v>
      </c>
      <c r="O13" s="494" t="s">
        <v>950</v>
      </c>
      <c r="P13" s="494" t="s">
        <v>951</v>
      </c>
      <c r="Q13" s="494" t="s">
        <v>952</v>
      </c>
      <c r="R13" s="494" t="s">
        <v>961</v>
      </c>
      <c r="S13" s="494" t="s">
        <v>953</v>
      </c>
      <c r="T13" s="494" t="s">
        <v>955</v>
      </c>
      <c r="U13" s="494" t="s">
        <v>954</v>
      </c>
      <c r="V13" s="494" t="s">
        <v>956</v>
      </c>
      <c r="W13" s="494" t="s">
        <v>962</v>
      </c>
      <c r="X13" s="494" t="s">
        <v>786</v>
      </c>
      <c r="Y13" s="494" t="s">
        <v>901</v>
      </c>
      <c r="Z13" s="494" t="s">
        <v>902</v>
      </c>
      <c r="AA13" s="494" t="s">
        <v>882</v>
      </c>
      <c r="AB13" s="494" t="s">
        <v>960</v>
      </c>
    </row>
    <row r="14" spans="1:28" x14ac:dyDescent="0.25">
      <c r="A14" s="494" t="s">
        <v>324</v>
      </c>
      <c r="B14" s="494" t="s">
        <v>427</v>
      </c>
      <c r="D14" s="494" t="s">
        <v>431</v>
      </c>
      <c r="G14" s="494" t="s">
        <v>918</v>
      </c>
      <c r="H14" s="494" t="s">
        <v>944</v>
      </c>
      <c r="I14" s="494" t="s">
        <v>966</v>
      </c>
      <c r="J14" s="494" t="s">
        <v>984</v>
      </c>
      <c r="K14" s="494" t="s">
        <v>967</v>
      </c>
      <c r="L14" s="494" t="s">
        <v>968</v>
      </c>
      <c r="M14" s="494" t="s">
        <v>969</v>
      </c>
      <c r="N14" s="494" t="s">
        <v>949</v>
      </c>
      <c r="O14" s="494" t="s">
        <v>950</v>
      </c>
      <c r="P14" s="494" t="s">
        <v>951</v>
      </c>
      <c r="Q14" s="494" t="s">
        <v>952</v>
      </c>
      <c r="R14" s="494" t="s">
        <v>961</v>
      </c>
      <c r="S14" s="494" t="s">
        <v>953</v>
      </c>
      <c r="T14" s="494" t="s">
        <v>955</v>
      </c>
      <c r="U14" s="494" t="s">
        <v>954</v>
      </c>
      <c r="V14" s="494" t="s">
        <v>956</v>
      </c>
      <c r="W14" s="494" t="s">
        <v>962</v>
      </c>
      <c r="X14" s="494" t="s">
        <v>786</v>
      </c>
      <c r="Y14" s="494" t="s">
        <v>901</v>
      </c>
      <c r="Z14" s="494" t="s">
        <v>902</v>
      </c>
      <c r="AA14" s="494" t="s">
        <v>882</v>
      </c>
      <c r="AB14" s="494" t="s">
        <v>960</v>
      </c>
    </row>
    <row r="15" spans="1:28" x14ac:dyDescent="0.25">
      <c r="A15" s="494" t="s">
        <v>325</v>
      </c>
      <c r="B15" s="494" t="s">
        <v>427</v>
      </c>
      <c r="D15" s="494" t="s">
        <v>431</v>
      </c>
      <c r="E15" s="494" t="s">
        <v>446</v>
      </c>
      <c r="G15" s="494" t="s">
        <v>919</v>
      </c>
      <c r="H15" s="494" t="s">
        <v>944</v>
      </c>
      <c r="I15" s="494" t="s">
        <v>966</v>
      </c>
      <c r="J15" s="494" t="s">
        <v>984</v>
      </c>
      <c r="K15" s="494" t="s">
        <v>967</v>
      </c>
      <c r="L15" s="494" t="s">
        <v>968</v>
      </c>
      <c r="M15" s="494" t="s">
        <v>969</v>
      </c>
      <c r="N15" s="494" t="s">
        <v>949</v>
      </c>
      <c r="O15" s="494" t="s">
        <v>950</v>
      </c>
      <c r="P15" s="494" t="s">
        <v>951</v>
      </c>
      <c r="Q15" s="494" t="s">
        <v>952</v>
      </c>
      <c r="R15" s="494" t="s">
        <v>961</v>
      </c>
      <c r="S15" s="494" t="s">
        <v>953</v>
      </c>
      <c r="T15" s="494" t="s">
        <v>955</v>
      </c>
      <c r="U15" s="494" t="s">
        <v>954</v>
      </c>
      <c r="V15" s="494" t="s">
        <v>956</v>
      </c>
      <c r="W15" s="494" t="s">
        <v>962</v>
      </c>
      <c r="X15" s="494" t="s">
        <v>786</v>
      </c>
      <c r="Y15" s="494" t="s">
        <v>901</v>
      </c>
      <c r="Z15" s="494" t="s">
        <v>902</v>
      </c>
      <c r="AA15" s="494" t="s">
        <v>882</v>
      </c>
      <c r="AB15" s="494" t="s">
        <v>960</v>
      </c>
    </row>
    <row r="16" spans="1:28" x14ac:dyDescent="0.25">
      <c r="A16" s="494" t="s">
        <v>357</v>
      </c>
      <c r="B16" s="494" t="s">
        <v>427</v>
      </c>
      <c r="D16" s="494" t="s">
        <v>431</v>
      </c>
      <c r="E16" s="494" t="s">
        <v>446</v>
      </c>
      <c r="G16" s="494" t="s">
        <v>920</v>
      </c>
      <c r="H16" s="494" t="s">
        <v>944</v>
      </c>
      <c r="I16" s="494" t="s">
        <v>966</v>
      </c>
      <c r="J16" s="494" t="s">
        <v>984</v>
      </c>
      <c r="K16" s="494" t="s">
        <v>967</v>
      </c>
      <c r="L16" s="494" t="s">
        <v>968</v>
      </c>
      <c r="M16" s="494" t="s">
        <v>969</v>
      </c>
      <c r="N16" s="494" t="s">
        <v>949</v>
      </c>
      <c r="O16" s="494" t="s">
        <v>950</v>
      </c>
      <c r="P16" s="494" t="s">
        <v>951</v>
      </c>
      <c r="Q16" s="494" t="s">
        <v>952</v>
      </c>
      <c r="R16" s="494" t="s">
        <v>961</v>
      </c>
      <c r="S16" s="494" t="s">
        <v>953</v>
      </c>
      <c r="T16" s="494" t="s">
        <v>955</v>
      </c>
      <c r="U16" s="494" t="s">
        <v>954</v>
      </c>
      <c r="V16" s="494" t="s">
        <v>956</v>
      </c>
      <c r="W16" s="494" t="s">
        <v>962</v>
      </c>
      <c r="X16" s="494" t="s">
        <v>786</v>
      </c>
      <c r="Y16" s="494" t="s">
        <v>901</v>
      </c>
      <c r="Z16" s="494" t="s">
        <v>902</v>
      </c>
      <c r="AA16" s="494" t="s">
        <v>882</v>
      </c>
      <c r="AB16" s="494" t="s">
        <v>960</v>
      </c>
    </row>
    <row r="17" spans="1:28" x14ac:dyDescent="0.25">
      <c r="A17" s="494" t="s">
        <v>358</v>
      </c>
      <c r="B17" s="494" t="s">
        <v>427</v>
      </c>
      <c r="D17" s="494" t="s">
        <v>431</v>
      </c>
      <c r="E17" s="494" t="s">
        <v>446</v>
      </c>
      <c r="G17" s="494" t="s">
        <v>921</v>
      </c>
      <c r="H17" s="494" t="s">
        <v>944</v>
      </c>
      <c r="I17" s="494" t="s">
        <v>966</v>
      </c>
      <c r="J17" s="494" t="s">
        <v>984</v>
      </c>
      <c r="K17" s="494" t="s">
        <v>967</v>
      </c>
      <c r="L17" s="494" t="s">
        <v>968</v>
      </c>
      <c r="M17" s="494" t="s">
        <v>969</v>
      </c>
      <c r="N17" s="494" t="s">
        <v>949</v>
      </c>
      <c r="O17" s="494" t="s">
        <v>950</v>
      </c>
      <c r="P17" s="494" t="s">
        <v>951</v>
      </c>
      <c r="Q17" s="494" t="s">
        <v>952</v>
      </c>
      <c r="R17" s="494" t="s">
        <v>961</v>
      </c>
      <c r="S17" s="494" t="s">
        <v>953</v>
      </c>
      <c r="T17" s="494" t="s">
        <v>955</v>
      </c>
      <c r="U17" s="494" t="s">
        <v>954</v>
      </c>
      <c r="V17" s="494" t="s">
        <v>956</v>
      </c>
      <c r="W17" s="494" t="s">
        <v>962</v>
      </c>
      <c r="X17" s="494" t="s">
        <v>786</v>
      </c>
      <c r="Y17" s="494" t="s">
        <v>901</v>
      </c>
      <c r="Z17" s="494" t="s">
        <v>902</v>
      </c>
      <c r="AA17" s="494" t="s">
        <v>882</v>
      </c>
      <c r="AB17" s="494" t="s">
        <v>960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B6F05-E465-4623-838F-3BCCD6F24D5F}">
  <dimension ref="A1:AB17"/>
  <sheetViews>
    <sheetView workbookViewId="0">
      <selection activeCell="A2" sqref="A2:XFD17"/>
    </sheetView>
  </sheetViews>
  <sheetFormatPr defaultRowHeight="15" x14ac:dyDescent="0.25"/>
  <cols>
    <col min="1" max="1" width="15.5703125" style="494" customWidth="1"/>
    <col min="2" max="2" width="25.85546875" style="494" bestFit="1" customWidth="1"/>
    <col min="3" max="3" width="19.28515625" style="494" customWidth="1"/>
    <col min="4" max="4" width="22.5703125" style="494" customWidth="1"/>
    <col min="5" max="5" width="20" style="494" customWidth="1"/>
    <col min="6" max="7" width="17.42578125" style="494" customWidth="1"/>
    <col min="8" max="8" width="18.85546875" style="494" customWidth="1"/>
    <col min="9" max="10" width="19.42578125" style="494" customWidth="1"/>
    <col min="11" max="11" width="18.140625" style="494" customWidth="1"/>
    <col min="12" max="12" width="22.5703125" style="494" customWidth="1"/>
    <col min="13" max="13" width="22.42578125" style="494" customWidth="1"/>
    <col min="14" max="14" width="17.140625" style="494" customWidth="1"/>
    <col min="15" max="15" width="22.7109375" style="494" bestFit="1" customWidth="1"/>
    <col min="16" max="16" width="17.5703125" style="494" customWidth="1"/>
    <col min="17" max="18" width="15.28515625" style="494" customWidth="1"/>
    <col min="19" max="19" width="18.42578125" style="494" customWidth="1"/>
    <col min="20" max="20" width="22.85546875" style="494" bestFit="1" customWidth="1"/>
    <col min="21" max="21" width="18.85546875" style="494" customWidth="1"/>
    <col min="22" max="23" width="16.5703125" style="494" customWidth="1"/>
    <col min="24" max="24" width="17.140625" style="494" customWidth="1"/>
    <col min="25" max="25" width="21.7109375" style="494" bestFit="1" customWidth="1"/>
    <col min="26" max="27" width="15.42578125" style="494" customWidth="1"/>
    <col min="28" max="28" width="13.7109375" style="494" bestFit="1" customWidth="1"/>
    <col min="29" max="16384" width="9.140625" style="494"/>
  </cols>
  <sheetData>
    <row r="1" spans="1:28" x14ac:dyDescent="0.25">
      <c r="A1" s="494" t="s">
        <v>873</v>
      </c>
      <c r="B1" s="494" t="s">
        <v>874</v>
      </c>
      <c r="C1" s="494" t="s">
        <v>875</v>
      </c>
      <c r="D1" s="494" t="s">
        <v>876</v>
      </c>
      <c r="E1" s="494" t="s">
        <v>877</v>
      </c>
      <c r="F1" s="494" t="s">
        <v>878</v>
      </c>
      <c r="G1" s="494" t="s">
        <v>905</v>
      </c>
      <c r="H1" s="494" t="s">
        <v>872</v>
      </c>
      <c r="I1" s="494" t="s">
        <v>978</v>
      </c>
      <c r="J1" s="494" t="s">
        <v>971</v>
      </c>
      <c r="K1" s="494" t="s">
        <v>885</v>
      </c>
      <c r="L1" s="494" t="s">
        <v>884</v>
      </c>
      <c r="M1" s="494" t="s">
        <v>886</v>
      </c>
      <c r="N1" s="494" t="s">
        <v>888</v>
      </c>
      <c r="O1" s="494" t="s">
        <v>889</v>
      </c>
      <c r="P1" s="494" t="s">
        <v>890</v>
      </c>
      <c r="Q1" s="494" t="s">
        <v>891</v>
      </c>
      <c r="R1" s="494" t="s">
        <v>959</v>
      </c>
      <c r="S1" s="494" t="s">
        <v>892</v>
      </c>
      <c r="T1" s="494" t="s">
        <v>893</v>
      </c>
      <c r="U1" s="494" t="s">
        <v>896</v>
      </c>
      <c r="V1" s="494" t="s">
        <v>897</v>
      </c>
      <c r="W1" s="494" t="s">
        <v>958</v>
      </c>
      <c r="X1" s="494" t="s">
        <v>898</v>
      </c>
      <c r="Y1" s="494" t="s">
        <v>900</v>
      </c>
      <c r="Z1" s="494" t="s">
        <v>939</v>
      </c>
      <c r="AA1" s="494" t="s">
        <v>899</v>
      </c>
      <c r="AB1" s="494" t="s">
        <v>957</v>
      </c>
    </row>
    <row r="2" spans="1:28" ht="15" customHeight="1" x14ac:dyDescent="0.25">
      <c r="A2" s="494" t="s">
        <v>343</v>
      </c>
      <c r="C2" s="494" t="s">
        <v>380</v>
      </c>
      <c r="D2" s="494" t="s">
        <v>380</v>
      </c>
      <c r="G2" s="494" t="s">
        <v>906</v>
      </c>
      <c r="H2" s="494" t="s">
        <v>944</v>
      </c>
      <c r="I2" s="494" t="s">
        <v>970</v>
      </c>
      <c r="J2" s="494" t="s">
        <v>972</v>
      </c>
      <c r="K2" s="494" t="s">
        <v>973</v>
      </c>
      <c r="L2" s="494" t="s">
        <v>974</v>
      </c>
      <c r="M2" s="494" t="s">
        <v>975</v>
      </c>
      <c r="N2" s="494" t="s">
        <v>949</v>
      </c>
      <c r="O2" s="494" t="s">
        <v>950</v>
      </c>
      <c r="P2" s="494" t="s">
        <v>951</v>
      </c>
      <c r="Q2" s="494" t="s">
        <v>952</v>
      </c>
      <c r="R2" s="494" t="s">
        <v>961</v>
      </c>
      <c r="S2" s="494" t="s">
        <v>953</v>
      </c>
      <c r="T2" s="494" t="s">
        <v>955</v>
      </c>
      <c r="U2" s="494" t="s">
        <v>954</v>
      </c>
      <c r="V2" s="494" t="s">
        <v>956</v>
      </c>
      <c r="W2" s="494" t="s">
        <v>962</v>
      </c>
      <c r="X2" s="494" t="s">
        <v>786</v>
      </c>
      <c r="Y2" s="494" t="s">
        <v>901</v>
      </c>
      <c r="Z2" s="494" t="s">
        <v>902</v>
      </c>
      <c r="AA2" s="494" t="s">
        <v>882</v>
      </c>
      <c r="AB2" s="494" t="s">
        <v>960</v>
      </c>
    </row>
    <row r="3" spans="1:28" ht="15" customHeight="1" x14ac:dyDescent="0.25">
      <c r="A3" s="494" t="s">
        <v>349</v>
      </c>
      <c r="G3" s="494" t="s">
        <v>907</v>
      </c>
      <c r="H3" s="494" t="s">
        <v>944</v>
      </c>
      <c r="I3" s="494" t="s">
        <v>970</v>
      </c>
      <c r="J3" s="494" t="s">
        <v>972</v>
      </c>
      <c r="K3" s="494" t="s">
        <v>973</v>
      </c>
      <c r="L3" s="494" t="s">
        <v>974</v>
      </c>
      <c r="M3" s="494" t="s">
        <v>975</v>
      </c>
      <c r="N3" s="494" t="s">
        <v>949</v>
      </c>
      <c r="O3" s="494" t="s">
        <v>950</v>
      </c>
      <c r="P3" s="494" t="s">
        <v>951</v>
      </c>
      <c r="Q3" s="494" t="s">
        <v>952</v>
      </c>
      <c r="R3" s="494" t="s">
        <v>961</v>
      </c>
      <c r="S3" s="494" t="s">
        <v>953</v>
      </c>
      <c r="T3" s="494" t="s">
        <v>955</v>
      </c>
      <c r="U3" s="494" t="s">
        <v>954</v>
      </c>
      <c r="V3" s="494" t="s">
        <v>956</v>
      </c>
      <c r="W3" s="494" t="s">
        <v>962</v>
      </c>
      <c r="X3" s="494" t="s">
        <v>786</v>
      </c>
      <c r="Y3" s="494" t="s">
        <v>901</v>
      </c>
      <c r="Z3" s="494" t="s">
        <v>902</v>
      </c>
      <c r="AA3" s="494" t="s">
        <v>882</v>
      </c>
      <c r="AB3" s="494" t="s">
        <v>960</v>
      </c>
    </row>
    <row r="4" spans="1:28" ht="15" customHeight="1" x14ac:dyDescent="0.25">
      <c r="A4" s="494" t="s">
        <v>305</v>
      </c>
      <c r="B4" s="494" t="s">
        <v>432</v>
      </c>
      <c r="F4" s="494" t="s">
        <v>380</v>
      </c>
      <c r="G4" s="494" t="s">
        <v>908</v>
      </c>
      <c r="H4" s="494" t="s">
        <v>944</v>
      </c>
      <c r="I4" s="494" t="s">
        <v>970</v>
      </c>
      <c r="J4" s="494" t="s">
        <v>972</v>
      </c>
      <c r="K4" s="494" t="s">
        <v>973</v>
      </c>
      <c r="L4" s="494" t="s">
        <v>974</v>
      </c>
      <c r="M4" s="494" t="s">
        <v>975</v>
      </c>
      <c r="N4" s="494" t="s">
        <v>949</v>
      </c>
      <c r="O4" s="494" t="s">
        <v>950</v>
      </c>
      <c r="P4" s="494" t="s">
        <v>951</v>
      </c>
      <c r="Q4" s="494" t="s">
        <v>952</v>
      </c>
      <c r="R4" s="494" t="s">
        <v>961</v>
      </c>
      <c r="S4" s="494" t="s">
        <v>953</v>
      </c>
      <c r="T4" s="494" t="s">
        <v>955</v>
      </c>
      <c r="U4" s="494" t="s">
        <v>954</v>
      </c>
      <c r="V4" s="494" t="s">
        <v>956</v>
      </c>
      <c r="W4" s="494" t="s">
        <v>962</v>
      </c>
      <c r="X4" s="494" t="s">
        <v>786</v>
      </c>
      <c r="Y4" s="494" t="s">
        <v>901</v>
      </c>
      <c r="Z4" s="494" t="s">
        <v>902</v>
      </c>
      <c r="AA4" s="494" t="s">
        <v>882</v>
      </c>
      <c r="AB4" s="494" t="s">
        <v>960</v>
      </c>
    </row>
    <row r="5" spans="1:28" ht="15" customHeight="1" x14ac:dyDescent="0.25">
      <c r="A5" s="494" t="s">
        <v>308</v>
      </c>
      <c r="B5" s="494" t="s">
        <v>432</v>
      </c>
      <c r="G5" s="494" t="s">
        <v>909</v>
      </c>
      <c r="H5" s="494" t="s">
        <v>944</v>
      </c>
      <c r="I5" s="494" t="s">
        <v>970</v>
      </c>
      <c r="J5" s="494" t="s">
        <v>972</v>
      </c>
      <c r="K5" s="494" t="s">
        <v>973</v>
      </c>
      <c r="L5" s="494" t="s">
        <v>974</v>
      </c>
      <c r="M5" s="494" t="s">
        <v>975</v>
      </c>
      <c r="N5" s="494" t="s">
        <v>949</v>
      </c>
      <c r="O5" s="494" t="s">
        <v>950</v>
      </c>
      <c r="P5" s="494" t="s">
        <v>951</v>
      </c>
      <c r="Q5" s="494" t="s">
        <v>952</v>
      </c>
      <c r="R5" s="494" t="s">
        <v>961</v>
      </c>
      <c r="S5" s="494" t="s">
        <v>953</v>
      </c>
      <c r="T5" s="494" t="s">
        <v>955</v>
      </c>
      <c r="U5" s="494" t="s">
        <v>954</v>
      </c>
      <c r="V5" s="494" t="s">
        <v>956</v>
      </c>
      <c r="W5" s="494" t="s">
        <v>962</v>
      </c>
      <c r="X5" s="494" t="s">
        <v>786</v>
      </c>
      <c r="Y5" s="494" t="s">
        <v>901</v>
      </c>
      <c r="Z5" s="494" t="s">
        <v>902</v>
      </c>
      <c r="AA5" s="494" t="s">
        <v>882</v>
      </c>
      <c r="AB5" s="494" t="s">
        <v>960</v>
      </c>
    </row>
    <row r="6" spans="1:28" x14ac:dyDescent="0.25">
      <c r="A6" s="494" t="s">
        <v>310</v>
      </c>
      <c r="B6" s="494" t="s">
        <v>432</v>
      </c>
      <c r="C6" s="494" t="s">
        <v>380</v>
      </c>
      <c r="D6" s="494" t="s">
        <v>380</v>
      </c>
      <c r="E6" s="494" t="s">
        <v>435</v>
      </c>
      <c r="G6" s="494" t="s">
        <v>910</v>
      </c>
      <c r="H6" s="494" t="s">
        <v>944</v>
      </c>
      <c r="I6" s="494" t="s">
        <v>970</v>
      </c>
      <c r="J6" s="494" t="s">
        <v>972</v>
      </c>
      <c r="K6" s="494" t="s">
        <v>973</v>
      </c>
      <c r="L6" s="494" t="s">
        <v>974</v>
      </c>
      <c r="M6" s="494" t="s">
        <v>975</v>
      </c>
      <c r="N6" s="494" t="s">
        <v>949</v>
      </c>
      <c r="O6" s="494" t="s">
        <v>950</v>
      </c>
      <c r="P6" s="494" t="s">
        <v>951</v>
      </c>
      <c r="Q6" s="494" t="s">
        <v>952</v>
      </c>
      <c r="R6" s="494" t="s">
        <v>961</v>
      </c>
      <c r="S6" s="494" t="s">
        <v>953</v>
      </c>
      <c r="T6" s="494" t="s">
        <v>955</v>
      </c>
      <c r="U6" s="494" t="s">
        <v>954</v>
      </c>
      <c r="V6" s="494" t="s">
        <v>956</v>
      </c>
      <c r="W6" s="494" t="s">
        <v>962</v>
      </c>
      <c r="X6" s="494" t="s">
        <v>786</v>
      </c>
      <c r="Y6" s="494" t="s">
        <v>901</v>
      </c>
      <c r="Z6" s="494" t="s">
        <v>902</v>
      </c>
      <c r="AA6" s="494" t="s">
        <v>882</v>
      </c>
      <c r="AB6" s="494" t="s">
        <v>960</v>
      </c>
    </row>
    <row r="7" spans="1:28" x14ac:dyDescent="0.25">
      <c r="A7" s="494" t="s">
        <v>312</v>
      </c>
      <c r="B7" s="494" t="s">
        <v>432</v>
      </c>
      <c r="E7" s="494" t="s">
        <v>435</v>
      </c>
      <c r="G7" s="494" t="s">
        <v>911</v>
      </c>
      <c r="H7" s="494" t="s">
        <v>944</v>
      </c>
      <c r="I7" s="494" t="s">
        <v>970</v>
      </c>
      <c r="J7" s="494" t="s">
        <v>972</v>
      </c>
      <c r="K7" s="494" t="s">
        <v>973</v>
      </c>
      <c r="L7" s="494" t="s">
        <v>974</v>
      </c>
      <c r="M7" s="494" t="s">
        <v>975</v>
      </c>
      <c r="N7" s="494" t="s">
        <v>949</v>
      </c>
      <c r="O7" s="494" t="s">
        <v>950</v>
      </c>
      <c r="P7" s="494" t="s">
        <v>951</v>
      </c>
      <c r="Q7" s="494" t="s">
        <v>952</v>
      </c>
      <c r="R7" s="494" t="s">
        <v>961</v>
      </c>
      <c r="S7" s="494" t="s">
        <v>953</v>
      </c>
      <c r="T7" s="494" t="s">
        <v>955</v>
      </c>
      <c r="U7" s="494" t="s">
        <v>954</v>
      </c>
      <c r="V7" s="494" t="s">
        <v>956</v>
      </c>
      <c r="W7" s="494" t="s">
        <v>962</v>
      </c>
      <c r="X7" s="494" t="s">
        <v>786</v>
      </c>
      <c r="Y7" s="494" t="s">
        <v>901</v>
      </c>
      <c r="Z7" s="494" t="s">
        <v>902</v>
      </c>
      <c r="AA7" s="494" t="s">
        <v>882</v>
      </c>
      <c r="AB7" s="494" t="s">
        <v>960</v>
      </c>
    </row>
    <row r="8" spans="1:28" x14ac:dyDescent="0.25">
      <c r="A8" s="494" t="s">
        <v>315</v>
      </c>
      <c r="B8" s="494" t="s">
        <v>432</v>
      </c>
      <c r="E8" s="494" t="s">
        <v>435</v>
      </c>
      <c r="G8" s="494" t="s">
        <v>912</v>
      </c>
      <c r="H8" s="494" t="s">
        <v>944</v>
      </c>
      <c r="I8" s="494" t="s">
        <v>970</v>
      </c>
      <c r="J8" s="494" t="s">
        <v>972</v>
      </c>
      <c r="K8" s="494" t="s">
        <v>973</v>
      </c>
      <c r="L8" s="494" t="s">
        <v>974</v>
      </c>
      <c r="M8" s="494" t="s">
        <v>975</v>
      </c>
      <c r="N8" s="494" t="s">
        <v>949</v>
      </c>
      <c r="O8" s="494" t="s">
        <v>950</v>
      </c>
      <c r="P8" s="494" t="s">
        <v>951</v>
      </c>
      <c r="Q8" s="494" t="s">
        <v>952</v>
      </c>
      <c r="R8" s="494" t="s">
        <v>961</v>
      </c>
      <c r="S8" s="494" t="s">
        <v>953</v>
      </c>
      <c r="T8" s="494" t="s">
        <v>955</v>
      </c>
      <c r="U8" s="494" t="s">
        <v>954</v>
      </c>
      <c r="V8" s="494" t="s">
        <v>956</v>
      </c>
      <c r="W8" s="494" t="s">
        <v>962</v>
      </c>
      <c r="X8" s="494" t="s">
        <v>786</v>
      </c>
      <c r="Y8" s="494" t="s">
        <v>901</v>
      </c>
      <c r="Z8" s="494" t="s">
        <v>902</v>
      </c>
      <c r="AA8" s="494" t="s">
        <v>882</v>
      </c>
      <c r="AB8" s="494" t="s">
        <v>960</v>
      </c>
    </row>
    <row r="9" spans="1:28" x14ac:dyDescent="0.25">
      <c r="A9" s="494" t="s">
        <v>352</v>
      </c>
      <c r="B9" s="494" t="s">
        <v>432</v>
      </c>
      <c r="E9" s="494" t="s">
        <v>435</v>
      </c>
      <c r="G9" s="494" t="s">
        <v>913</v>
      </c>
      <c r="H9" s="494" t="s">
        <v>944</v>
      </c>
      <c r="I9" s="494" t="s">
        <v>970</v>
      </c>
      <c r="J9" s="494" t="s">
        <v>972</v>
      </c>
      <c r="K9" s="494" t="s">
        <v>973</v>
      </c>
      <c r="L9" s="494" t="s">
        <v>974</v>
      </c>
      <c r="M9" s="494" t="s">
        <v>975</v>
      </c>
      <c r="N9" s="494" t="s">
        <v>949</v>
      </c>
      <c r="O9" s="494" t="s">
        <v>950</v>
      </c>
      <c r="P9" s="494" t="s">
        <v>951</v>
      </c>
      <c r="Q9" s="494" t="s">
        <v>952</v>
      </c>
      <c r="R9" s="494" t="s">
        <v>961</v>
      </c>
      <c r="S9" s="494" t="s">
        <v>953</v>
      </c>
      <c r="T9" s="494" t="s">
        <v>955</v>
      </c>
      <c r="U9" s="494" t="s">
        <v>954</v>
      </c>
      <c r="V9" s="494" t="s">
        <v>956</v>
      </c>
      <c r="W9" s="494" t="s">
        <v>962</v>
      </c>
      <c r="X9" s="494" t="s">
        <v>786</v>
      </c>
      <c r="Y9" s="494" t="s">
        <v>901</v>
      </c>
      <c r="Z9" s="494" t="s">
        <v>902</v>
      </c>
      <c r="AA9" s="494" t="s">
        <v>882</v>
      </c>
      <c r="AB9" s="494" t="s">
        <v>960</v>
      </c>
    </row>
    <row r="10" spans="1:28" ht="15" customHeight="1" x14ac:dyDescent="0.25">
      <c r="A10" s="494" t="s">
        <v>353</v>
      </c>
      <c r="B10" s="494" t="s">
        <v>354</v>
      </c>
      <c r="G10" s="494" t="s">
        <v>914</v>
      </c>
      <c r="H10" s="494" t="s">
        <v>944</v>
      </c>
      <c r="I10" s="494" t="s">
        <v>970</v>
      </c>
      <c r="J10" s="494" t="s">
        <v>972</v>
      </c>
      <c r="K10" s="494" t="s">
        <v>973</v>
      </c>
      <c r="L10" s="494" t="s">
        <v>974</v>
      </c>
      <c r="M10" s="494" t="s">
        <v>975</v>
      </c>
      <c r="N10" s="494" t="s">
        <v>949</v>
      </c>
      <c r="O10" s="494" t="s">
        <v>950</v>
      </c>
      <c r="P10" s="494" t="s">
        <v>951</v>
      </c>
      <c r="Q10" s="494" t="s">
        <v>952</v>
      </c>
      <c r="R10" s="494" t="s">
        <v>961</v>
      </c>
      <c r="S10" s="494" t="s">
        <v>953</v>
      </c>
      <c r="T10" s="494" t="s">
        <v>955</v>
      </c>
      <c r="U10" s="494" t="s">
        <v>954</v>
      </c>
      <c r="V10" s="494" t="s">
        <v>956</v>
      </c>
      <c r="W10" s="494" t="s">
        <v>962</v>
      </c>
      <c r="X10" s="494" t="s">
        <v>786</v>
      </c>
      <c r="Y10" s="494" t="s">
        <v>901</v>
      </c>
      <c r="Z10" s="494" t="s">
        <v>902</v>
      </c>
      <c r="AA10" s="494" t="s">
        <v>882</v>
      </c>
      <c r="AB10" s="494" t="s">
        <v>960</v>
      </c>
    </row>
    <row r="11" spans="1:28" ht="15.75" customHeight="1" x14ac:dyDescent="0.25">
      <c r="A11" s="494" t="s">
        <v>355</v>
      </c>
      <c r="G11" s="494" t="s">
        <v>915</v>
      </c>
      <c r="H11" s="494" t="s">
        <v>944</v>
      </c>
      <c r="I11" s="494" t="s">
        <v>970</v>
      </c>
      <c r="J11" s="494" t="s">
        <v>972</v>
      </c>
      <c r="K11" s="494" t="s">
        <v>973</v>
      </c>
      <c r="L11" s="494" t="s">
        <v>974</v>
      </c>
      <c r="M11" s="494" t="s">
        <v>975</v>
      </c>
      <c r="N11" s="494" t="s">
        <v>949</v>
      </c>
      <c r="O11" s="494" t="s">
        <v>950</v>
      </c>
      <c r="P11" s="494" t="s">
        <v>951</v>
      </c>
      <c r="Q11" s="494" t="s">
        <v>952</v>
      </c>
      <c r="R11" s="494" t="s">
        <v>961</v>
      </c>
      <c r="S11" s="494" t="s">
        <v>953</v>
      </c>
      <c r="T11" s="494" t="s">
        <v>955</v>
      </c>
      <c r="U11" s="494" t="s">
        <v>954</v>
      </c>
      <c r="V11" s="494" t="s">
        <v>956</v>
      </c>
      <c r="W11" s="494" t="s">
        <v>962</v>
      </c>
      <c r="X11" s="494" t="s">
        <v>786</v>
      </c>
      <c r="Y11" s="494" t="s">
        <v>901</v>
      </c>
      <c r="Z11" s="494" t="s">
        <v>902</v>
      </c>
      <c r="AA11" s="494" t="s">
        <v>882</v>
      </c>
      <c r="AB11" s="494" t="s">
        <v>960</v>
      </c>
    </row>
    <row r="12" spans="1:28" x14ac:dyDescent="0.25">
      <c r="A12" s="494" t="s">
        <v>318</v>
      </c>
      <c r="C12" s="494" t="s">
        <v>380</v>
      </c>
      <c r="D12" s="494" t="s">
        <v>381</v>
      </c>
      <c r="G12" s="494" t="s">
        <v>916</v>
      </c>
      <c r="H12" s="494" t="s">
        <v>944</v>
      </c>
      <c r="I12" s="494" t="s">
        <v>970</v>
      </c>
      <c r="J12" s="494" t="s">
        <v>972</v>
      </c>
      <c r="K12" s="494" t="s">
        <v>973</v>
      </c>
      <c r="L12" s="494" t="s">
        <v>974</v>
      </c>
      <c r="M12" s="494" t="s">
        <v>975</v>
      </c>
      <c r="N12" s="494" t="s">
        <v>949</v>
      </c>
      <c r="O12" s="494" t="s">
        <v>950</v>
      </c>
      <c r="P12" s="494" t="s">
        <v>951</v>
      </c>
      <c r="Q12" s="494" t="s">
        <v>952</v>
      </c>
      <c r="R12" s="494" t="s">
        <v>961</v>
      </c>
      <c r="S12" s="494" t="s">
        <v>953</v>
      </c>
      <c r="T12" s="494" t="s">
        <v>955</v>
      </c>
      <c r="U12" s="494" t="s">
        <v>954</v>
      </c>
      <c r="V12" s="494" t="s">
        <v>956</v>
      </c>
      <c r="W12" s="494" t="s">
        <v>962</v>
      </c>
      <c r="X12" s="494" t="s">
        <v>786</v>
      </c>
      <c r="Y12" s="494" t="s">
        <v>901</v>
      </c>
      <c r="Z12" s="494" t="s">
        <v>902</v>
      </c>
      <c r="AA12" s="494" t="s">
        <v>882</v>
      </c>
      <c r="AB12" s="494" t="s">
        <v>960</v>
      </c>
    </row>
    <row r="13" spans="1:28" x14ac:dyDescent="0.25">
      <c r="A13" s="494" t="s">
        <v>321</v>
      </c>
      <c r="G13" s="494" t="s">
        <v>917</v>
      </c>
      <c r="H13" s="494" t="s">
        <v>944</v>
      </c>
      <c r="I13" s="494" t="s">
        <v>970</v>
      </c>
      <c r="J13" s="494" t="s">
        <v>972</v>
      </c>
      <c r="K13" s="494" t="s">
        <v>973</v>
      </c>
      <c r="L13" s="494" t="s">
        <v>974</v>
      </c>
      <c r="M13" s="494" t="s">
        <v>975</v>
      </c>
      <c r="N13" s="494" t="s">
        <v>949</v>
      </c>
      <c r="O13" s="494" t="s">
        <v>950</v>
      </c>
      <c r="P13" s="494" t="s">
        <v>951</v>
      </c>
      <c r="Q13" s="494" t="s">
        <v>952</v>
      </c>
      <c r="R13" s="494" t="s">
        <v>961</v>
      </c>
      <c r="S13" s="494" t="s">
        <v>953</v>
      </c>
      <c r="T13" s="494" t="s">
        <v>955</v>
      </c>
      <c r="U13" s="494" t="s">
        <v>954</v>
      </c>
      <c r="V13" s="494" t="s">
        <v>956</v>
      </c>
      <c r="W13" s="494" t="s">
        <v>962</v>
      </c>
      <c r="X13" s="494" t="s">
        <v>786</v>
      </c>
      <c r="Y13" s="494" t="s">
        <v>901</v>
      </c>
      <c r="Z13" s="494" t="s">
        <v>902</v>
      </c>
      <c r="AA13" s="494" t="s">
        <v>882</v>
      </c>
      <c r="AB13" s="494" t="s">
        <v>960</v>
      </c>
    </row>
    <row r="14" spans="1:28" x14ac:dyDescent="0.25">
      <c r="A14" s="494" t="s">
        <v>324</v>
      </c>
      <c r="B14" s="494" t="s">
        <v>380</v>
      </c>
      <c r="G14" s="494" t="s">
        <v>918</v>
      </c>
      <c r="H14" s="494" t="s">
        <v>944</v>
      </c>
      <c r="I14" s="494" t="s">
        <v>970</v>
      </c>
      <c r="J14" s="494" t="s">
        <v>972</v>
      </c>
      <c r="K14" s="494" t="s">
        <v>973</v>
      </c>
      <c r="L14" s="494" t="s">
        <v>974</v>
      </c>
      <c r="M14" s="494" t="s">
        <v>975</v>
      </c>
      <c r="N14" s="494" t="s">
        <v>949</v>
      </c>
      <c r="O14" s="494" t="s">
        <v>950</v>
      </c>
      <c r="P14" s="494" t="s">
        <v>951</v>
      </c>
      <c r="Q14" s="494" t="s">
        <v>952</v>
      </c>
      <c r="R14" s="494" t="s">
        <v>961</v>
      </c>
      <c r="S14" s="494" t="s">
        <v>953</v>
      </c>
      <c r="T14" s="494" t="s">
        <v>955</v>
      </c>
      <c r="U14" s="494" t="s">
        <v>954</v>
      </c>
      <c r="V14" s="494" t="s">
        <v>956</v>
      </c>
      <c r="W14" s="494" t="s">
        <v>962</v>
      </c>
      <c r="X14" s="494" t="s">
        <v>786</v>
      </c>
      <c r="Y14" s="494" t="s">
        <v>901</v>
      </c>
      <c r="Z14" s="494" t="s">
        <v>902</v>
      </c>
      <c r="AA14" s="494" t="s">
        <v>882</v>
      </c>
      <c r="AB14" s="494" t="s">
        <v>960</v>
      </c>
    </row>
    <row r="15" spans="1:28" x14ac:dyDescent="0.25">
      <c r="A15" s="494" t="s">
        <v>325</v>
      </c>
      <c r="C15" s="494" t="s">
        <v>446</v>
      </c>
      <c r="F15" s="494" t="s">
        <v>446</v>
      </c>
      <c r="G15" s="494" t="s">
        <v>919</v>
      </c>
      <c r="H15" s="494" t="s">
        <v>944</v>
      </c>
      <c r="I15" s="494" t="s">
        <v>970</v>
      </c>
      <c r="J15" s="494" t="s">
        <v>972</v>
      </c>
      <c r="K15" s="494" t="s">
        <v>973</v>
      </c>
      <c r="L15" s="494" t="s">
        <v>974</v>
      </c>
      <c r="M15" s="494" t="s">
        <v>975</v>
      </c>
      <c r="N15" s="494" t="s">
        <v>949</v>
      </c>
      <c r="O15" s="494" t="s">
        <v>950</v>
      </c>
      <c r="P15" s="494" t="s">
        <v>951</v>
      </c>
      <c r="Q15" s="494" t="s">
        <v>952</v>
      </c>
      <c r="R15" s="494" t="s">
        <v>961</v>
      </c>
      <c r="S15" s="494" t="s">
        <v>953</v>
      </c>
      <c r="T15" s="494" t="s">
        <v>955</v>
      </c>
      <c r="U15" s="494" t="s">
        <v>954</v>
      </c>
      <c r="V15" s="494" t="s">
        <v>956</v>
      </c>
      <c r="W15" s="494" t="s">
        <v>962</v>
      </c>
      <c r="X15" s="494" t="s">
        <v>786</v>
      </c>
      <c r="Y15" s="494" t="s">
        <v>901</v>
      </c>
      <c r="Z15" s="494" t="s">
        <v>902</v>
      </c>
      <c r="AA15" s="494" t="s">
        <v>882</v>
      </c>
      <c r="AB15" s="494" t="s">
        <v>960</v>
      </c>
    </row>
    <row r="16" spans="1:28" x14ac:dyDescent="0.25">
      <c r="A16" s="494" t="s">
        <v>357</v>
      </c>
      <c r="C16" s="494" t="s">
        <v>446</v>
      </c>
      <c r="E16" s="494" t="s">
        <v>380</v>
      </c>
      <c r="F16" s="494" t="s">
        <v>446</v>
      </c>
      <c r="G16" s="494" t="s">
        <v>920</v>
      </c>
      <c r="H16" s="494" t="s">
        <v>944</v>
      </c>
      <c r="I16" s="494" t="s">
        <v>970</v>
      </c>
      <c r="J16" s="494" t="s">
        <v>972</v>
      </c>
      <c r="K16" s="494" t="s">
        <v>973</v>
      </c>
      <c r="L16" s="494" t="s">
        <v>974</v>
      </c>
      <c r="M16" s="494" t="s">
        <v>975</v>
      </c>
      <c r="N16" s="494" t="s">
        <v>949</v>
      </c>
      <c r="O16" s="494" t="s">
        <v>950</v>
      </c>
      <c r="P16" s="494" t="s">
        <v>951</v>
      </c>
      <c r="Q16" s="494" t="s">
        <v>952</v>
      </c>
      <c r="R16" s="494" t="s">
        <v>961</v>
      </c>
      <c r="S16" s="494" t="s">
        <v>953</v>
      </c>
      <c r="T16" s="494" t="s">
        <v>955</v>
      </c>
      <c r="U16" s="494" t="s">
        <v>954</v>
      </c>
      <c r="V16" s="494" t="s">
        <v>956</v>
      </c>
      <c r="W16" s="494" t="s">
        <v>962</v>
      </c>
      <c r="X16" s="494" t="s">
        <v>786</v>
      </c>
      <c r="Y16" s="494" t="s">
        <v>901</v>
      </c>
      <c r="Z16" s="494" t="s">
        <v>902</v>
      </c>
      <c r="AA16" s="494" t="s">
        <v>882</v>
      </c>
      <c r="AB16" s="494" t="s">
        <v>960</v>
      </c>
    </row>
    <row r="17" spans="1:28" x14ac:dyDescent="0.25">
      <c r="A17" s="494" t="s">
        <v>358</v>
      </c>
      <c r="C17" s="494" t="s">
        <v>446</v>
      </c>
      <c r="F17" s="494" t="s">
        <v>446</v>
      </c>
      <c r="G17" s="494" t="s">
        <v>921</v>
      </c>
      <c r="H17" s="494" t="s">
        <v>944</v>
      </c>
      <c r="I17" s="494" t="s">
        <v>970</v>
      </c>
      <c r="J17" s="494" t="s">
        <v>972</v>
      </c>
      <c r="K17" s="494" t="s">
        <v>973</v>
      </c>
      <c r="L17" s="494" t="s">
        <v>974</v>
      </c>
      <c r="M17" s="494" t="s">
        <v>975</v>
      </c>
      <c r="N17" s="494" t="s">
        <v>949</v>
      </c>
      <c r="O17" s="494" t="s">
        <v>950</v>
      </c>
      <c r="P17" s="494" t="s">
        <v>951</v>
      </c>
      <c r="Q17" s="494" t="s">
        <v>952</v>
      </c>
      <c r="R17" s="494" t="s">
        <v>961</v>
      </c>
      <c r="S17" s="494" t="s">
        <v>953</v>
      </c>
      <c r="T17" s="494" t="s">
        <v>955</v>
      </c>
      <c r="U17" s="494" t="s">
        <v>954</v>
      </c>
      <c r="V17" s="494" t="s">
        <v>956</v>
      </c>
      <c r="W17" s="494" t="s">
        <v>962</v>
      </c>
      <c r="X17" s="494" t="s">
        <v>786</v>
      </c>
      <c r="Y17" s="494" t="s">
        <v>901</v>
      </c>
      <c r="Z17" s="494" t="s">
        <v>902</v>
      </c>
      <c r="AA17" s="494" t="s">
        <v>882</v>
      </c>
      <c r="AB17" s="494" t="s">
        <v>960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68203-DC75-4432-B139-1F479B5FBB2D}">
  <dimension ref="A1:AB17"/>
  <sheetViews>
    <sheetView workbookViewId="0">
      <selection activeCell="A2" sqref="A2:XFD17"/>
    </sheetView>
  </sheetViews>
  <sheetFormatPr defaultRowHeight="15" x14ac:dyDescent="0.25"/>
  <cols>
    <col min="1" max="1" width="15.5703125" style="494" customWidth="1"/>
    <col min="2" max="2" width="25.85546875" style="494" bestFit="1" customWidth="1"/>
    <col min="3" max="3" width="19.28515625" style="494" customWidth="1"/>
    <col min="4" max="4" width="22.5703125" style="494" customWidth="1"/>
    <col min="5" max="5" width="20" style="494" customWidth="1"/>
    <col min="6" max="7" width="17.42578125" style="494" customWidth="1"/>
    <col min="8" max="8" width="18.85546875" style="494" customWidth="1"/>
    <col min="9" max="10" width="19.42578125" style="494" customWidth="1"/>
    <col min="11" max="11" width="18.140625" style="494" customWidth="1"/>
    <col min="12" max="12" width="22.5703125" style="494" customWidth="1"/>
    <col min="13" max="13" width="22.42578125" style="494" customWidth="1"/>
    <col min="14" max="14" width="17.140625" style="494" customWidth="1"/>
    <col min="15" max="15" width="22.7109375" style="494" bestFit="1" customWidth="1"/>
    <col min="16" max="16" width="17.5703125" style="494" customWidth="1"/>
    <col min="17" max="18" width="15.28515625" style="494" customWidth="1"/>
    <col min="19" max="19" width="18.42578125" style="494" customWidth="1"/>
    <col min="20" max="20" width="22.85546875" style="494" bestFit="1" customWidth="1"/>
    <col min="21" max="21" width="18.85546875" style="494" customWidth="1"/>
    <col min="22" max="23" width="16.5703125" style="494" customWidth="1"/>
    <col min="24" max="24" width="17.140625" style="494" customWidth="1"/>
    <col min="25" max="25" width="21.7109375" style="494" bestFit="1" customWidth="1"/>
    <col min="26" max="27" width="15.42578125" style="494" customWidth="1"/>
    <col min="28" max="28" width="13.7109375" style="494" bestFit="1" customWidth="1"/>
    <col min="29" max="16384" width="9.140625" style="494"/>
  </cols>
  <sheetData>
    <row r="1" spans="1:28" x14ac:dyDescent="0.25">
      <c r="A1" s="494" t="s">
        <v>873</v>
      </c>
      <c r="B1" s="494" t="s">
        <v>874</v>
      </c>
      <c r="C1" s="494" t="s">
        <v>875</v>
      </c>
      <c r="D1" s="494" t="s">
        <v>876</v>
      </c>
      <c r="E1" s="494" t="s">
        <v>877</v>
      </c>
      <c r="F1" s="494" t="s">
        <v>878</v>
      </c>
      <c r="G1" s="494" t="s">
        <v>905</v>
      </c>
      <c r="H1" s="494" t="s">
        <v>872</v>
      </c>
      <c r="I1" s="494" t="s">
        <v>978</v>
      </c>
      <c r="J1" s="494" t="s">
        <v>971</v>
      </c>
      <c r="K1" s="494" t="s">
        <v>885</v>
      </c>
      <c r="L1" s="494" t="s">
        <v>884</v>
      </c>
      <c r="M1" s="494" t="s">
        <v>886</v>
      </c>
      <c r="N1" s="494" t="s">
        <v>888</v>
      </c>
      <c r="O1" s="494" t="s">
        <v>889</v>
      </c>
      <c r="P1" s="494" t="s">
        <v>890</v>
      </c>
      <c r="Q1" s="494" t="s">
        <v>891</v>
      </c>
      <c r="R1" s="494" t="s">
        <v>959</v>
      </c>
      <c r="S1" s="494" t="s">
        <v>892</v>
      </c>
      <c r="T1" s="494" t="s">
        <v>893</v>
      </c>
      <c r="U1" s="494" t="s">
        <v>896</v>
      </c>
      <c r="V1" s="494" t="s">
        <v>897</v>
      </c>
      <c r="W1" s="494" t="s">
        <v>958</v>
      </c>
      <c r="X1" s="494" t="s">
        <v>898</v>
      </c>
      <c r="Y1" s="494" t="s">
        <v>900</v>
      </c>
      <c r="Z1" s="494" t="s">
        <v>939</v>
      </c>
      <c r="AA1" s="494" t="s">
        <v>899</v>
      </c>
      <c r="AB1" s="494" t="s">
        <v>957</v>
      </c>
    </row>
    <row r="2" spans="1:28" ht="15" customHeight="1" x14ac:dyDescent="0.25">
      <c r="A2" s="494" t="s">
        <v>343</v>
      </c>
      <c r="B2" s="494" t="s">
        <v>426</v>
      </c>
      <c r="D2" s="494" t="s">
        <v>426</v>
      </c>
      <c r="E2" s="494" t="s">
        <v>427</v>
      </c>
      <c r="G2" s="494" t="s">
        <v>906</v>
      </c>
      <c r="H2" s="494" t="s">
        <v>944</v>
      </c>
      <c r="I2" s="494" t="s">
        <v>985</v>
      </c>
      <c r="J2" s="494" t="s">
        <v>986</v>
      </c>
      <c r="K2" s="494" t="s">
        <v>987</v>
      </c>
      <c r="L2" s="494" t="s">
        <v>988</v>
      </c>
      <c r="M2" s="494" t="s">
        <v>989</v>
      </c>
      <c r="N2" s="494" t="s">
        <v>949</v>
      </c>
      <c r="O2" s="494" t="s">
        <v>950</v>
      </c>
      <c r="P2" s="494" t="s">
        <v>951</v>
      </c>
      <c r="Q2" s="494" t="s">
        <v>952</v>
      </c>
      <c r="R2" s="494" t="s">
        <v>961</v>
      </c>
      <c r="S2" s="494" t="s">
        <v>953</v>
      </c>
      <c r="T2" s="494" t="s">
        <v>955</v>
      </c>
      <c r="U2" s="494" t="s">
        <v>954</v>
      </c>
      <c r="V2" s="494" t="s">
        <v>956</v>
      </c>
      <c r="W2" s="494" t="s">
        <v>962</v>
      </c>
      <c r="X2" s="494" t="s">
        <v>786</v>
      </c>
      <c r="Y2" s="494" t="s">
        <v>901</v>
      </c>
      <c r="Z2" s="494" t="s">
        <v>902</v>
      </c>
      <c r="AA2" s="494" t="s">
        <v>882</v>
      </c>
      <c r="AB2" s="494" t="s">
        <v>960</v>
      </c>
    </row>
    <row r="3" spans="1:28" ht="15" customHeight="1" x14ac:dyDescent="0.25">
      <c r="A3" s="494" t="s">
        <v>349</v>
      </c>
      <c r="B3" s="494" t="s">
        <v>426</v>
      </c>
      <c r="D3" s="494" t="s">
        <v>426</v>
      </c>
      <c r="E3" s="494" t="s">
        <v>427</v>
      </c>
      <c r="F3" s="494" t="s">
        <v>427</v>
      </c>
      <c r="G3" s="494" t="s">
        <v>907</v>
      </c>
      <c r="H3" s="494" t="s">
        <v>944</v>
      </c>
      <c r="I3" s="494" t="s">
        <v>985</v>
      </c>
      <c r="J3" s="494" t="s">
        <v>986</v>
      </c>
      <c r="K3" s="494" t="s">
        <v>987</v>
      </c>
      <c r="L3" s="494" t="s">
        <v>988</v>
      </c>
      <c r="M3" s="494" t="s">
        <v>989</v>
      </c>
      <c r="N3" s="494" t="s">
        <v>949</v>
      </c>
      <c r="O3" s="494" t="s">
        <v>950</v>
      </c>
      <c r="P3" s="494" t="s">
        <v>951</v>
      </c>
      <c r="Q3" s="494" t="s">
        <v>952</v>
      </c>
      <c r="R3" s="494" t="s">
        <v>961</v>
      </c>
      <c r="S3" s="494" t="s">
        <v>953</v>
      </c>
      <c r="T3" s="494" t="s">
        <v>955</v>
      </c>
      <c r="U3" s="494" t="s">
        <v>954</v>
      </c>
      <c r="V3" s="494" t="s">
        <v>956</v>
      </c>
      <c r="W3" s="494" t="s">
        <v>962</v>
      </c>
      <c r="X3" s="494" t="s">
        <v>786</v>
      </c>
      <c r="Y3" s="494" t="s">
        <v>901</v>
      </c>
      <c r="Z3" s="494" t="s">
        <v>902</v>
      </c>
      <c r="AA3" s="494" t="s">
        <v>882</v>
      </c>
      <c r="AB3" s="494" t="s">
        <v>960</v>
      </c>
    </row>
    <row r="4" spans="1:28" ht="15" customHeight="1" x14ac:dyDescent="0.25">
      <c r="A4" s="494" t="s">
        <v>305</v>
      </c>
      <c r="B4" s="494" t="s">
        <v>426</v>
      </c>
      <c r="D4" s="494" t="s">
        <v>426</v>
      </c>
      <c r="E4" s="494" t="s">
        <v>427</v>
      </c>
      <c r="F4" s="494" t="s">
        <v>427</v>
      </c>
      <c r="G4" s="494" t="s">
        <v>908</v>
      </c>
      <c r="H4" s="494" t="s">
        <v>944</v>
      </c>
      <c r="I4" s="494" t="s">
        <v>985</v>
      </c>
      <c r="J4" s="494" t="s">
        <v>986</v>
      </c>
      <c r="K4" s="494" t="s">
        <v>987</v>
      </c>
      <c r="L4" s="494" t="s">
        <v>988</v>
      </c>
      <c r="M4" s="494" t="s">
        <v>989</v>
      </c>
      <c r="N4" s="494" t="s">
        <v>949</v>
      </c>
      <c r="O4" s="494" t="s">
        <v>950</v>
      </c>
      <c r="P4" s="494" t="s">
        <v>951</v>
      </c>
      <c r="Q4" s="494" t="s">
        <v>952</v>
      </c>
      <c r="R4" s="494" t="s">
        <v>961</v>
      </c>
      <c r="S4" s="494" t="s">
        <v>953</v>
      </c>
      <c r="T4" s="494" t="s">
        <v>955</v>
      </c>
      <c r="U4" s="494" t="s">
        <v>954</v>
      </c>
      <c r="V4" s="494" t="s">
        <v>956</v>
      </c>
      <c r="W4" s="494" t="s">
        <v>962</v>
      </c>
      <c r="X4" s="494" t="s">
        <v>786</v>
      </c>
      <c r="Y4" s="494" t="s">
        <v>901</v>
      </c>
      <c r="Z4" s="494" t="s">
        <v>902</v>
      </c>
      <c r="AA4" s="494" t="s">
        <v>882</v>
      </c>
      <c r="AB4" s="494" t="s">
        <v>960</v>
      </c>
    </row>
    <row r="5" spans="1:28" ht="15" customHeight="1" x14ac:dyDescent="0.25">
      <c r="A5" s="494" t="s">
        <v>308</v>
      </c>
      <c r="B5" s="494" t="s">
        <v>426</v>
      </c>
      <c r="D5" s="494" t="s">
        <v>426</v>
      </c>
      <c r="E5" s="494" t="s">
        <v>427</v>
      </c>
      <c r="F5" s="494" t="s">
        <v>427</v>
      </c>
      <c r="G5" s="494" t="s">
        <v>909</v>
      </c>
      <c r="H5" s="494" t="s">
        <v>944</v>
      </c>
      <c r="I5" s="494" t="s">
        <v>985</v>
      </c>
      <c r="J5" s="494" t="s">
        <v>986</v>
      </c>
      <c r="K5" s="494" t="s">
        <v>987</v>
      </c>
      <c r="L5" s="494" t="s">
        <v>988</v>
      </c>
      <c r="M5" s="494" t="s">
        <v>989</v>
      </c>
      <c r="N5" s="494" t="s">
        <v>949</v>
      </c>
      <c r="O5" s="494" t="s">
        <v>950</v>
      </c>
      <c r="P5" s="494" t="s">
        <v>951</v>
      </c>
      <c r="Q5" s="494" t="s">
        <v>952</v>
      </c>
      <c r="R5" s="494" t="s">
        <v>961</v>
      </c>
      <c r="S5" s="494" t="s">
        <v>953</v>
      </c>
      <c r="T5" s="494" t="s">
        <v>955</v>
      </c>
      <c r="U5" s="494" t="s">
        <v>954</v>
      </c>
      <c r="V5" s="494" t="s">
        <v>956</v>
      </c>
      <c r="W5" s="494" t="s">
        <v>962</v>
      </c>
      <c r="X5" s="494" t="s">
        <v>786</v>
      </c>
      <c r="Y5" s="494" t="s">
        <v>901</v>
      </c>
      <c r="Z5" s="494" t="s">
        <v>902</v>
      </c>
      <c r="AA5" s="494" t="s">
        <v>882</v>
      </c>
      <c r="AB5" s="494" t="s">
        <v>960</v>
      </c>
    </row>
    <row r="6" spans="1:28" x14ac:dyDescent="0.25">
      <c r="A6" s="494" t="s">
        <v>310</v>
      </c>
      <c r="B6" s="494" t="s">
        <v>426</v>
      </c>
      <c r="D6" s="494" t="s">
        <v>426</v>
      </c>
      <c r="G6" s="494" t="s">
        <v>910</v>
      </c>
      <c r="H6" s="494" t="s">
        <v>944</v>
      </c>
      <c r="I6" s="494" t="s">
        <v>985</v>
      </c>
      <c r="J6" s="494" t="s">
        <v>986</v>
      </c>
      <c r="K6" s="494" t="s">
        <v>987</v>
      </c>
      <c r="L6" s="494" t="s">
        <v>988</v>
      </c>
      <c r="M6" s="494" t="s">
        <v>989</v>
      </c>
      <c r="N6" s="494" t="s">
        <v>949</v>
      </c>
      <c r="O6" s="494" t="s">
        <v>950</v>
      </c>
      <c r="P6" s="494" t="s">
        <v>951</v>
      </c>
      <c r="Q6" s="494" t="s">
        <v>952</v>
      </c>
      <c r="R6" s="494" t="s">
        <v>961</v>
      </c>
      <c r="S6" s="494" t="s">
        <v>953</v>
      </c>
      <c r="T6" s="494" t="s">
        <v>955</v>
      </c>
      <c r="U6" s="494" t="s">
        <v>954</v>
      </c>
      <c r="V6" s="494" t="s">
        <v>956</v>
      </c>
      <c r="W6" s="494" t="s">
        <v>962</v>
      </c>
      <c r="X6" s="494" t="s">
        <v>786</v>
      </c>
      <c r="Y6" s="494" t="s">
        <v>901</v>
      </c>
      <c r="Z6" s="494" t="s">
        <v>902</v>
      </c>
      <c r="AA6" s="494" t="s">
        <v>882</v>
      </c>
      <c r="AB6" s="494" t="s">
        <v>960</v>
      </c>
    </row>
    <row r="7" spans="1:28" x14ac:dyDescent="0.25">
      <c r="A7" s="494" t="s">
        <v>312</v>
      </c>
      <c r="B7" s="494" t="s">
        <v>426</v>
      </c>
      <c r="D7" s="494" t="s">
        <v>426</v>
      </c>
      <c r="E7" s="494" t="s">
        <v>427</v>
      </c>
      <c r="F7" s="494" t="s">
        <v>427</v>
      </c>
      <c r="G7" s="494" t="s">
        <v>911</v>
      </c>
      <c r="H7" s="494" t="s">
        <v>944</v>
      </c>
      <c r="I7" s="494" t="s">
        <v>985</v>
      </c>
      <c r="J7" s="494" t="s">
        <v>986</v>
      </c>
      <c r="K7" s="494" t="s">
        <v>987</v>
      </c>
      <c r="L7" s="494" t="s">
        <v>988</v>
      </c>
      <c r="M7" s="494" t="s">
        <v>989</v>
      </c>
      <c r="N7" s="494" t="s">
        <v>949</v>
      </c>
      <c r="O7" s="494" t="s">
        <v>950</v>
      </c>
      <c r="P7" s="494" t="s">
        <v>951</v>
      </c>
      <c r="Q7" s="494" t="s">
        <v>952</v>
      </c>
      <c r="R7" s="494" t="s">
        <v>961</v>
      </c>
      <c r="S7" s="494" t="s">
        <v>953</v>
      </c>
      <c r="T7" s="494" t="s">
        <v>955</v>
      </c>
      <c r="U7" s="494" t="s">
        <v>954</v>
      </c>
      <c r="V7" s="494" t="s">
        <v>956</v>
      </c>
      <c r="W7" s="494" t="s">
        <v>962</v>
      </c>
      <c r="X7" s="494" t="s">
        <v>786</v>
      </c>
      <c r="Y7" s="494" t="s">
        <v>901</v>
      </c>
      <c r="Z7" s="494" t="s">
        <v>902</v>
      </c>
      <c r="AA7" s="494" t="s">
        <v>882</v>
      </c>
      <c r="AB7" s="494" t="s">
        <v>960</v>
      </c>
    </row>
    <row r="8" spans="1:28" x14ac:dyDescent="0.25">
      <c r="A8" s="494" t="s">
        <v>315</v>
      </c>
      <c r="E8" s="494" t="s">
        <v>427</v>
      </c>
      <c r="F8" s="494" t="s">
        <v>427</v>
      </c>
      <c r="G8" s="494" t="s">
        <v>912</v>
      </c>
      <c r="H8" s="494" t="s">
        <v>944</v>
      </c>
      <c r="I8" s="494" t="s">
        <v>985</v>
      </c>
      <c r="J8" s="494" t="s">
        <v>986</v>
      </c>
      <c r="K8" s="494" t="s">
        <v>987</v>
      </c>
      <c r="L8" s="494" t="s">
        <v>988</v>
      </c>
      <c r="M8" s="494" t="s">
        <v>989</v>
      </c>
      <c r="N8" s="494" t="s">
        <v>949</v>
      </c>
      <c r="O8" s="494" t="s">
        <v>950</v>
      </c>
      <c r="P8" s="494" t="s">
        <v>951</v>
      </c>
      <c r="Q8" s="494" t="s">
        <v>952</v>
      </c>
      <c r="R8" s="494" t="s">
        <v>961</v>
      </c>
      <c r="S8" s="494" t="s">
        <v>953</v>
      </c>
      <c r="T8" s="494" t="s">
        <v>955</v>
      </c>
      <c r="U8" s="494" t="s">
        <v>954</v>
      </c>
      <c r="V8" s="494" t="s">
        <v>956</v>
      </c>
      <c r="W8" s="494" t="s">
        <v>962</v>
      </c>
      <c r="X8" s="494" t="s">
        <v>786</v>
      </c>
      <c r="Y8" s="494" t="s">
        <v>901</v>
      </c>
      <c r="Z8" s="494" t="s">
        <v>902</v>
      </c>
      <c r="AA8" s="494" t="s">
        <v>882</v>
      </c>
      <c r="AB8" s="494" t="s">
        <v>960</v>
      </c>
    </row>
    <row r="9" spans="1:28" x14ac:dyDescent="0.25">
      <c r="A9" s="494" t="s">
        <v>352</v>
      </c>
      <c r="E9" s="494" t="s">
        <v>427</v>
      </c>
      <c r="F9" s="494" t="s">
        <v>427</v>
      </c>
      <c r="G9" s="494" t="s">
        <v>913</v>
      </c>
      <c r="H9" s="494" t="s">
        <v>944</v>
      </c>
      <c r="I9" s="494" t="s">
        <v>985</v>
      </c>
      <c r="J9" s="494" t="s">
        <v>986</v>
      </c>
      <c r="K9" s="494" t="s">
        <v>987</v>
      </c>
      <c r="L9" s="494" t="s">
        <v>988</v>
      </c>
      <c r="M9" s="494" t="s">
        <v>989</v>
      </c>
      <c r="N9" s="494" t="s">
        <v>949</v>
      </c>
      <c r="O9" s="494" t="s">
        <v>950</v>
      </c>
      <c r="P9" s="494" t="s">
        <v>951</v>
      </c>
      <c r="Q9" s="494" t="s">
        <v>952</v>
      </c>
      <c r="R9" s="494" t="s">
        <v>961</v>
      </c>
      <c r="S9" s="494" t="s">
        <v>953</v>
      </c>
      <c r="T9" s="494" t="s">
        <v>955</v>
      </c>
      <c r="U9" s="494" t="s">
        <v>954</v>
      </c>
      <c r="V9" s="494" t="s">
        <v>956</v>
      </c>
      <c r="W9" s="494" t="s">
        <v>962</v>
      </c>
      <c r="X9" s="494" t="s">
        <v>786</v>
      </c>
      <c r="Y9" s="494" t="s">
        <v>901</v>
      </c>
      <c r="Z9" s="494" t="s">
        <v>902</v>
      </c>
      <c r="AA9" s="494" t="s">
        <v>882</v>
      </c>
      <c r="AB9" s="494" t="s">
        <v>960</v>
      </c>
    </row>
    <row r="10" spans="1:28" ht="15" customHeight="1" x14ac:dyDescent="0.25">
      <c r="A10" s="494" t="s">
        <v>353</v>
      </c>
      <c r="B10" s="494" t="s">
        <v>354</v>
      </c>
      <c r="G10" s="494" t="s">
        <v>914</v>
      </c>
      <c r="H10" s="494" t="s">
        <v>944</v>
      </c>
      <c r="I10" s="494" t="s">
        <v>985</v>
      </c>
      <c r="J10" s="494" t="s">
        <v>986</v>
      </c>
      <c r="K10" s="494" t="s">
        <v>987</v>
      </c>
      <c r="L10" s="494" t="s">
        <v>988</v>
      </c>
      <c r="M10" s="494" t="s">
        <v>989</v>
      </c>
      <c r="N10" s="494" t="s">
        <v>949</v>
      </c>
      <c r="O10" s="494" t="s">
        <v>950</v>
      </c>
      <c r="P10" s="494" t="s">
        <v>951</v>
      </c>
      <c r="Q10" s="494" t="s">
        <v>952</v>
      </c>
      <c r="R10" s="494" t="s">
        <v>961</v>
      </c>
      <c r="S10" s="494" t="s">
        <v>953</v>
      </c>
      <c r="T10" s="494" t="s">
        <v>955</v>
      </c>
      <c r="U10" s="494" t="s">
        <v>954</v>
      </c>
      <c r="V10" s="494" t="s">
        <v>956</v>
      </c>
      <c r="W10" s="494" t="s">
        <v>962</v>
      </c>
      <c r="X10" s="494" t="s">
        <v>786</v>
      </c>
      <c r="Y10" s="494" t="s">
        <v>901</v>
      </c>
      <c r="Z10" s="494" t="s">
        <v>902</v>
      </c>
      <c r="AA10" s="494" t="s">
        <v>882</v>
      </c>
      <c r="AB10" s="494" t="s">
        <v>960</v>
      </c>
    </row>
    <row r="11" spans="1:28" ht="15.75" customHeight="1" x14ac:dyDescent="0.25">
      <c r="A11" s="494" t="s">
        <v>355</v>
      </c>
      <c r="G11" s="494" t="s">
        <v>915</v>
      </c>
      <c r="H11" s="494" t="s">
        <v>944</v>
      </c>
      <c r="I11" s="494" t="s">
        <v>985</v>
      </c>
      <c r="J11" s="494" t="s">
        <v>986</v>
      </c>
      <c r="K11" s="494" t="s">
        <v>987</v>
      </c>
      <c r="L11" s="494" t="s">
        <v>988</v>
      </c>
      <c r="M11" s="494" t="s">
        <v>989</v>
      </c>
      <c r="N11" s="494" t="s">
        <v>949</v>
      </c>
      <c r="O11" s="494" t="s">
        <v>950</v>
      </c>
      <c r="P11" s="494" t="s">
        <v>951</v>
      </c>
      <c r="Q11" s="494" t="s">
        <v>952</v>
      </c>
      <c r="R11" s="494" t="s">
        <v>961</v>
      </c>
      <c r="S11" s="494" t="s">
        <v>953</v>
      </c>
      <c r="T11" s="494" t="s">
        <v>955</v>
      </c>
      <c r="U11" s="494" t="s">
        <v>954</v>
      </c>
      <c r="V11" s="494" t="s">
        <v>956</v>
      </c>
      <c r="W11" s="494" t="s">
        <v>962</v>
      </c>
      <c r="X11" s="494" t="s">
        <v>786</v>
      </c>
      <c r="Y11" s="494" t="s">
        <v>901</v>
      </c>
      <c r="Z11" s="494" t="s">
        <v>902</v>
      </c>
      <c r="AA11" s="494" t="s">
        <v>882</v>
      </c>
      <c r="AB11" s="494" t="s">
        <v>960</v>
      </c>
    </row>
    <row r="12" spans="1:28" x14ac:dyDescent="0.25">
      <c r="A12" s="494" t="s">
        <v>318</v>
      </c>
      <c r="B12" s="494" t="s">
        <v>426</v>
      </c>
      <c r="C12" s="494" t="s">
        <v>442</v>
      </c>
      <c r="D12" s="494" t="s">
        <v>442</v>
      </c>
      <c r="E12" s="494" t="s">
        <v>427</v>
      </c>
      <c r="F12" s="494" t="s">
        <v>427</v>
      </c>
      <c r="G12" s="494" t="s">
        <v>916</v>
      </c>
      <c r="H12" s="494" t="s">
        <v>944</v>
      </c>
      <c r="I12" s="494" t="s">
        <v>985</v>
      </c>
      <c r="J12" s="494" t="s">
        <v>986</v>
      </c>
      <c r="K12" s="494" t="s">
        <v>987</v>
      </c>
      <c r="L12" s="494" t="s">
        <v>988</v>
      </c>
      <c r="M12" s="494" t="s">
        <v>989</v>
      </c>
      <c r="N12" s="494" t="s">
        <v>949</v>
      </c>
      <c r="O12" s="494" t="s">
        <v>950</v>
      </c>
      <c r="P12" s="494" t="s">
        <v>951</v>
      </c>
      <c r="Q12" s="494" t="s">
        <v>952</v>
      </c>
      <c r="R12" s="494" t="s">
        <v>961</v>
      </c>
      <c r="S12" s="494" t="s">
        <v>953</v>
      </c>
      <c r="T12" s="494" t="s">
        <v>955</v>
      </c>
      <c r="U12" s="494" t="s">
        <v>954</v>
      </c>
      <c r="V12" s="494" t="s">
        <v>956</v>
      </c>
      <c r="W12" s="494" t="s">
        <v>962</v>
      </c>
      <c r="X12" s="494" t="s">
        <v>786</v>
      </c>
      <c r="Y12" s="494" t="s">
        <v>901</v>
      </c>
      <c r="Z12" s="494" t="s">
        <v>902</v>
      </c>
      <c r="AA12" s="494" t="s">
        <v>882</v>
      </c>
      <c r="AB12" s="494" t="s">
        <v>960</v>
      </c>
    </row>
    <row r="13" spans="1:28" x14ac:dyDescent="0.25">
      <c r="A13" s="494" t="s">
        <v>321</v>
      </c>
      <c r="B13" s="494" t="s">
        <v>426</v>
      </c>
      <c r="C13" s="494" t="s">
        <v>442</v>
      </c>
      <c r="D13" s="494" t="s">
        <v>442</v>
      </c>
      <c r="E13" s="494" t="s">
        <v>427</v>
      </c>
      <c r="F13" s="494" t="s">
        <v>427</v>
      </c>
      <c r="G13" s="494" t="s">
        <v>917</v>
      </c>
      <c r="H13" s="494" t="s">
        <v>944</v>
      </c>
      <c r="I13" s="494" t="s">
        <v>985</v>
      </c>
      <c r="J13" s="494" t="s">
        <v>986</v>
      </c>
      <c r="K13" s="494" t="s">
        <v>987</v>
      </c>
      <c r="L13" s="494" t="s">
        <v>988</v>
      </c>
      <c r="M13" s="494" t="s">
        <v>989</v>
      </c>
      <c r="N13" s="494" t="s">
        <v>949</v>
      </c>
      <c r="O13" s="494" t="s">
        <v>950</v>
      </c>
      <c r="P13" s="494" t="s">
        <v>951</v>
      </c>
      <c r="Q13" s="494" t="s">
        <v>952</v>
      </c>
      <c r="R13" s="494" t="s">
        <v>961</v>
      </c>
      <c r="S13" s="494" t="s">
        <v>953</v>
      </c>
      <c r="T13" s="494" t="s">
        <v>955</v>
      </c>
      <c r="U13" s="494" t="s">
        <v>954</v>
      </c>
      <c r="V13" s="494" t="s">
        <v>956</v>
      </c>
      <c r="W13" s="494" t="s">
        <v>962</v>
      </c>
      <c r="X13" s="494" t="s">
        <v>786</v>
      </c>
      <c r="Y13" s="494" t="s">
        <v>901</v>
      </c>
      <c r="Z13" s="494" t="s">
        <v>902</v>
      </c>
      <c r="AA13" s="494" t="s">
        <v>882</v>
      </c>
      <c r="AB13" s="494" t="s">
        <v>960</v>
      </c>
    </row>
    <row r="14" spans="1:28" x14ac:dyDescent="0.25">
      <c r="A14" s="494" t="s">
        <v>324</v>
      </c>
      <c r="B14" s="494" t="s">
        <v>426</v>
      </c>
      <c r="E14" s="494" t="s">
        <v>427</v>
      </c>
      <c r="F14" s="494" t="s">
        <v>427</v>
      </c>
      <c r="G14" s="494" t="s">
        <v>918</v>
      </c>
      <c r="H14" s="494" t="s">
        <v>944</v>
      </c>
      <c r="I14" s="494" t="s">
        <v>985</v>
      </c>
      <c r="J14" s="494" t="s">
        <v>986</v>
      </c>
      <c r="K14" s="494" t="s">
        <v>987</v>
      </c>
      <c r="L14" s="494" t="s">
        <v>988</v>
      </c>
      <c r="M14" s="494" t="s">
        <v>989</v>
      </c>
      <c r="N14" s="494" t="s">
        <v>949</v>
      </c>
      <c r="O14" s="494" t="s">
        <v>950</v>
      </c>
      <c r="P14" s="494" t="s">
        <v>951</v>
      </c>
      <c r="Q14" s="494" t="s">
        <v>952</v>
      </c>
      <c r="R14" s="494" t="s">
        <v>961</v>
      </c>
      <c r="S14" s="494" t="s">
        <v>953</v>
      </c>
      <c r="T14" s="494" t="s">
        <v>955</v>
      </c>
      <c r="U14" s="494" t="s">
        <v>954</v>
      </c>
      <c r="V14" s="494" t="s">
        <v>956</v>
      </c>
      <c r="W14" s="494" t="s">
        <v>962</v>
      </c>
      <c r="X14" s="494" t="s">
        <v>786</v>
      </c>
      <c r="Y14" s="494" t="s">
        <v>901</v>
      </c>
      <c r="Z14" s="494" t="s">
        <v>902</v>
      </c>
      <c r="AA14" s="494" t="s">
        <v>882</v>
      </c>
      <c r="AB14" s="494" t="s">
        <v>960</v>
      </c>
    </row>
    <row r="15" spans="1:28" x14ac:dyDescent="0.25">
      <c r="A15" s="494" t="s">
        <v>325</v>
      </c>
      <c r="B15" s="494" t="s">
        <v>426</v>
      </c>
      <c r="E15" s="494" t="s">
        <v>427</v>
      </c>
      <c r="F15" s="494" t="s">
        <v>427</v>
      </c>
      <c r="G15" s="494" t="s">
        <v>919</v>
      </c>
      <c r="H15" s="494" t="s">
        <v>944</v>
      </c>
      <c r="I15" s="494" t="s">
        <v>985</v>
      </c>
      <c r="J15" s="494" t="s">
        <v>986</v>
      </c>
      <c r="K15" s="494" t="s">
        <v>987</v>
      </c>
      <c r="L15" s="494" t="s">
        <v>988</v>
      </c>
      <c r="M15" s="494" t="s">
        <v>989</v>
      </c>
      <c r="N15" s="494" t="s">
        <v>949</v>
      </c>
      <c r="O15" s="494" t="s">
        <v>950</v>
      </c>
      <c r="P15" s="494" t="s">
        <v>951</v>
      </c>
      <c r="Q15" s="494" t="s">
        <v>952</v>
      </c>
      <c r="R15" s="494" t="s">
        <v>961</v>
      </c>
      <c r="S15" s="494" t="s">
        <v>953</v>
      </c>
      <c r="T15" s="494" t="s">
        <v>955</v>
      </c>
      <c r="U15" s="494" t="s">
        <v>954</v>
      </c>
      <c r="V15" s="494" t="s">
        <v>956</v>
      </c>
      <c r="W15" s="494" t="s">
        <v>962</v>
      </c>
      <c r="X15" s="494" t="s">
        <v>786</v>
      </c>
      <c r="Y15" s="494" t="s">
        <v>901</v>
      </c>
      <c r="Z15" s="494" t="s">
        <v>902</v>
      </c>
      <c r="AA15" s="494" t="s">
        <v>882</v>
      </c>
      <c r="AB15" s="494" t="s">
        <v>960</v>
      </c>
    </row>
    <row r="16" spans="1:28" x14ac:dyDescent="0.25">
      <c r="A16" s="494" t="s">
        <v>357</v>
      </c>
      <c r="B16" s="494" t="s">
        <v>426</v>
      </c>
      <c r="E16" s="494" t="s">
        <v>427</v>
      </c>
      <c r="F16" s="494" t="s">
        <v>427</v>
      </c>
      <c r="G16" s="494" t="s">
        <v>920</v>
      </c>
      <c r="H16" s="494" t="s">
        <v>944</v>
      </c>
      <c r="I16" s="494" t="s">
        <v>985</v>
      </c>
      <c r="J16" s="494" t="s">
        <v>986</v>
      </c>
      <c r="K16" s="494" t="s">
        <v>987</v>
      </c>
      <c r="L16" s="494" t="s">
        <v>988</v>
      </c>
      <c r="M16" s="494" t="s">
        <v>989</v>
      </c>
      <c r="N16" s="494" t="s">
        <v>949</v>
      </c>
      <c r="O16" s="494" t="s">
        <v>950</v>
      </c>
      <c r="P16" s="494" t="s">
        <v>951</v>
      </c>
      <c r="Q16" s="494" t="s">
        <v>952</v>
      </c>
      <c r="R16" s="494" t="s">
        <v>961</v>
      </c>
      <c r="S16" s="494" t="s">
        <v>953</v>
      </c>
      <c r="T16" s="494" t="s">
        <v>955</v>
      </c>
      <c r="U16" s="494" t="s">
        <v>954</v>
      </c>
      <c r="V16" s="494" t="s">
        <v>956</v>
      </c>
      <c r="W16" s="494" t="s">
        <v>962</v>
      </c>
      <c r="X16" s="494" t="s">
        <v>786</v>
      </c>
      <c r="Y16" s="494" t="s">
        <v>901</v>
      </c>
      <c r="Z16" s="494" t="s">
        <v>902</v>
      </c>
      <c r="AA16" s="494" t="s">
        <v>882</v>
      </c>
      <c r="AB16" s="494" t="s">
        <v>960</v>
      </c>
    </row>
    <row r="17" spans="1:28" x14ac:dyDescent="0.25">
      <c r="A17" s="494" t="s">
        <v>358</v>
      </c>
      <c r="E17" s="494" t="s">
        <v>427</v>
      </c>
      <c r="F17" s="494" t="s">
        <v>427</v>
      </c>
      <c r="G17" s="494" t="s">
        <v>921</v>
      </c>
      <c r="H17" s="494" t="s">
        <v>944</v>
      </c>
      <c r="I17" s="494" t="s">
        <v>985</v>
      </c>
      <c r="J17" s="494" t="s">
        <v>986</v>
      </c>
      <c r="K17" s="494" t="s">
        <v>987</v>
      </c>
      <c r="L17" s="494" t="s">
        <v>988</v>
      </c>
      <c r="M17" s="494" t="s">
        <v>989</v>
      </c>
      <c r="N17" s="494" t="s">
        <v>949</v>
      </c>
      <c r="O17" s="494" t="s">
        <v>950</v>
      </c>
      <c r="P17" s="494" t="s">
        <v>951</v>
      </c>
      <c r="Q17" s="494" t="s">
        <v>952</v>
      </c>
      <c r="R17" s="494" t="s">
        <v>961</v>
      </c>
      <c r="S17" s="494" t="s">
        <v>953</v>
      </c>
      <c r="T17" s="494" t="s">
        <v>955</v>
      </c>
      <c r="U17" s="494" t="s">
        <v>954</v>
      </c>
      <c r="V17" s="494" t="s">
        <v>956</v>
      </c>
      <c r="W17" s="494" t="s">
        <v>962</v>
      </c>
      <c r="X17" s="494" t="s">
        <v>786</v>
      </c>
      <c r="Y17" s="494" t="s">
        <v>901</v>
      </c>
      <c r="Z17" s="494" t="s">
        <v>902</v>
      </c>
      <c r="AA17" s="494" t="s">
        <v>882</v>
      </c>
      <c r="AB17" s="494" t="s">
        <v>960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29491-453E-4EBF-98AE-47B6D0C9C8F7}">
  <dimension ref="A1:AB17"/>
  <sheetViews>
    <sheetView workbookViewId="0">
      <selection activeCell="A2" sqref="A2:XFD17"/>
    </sheetView>
  </sheetViews>
  <sheetFormatPr defaultRowHeight="15" x14ac:dyDescent="0.25"/>
  <cols>
    <col min="1" max="1" width="15.5703125" style="494" customWidth="1"/>
    <col min="2" max="2" width="25.85546875" style="494" bestFit="1" customWidth="1"/>
    <col min="3" max="3" width="19.28515625" style="494" customWidth="1"/>
    <col min="4" max="4" width="22.5703125" style="494" customWidth="1"/>
    <col min="5" max="5" width="20" style="494" customWidth="1"/>
    <col min="6" max="7" width="17.42578125" style="494" customWidth="1"/>
    <col min="8" max="8" width="18.85546875" style="494" customWidth="1"/>
    <col min="9" max="10" width="19.42578125" style="494" customWidth="1"/>
    <col min="11" max="11" width="18.140625" style="494" customWidth="1"/>
    <col min="12" max="12" width="22.5703125" style="494" customWidth="1"/>
    <col min="13" max="13" width="22.42578125" style="494" customWidth="1"/>
    <col min="14" max="14" width="17.140625" style="494" customWidth="1"/>
    <col min="15" max="15" width="22.7109375" style="494" bestFit="1" customWidth="1"/>
    <col min="16" max="16" width="17.5703125" style="494" customWidth="1"/>
    <col min="17" max="18" width="15.28515625" style="494" customWidth="1"/>
    <col min="19" max="19" width="18.42578125" style="494" customWidth="1"/>
    <col min="20" max="20" width="22.85546875" style="494" bestFit="1" customWidth="1"/>
    <col min="21" max="21" width="18.85546875" style="494" customWidth="1"/>
    <col min="22" max="23" width="16.5703125" style="494" customWidth="1"/>
    <col min="24" max="24" width="17.140625" style="494" customWidth="1"/>
    <col min="25" max="25" width="21.7109375" style="494" bestFit="1" customWidth="1"/>
    <col min="26" max="27" width="15.42578125" style="494" customWidth="1"/>
    <col min="28" max="28" width="13.7109375" style="494" bestFit="1" customWidth="1"/>
    <col min="29" max="16384" width="9.140625" style="494"/>
  </cols>
  <sheetData>
    <row r="1" spans="1:28" x14ac:dyDescent="0.25">
      <c r="A1" s="494" t="s">
        <v>873</v>
      </c>
      <c r="B1" s="494" t="s">
        <v>874</v>
      </c>
      <c r="C1" s="494" t="s">
        <v>875</v>
      </c>
      <c r="D1" s="494" t="s">
        <v>876</v>
      </c>
      <c r="E1" s="494" t="s">
        <v>877</v>
      </c>
      <c r="F1" s="494" t="s">
        <v>878</v>
      </c>
      <c r="G1" s="494" t="s">
        <v>905</v>
      </c>
      <c r="H1" s="494" t="s">
        <v>872</v>
      </c>
      <c r="I1" s="494" t="s">
        <v>978</v>
      </c>
      <c r="J1" s="494" t="s">
        <v>971</v>
      </c>
      <c r="K1" s="494" t="s">
        <v>885</v>
      </c>
      <c r="L1" s="494" t="s">
        <v>884</v>
      </c>
      <c r="M1" s="494" t="s">
        <v>886</v>
      </c>
      <c r="N1" s="494" t="s">
        <v>888</v>
      </c>
      <c r="O1" s="494" t="s">
        <v>889</v>
      </c>
      <c r="P1" s="494" t="s">
        <v>890</v>
      </c>
      <c r="Q1" s="494" t="s">
        <v>891</v>
      </c>
      <c r="R1" s="494" t="s">
        <v>959</v>
      </c>
      <c r="S1" s="494" t="s">
        <v>892</v>
      </c>
      <c r="T1" s="494" t="s">
        <v>893</v>
      </c>
      <c r="U1" s="494" t="s">
        <v>896</v>
      </c>
      <c r="V1" s="494" t="s">
        <v>897</v>
      </c>
      <c r="W1" s="494" t="s">
        <v>958</v>
      </c>
      <c r="X1" s="494" t="s">
        <v>898</v>
      </c>
      <c r="Y1" s="494" t="s">
        <v>900</v>
      </c>
      <c r="Z1" s="494" t="s">
        <v>939</v>
      </c>
      <c r="AA1" s="494" t="s">
        <v>899</v>
      </c>
      <c r="AB1" s="494" t="s">
        <v>957</v>
      </c>
    </row>
    <row r="2" spans="1:28" ht="15" customHeight="1" x14ac:dyDescent="0.25">
      <c r="A2" s="494" t="s">
        <v>343</v>
      </c>
      <c r="D2" s="494" t="s">
        <v>551</v>
      </c>
      <c r="E2" s="494" t="s">
        <v>552</v>
      </c>
      <c r="F2" s="494" t="s">
        <v>552</v>
      </c>
      <c r="G2" s="494" t="s">
        <v>906</v>
      </c>
      <c r="H2" s="494" t="s">
        <v>528</v>
      </c>
      <c r="I2" s="494" t="s">
        <v>990</v>
      </c>
      <c r="J2" s="494" t="s">
        <v>991</v>
      </c>
      <c r="K2" s="494" t="s">
        <v>992</v>
      </c>
      <c r="L2" s="494" t="s">
        <v>993</v>
      </c>
      <c r="M2" s="494" t="s">
        <v>994</v>
      </c>
      <c r="N2" s="494" t="s">
        <v>995</v>
      </c>
      <c r="O2" s="494" t="s">
        <v>996</v>
      </c>
      <c r="P2" s="494" t="s">
        <v>997</v>
      </c>
      <c r="Q2" s="494" t="s">
        <v>998</v>
      </c>
      <c r="R2" s="494" t="s">
        <v>999</v>
      </c>
      <c r="S2" s="494" t="s">
        <v>1000</v>
      </c>
      <c r="T2" s="494" t="s">
        <v>1001</v>
      </c>
      <c r="U2" s="494" t="s">
        <v>938</v>
      </c>
      <c r="X2" s="494" t="s">
        <v>786</v>
      </c>
      <c r="Y2" s="494" t="s">
        <v>901</v>
      </c>
      <c r="Z2" s="494" t="s">
        <v>902</v>
      </c>
      <c r="AA2" s="494" t="s">
        <v>882</v>
      </c>
      <c r="AB2" s="494" t="s">
        <v>960</v>
      </c>
    </row>
    <row r="3" spans="1:28" ht="15" customHeight="1" x14ac:dyDescent="0.25">
      <c r="A3" s="494" t="s">
        <v>349</v>
      </c>
      <c r="D3" s="494" t="s">
        <v>551</v>
      </c>
      <c r="E3" s="494" t="s">
        <v>552</v>
      </c>
      <c r="F3" s="494" t="s">
        <v>552</v>
      </c>
      <c r="G3" s="494" t="s">
        <v>907</v>
      </c>
      <c r="H3" s="494" t="s">
        <v>528</v>
      </c>
      <c r="I3" s="494" t="s">
        <v>990</v>
      </c>
      <c r="J3" s="494" t="s">
        <v>991</v>
      </c>
      <c r="K3" s="494" t="s">
        <v>992</v>
      </c>
      <c r="L3" s="494" t="s">
        <v>993</v>
      </c>
      <c r="M3" s="494" t="s">
        <v>994</v>
      </c>
      <c r="N3" s="494" t="s">
        <v>995</v>
      </c>
      <c r="O3" s="494" t="s">
        <v>996</v>
      </c>
      <c r="P3" s="494" t="s">
        <v>997</v>
      </c>
      <c r="Q3" s="494" t="s">
        <v>998</v>
      </c>
      <c r="R3" s="494" t="s">
        <v>999</v>
      </c>
      <c r="S3" s="494" t="s">
        <v>1000</v>
      </c>
      <c r="T3" s="494" t="s">
        <v>1001</v>
      </c>
      <c r="U3" s="494" t="s">
        <v>938</v>
      </c>
      <c r="X3" s="494" t="s">
        <v>786</v>
      </c>
      <c r="Y3" s="494" t="s">
        <v>901</v>
      </c>
      <c r="Z3" s="494" t="s">
        <v>902</v>
      </c>
      <c r="AA3" s="494" t="s">
        <v>882</v>
      </c>
      <c r="AB3" s="494" t="s">
        <v>960</v>
      </c>
    </row>
    <row r="4" spans="1:28" ht="15" customHeight="1" x14ac:dyDescent="0.25">
      <c r="A4" s="494" t="s">
        <v>305</v>
      </c>
      <c r="D4" s="494" t="s">
        <v>551</v>
      </c>
      <c r="E4" s="494" t="s">
        <v>552</v>
      </c>
      <c r="F4" s="494" t="s">
        <v>552</v>
      </c>
      <c r="G4" s="494" t="s">
        <v>908</v>
      </c>
      <c r="H4" s="494" t="s">
        <v>528</v>
      </c>
      <c r="I4" s="494" t="s">
        <v>990</v>
      </c>
      <c r="J4" s="494" t="s">
        <v>991</v>
      </c>
      <c r="K4" s="494" t="s">
        <v>992</v>
      </c>
      <c r="L4" s="494" t="s">
        <v>993</v>
      </c>
      <c r="M4" s="494" t="s">
        <v>994</v>
      </c>
      <c r="N4" s="494" t="s">
        <v>995</v>
      </c>
      <c r="O4" s="494" t="s">
        <v>996</v>
      </c>
      <c r="P4" s="494" t="s">
        <v>997</v>
      </c>
      <c r="Q4" s="494" t="s">
        <v>998</v>
      </c>
      <c r="R4" s="494" t="s">
        <v>999</v>
      </c>
      <c r="S4" s="494" t="s">
        <v>1000</v>
      </c>
      <c r="T4" s="494" t="s">
        <v>1001</v>
      </c>
      <c r="U4" s="494" t="s">
        <v>938</v>
      </c>
      <c r="X4" s="494" t="s">
        <v>786</v>
      </c>
      <c r="Y4" s="494" t="s">
        <v>901</v>
      </c>
      <c r="Z4" s="494" t="s">
        <v>902</v>
      </c>
      <c r="AA4" s="494" t="s">
        <v>882</v>
      </c>
      <c r="AB4" s="494" t="s">
        <v>960</v>
      </c>
    </row>
    <row r="5" spans="1:28" ht="15" customHeight="1" x14ac:dyDescent="0.25">
      <c r="A5" s="494" t="s">
        <v>308</v>
      </c>
      <c r="D5" s="494" t="s">
        <v>551</v>
      </c>
      <c r="E5" s="494" t="s">
        <v>552</v>
      </c>
      <c r="F5" s="494" t="s">
        <v>552</v>
      </c>
      <c r="G5" s="494" t="s">
        <v>909</v>
      </c>
      <c r="H5" s="494" t="s">
        <v>528</v>
      </c>
      <c r="I5" s="494" t="s">
        <v>990</v>
      </c>
      <c r="J5" s="494" t="s">
        <v>991</v>
      </c>
      <c r="K5" s="494" t="s">
        <v>992</v>
      </c>
      <c r="L5" s="494" t="s">
        <v>993</v>
      </c>
      <c r="M5" s="494" t="s">
        <v>994</v>
      </c>
      <c r="N5" s="494" t="s">
        <v>995</v>
      </c>
      <c r="O5" s="494" t="s">
        <v>996</v>
      </c>
      <c r="P5" s="494" t="s">
        <v>997</v>
      </c>
      <c r="Q5" s="494" t="s">
        <v>998</v>
      </c>
      <c r="R5" s="494" t="s">
        <v>999</v>
      </c>
      <c r="S5" s="494" t="s">
        <v>1000</v>
      </c>
      <c r="T5" s="494" t="s">
        <v>1001</v>
      </c>
      <c r="U5" s="494" t="s">
        <v>938</v>
      </c>
      <c r="X5" s="494" t="s">
        <v>786</v>
      </c>
      <c r="Y5" s="494" t="s">
        <v>901</v>
      </c>
      <c r="Z5" s="494" t="s">
        <v>902</v>
      </c>
      <c r="AA5" s="494" t="s">
        <v>882</v>
      </c>
      <c r="AB5" s="494" t="s">
        <v>960</v>
      </c>
    </row>
    <row r="6" spans="1:28" x14ac:dyDescent="0.25">
      <c r="A6" s="494" t="s">
        <v>310</v>
      </c>
      <c r="B6" s="494" t="s">
        <v>380</v>
      </c>
      <c r="E6" s="494" t="s">
        <v>552</v>
      </c>
      <c r="F6" s="494" t="s">
        <v>552</v>
      </c>
      <c r="G6" s="494" t="s">
        <v>910</v>
      </c>
      <c r="H6" s="494" t="s">
        <v>528</v>
      </c>
      <c r="I6" s="494" t="s">
        <v>990</v>
      </c>
      <c r="J6" s="494" t="s">
        <v>991</v>
      </c>
      <c r="K6" s="494" t="s">
        <v>992</v>
      </c>
      <c r="L6" s="494" t="s">
        <v>993</v>
      </c>
      <c r="M6" s="494" t="s">
        <v>994</v>
      </c>
      <c r="N6" s="494" t="s">
        <v>995</v>
      </c>
      <c r="O6" s="494" t="s">
        <v>996</v>
      </c>
      <c r="P6" s="494" t="s">
        <v>997</v>
      </c>
      <c r="Q6" s="494" t="s">
        <v>998</v>
      </c>
      <c r="R6" s="494" t="s">
        <v>999</v>
      </c>
      <c r="S6" s="494" t="s">
        <v>1000</v>
      </c>
      <c r="T6" s="494" t="s">
        <v>1001</v>
      </c>
      <c r="U6" s="494" t="s">
        <v>938</v>
      </c>
      <c r="X6" s="494" t="s">
        <v>786</v>
      </c>
      <c r="Y6" s="494" t="s">
        <v>901</v>
      </c>
      <c r="Z6" s="494" t="s">
        <v>902</v>
      </c>
      <c r="AA6" s="494" t="s">
        <v>882</v>
      </c>
      <c r="AB6" s="494" t="s">
        <v>960</v>
      </c>
    </row>
    <row r="7" spans="1:28" x14ac:dyDescent="0.25">
      <c r="A7" s="494" t="s">
        <v>312</v>
      </c>
      <c r="E7" s="494" t="s">
        <v>552</v>
      </c>
      <c r="F7" s="494" t="s">
        <v>552</v>
      </c>
      <c r="G7" s="494" t="s">
        <v>911</v>
      </c>
      <c r="H7" s="494" t="s">
        <v>528</v>
      </c>
      <c r="I7" s="494" t="s">
        <v>990</v>
      </c>
      <c r="J7" s="494" t="s">
        <v>991</v>
      </c>
      <c r="K7" s="494" t="s">
        <v>992</v>
      </c>
      <c r="L7" s="494" t="s">
        <v>993</v>
      </c>
      <c r="M7" s="494" t="s">
        <v>994</v>
      </c>
      <c r="N7" s="494" t="s">
        <v>995</v>
      </c>
      <c r="O7" s="494" t="s">
        <v>996</v>
      </c>
      <c r="P7" s="494" t="s">
        <v>997</v>
      </c>
      <c r="Q7" s="494" t="s">
        <v>998</v>
      </c>
      <c r="R7" s="494" t="s">
        <v>999</v>
      </c>
      <c r="S7" s="494" t="s">
        <v>1000</v>
      </c>
      <c r="T7" s="494" t="s">
        <v>1001</v>
      </c>
      <c r="U7" s="494" t="s">
        <v>938</v>
      </c>
      <c r="X7" s="494" t="s">
        <v>786</v>
      </c>
      <c r="Y7" s="494" t="s">
        <v>901</v>
      </c>
      <c r="Z7" s="494" t="s">
        <v>902</v>
      </c>
      <c r="AA7" s="494" t="s">
        <v>882</v>
      </c>
      <c r="AB7" s="494" t="s">
        <v>960</v>
      </c>
    </row>
    <row r="8" spans="1:28" x14ac:dyDescent="0.25">
      <c r="A8" s="494" t="s">
        <v>315</v>
      </c>
      <c r="B8" s="494" t="s">
        <v>380</v>
      </c>
      <c r="E8" s="494" t="s">
        <v>552</v>
      </c>
      <c r="F8" s="494" t="s">
        <v>552</v>
      </c>
      <c r="G8" s="494" t="s">
        <v>912</v>
      </c>
      <c r="H8" s="494" t="s">
        <v>528</v>
      </c>
      <c r="I8" s="494" t="s">
        <v>990</v>
      </c>
      <c r="J8" s="494" t="s">
        <v>991</v>
      </c>
      <c r="K8" s="494" t="s">
        <v>992</v>
      </c>
      <c r="L8" s="494" t="s">
        <v>993</v>
      </c>
      <c r="M8" s="494" t="s">
        <v>994</v>
      </c>
      <c r="N8" s="494" t="s">
        <v>995</v>
      </c>
      <c r="O8" s="494" t="s">
        <v>996</v>
      </c>
      <c r="P8" s="494" t="s">
        <v>997</v>
      </c>
      <c r="Q8" s="494" t="s">
        <v>998</v>
      </c>
      <c r="R8" s="494" t="s">
        <v>999</v>
      </c>
      <c r="S8" s="494" t="s">
        <v>1000</v>
      </c>
      <c r="T8" s="494" t="s">
        <v>1001</v>
      </c>
      <c r="U8" s="494" t="s">
        <v>938</v>
      </c>
      <c r="X8" s="494" t="s">
        <v>786</v>
      </c>
      <c r="Y8" s="494" t="s">
        <v>901</v>
      </c>
      <c r="Z8" s="494" t="s">
        <v>902</v>
      </c>
      <c r="AA8" s="494" t="s">
        <v>882</v>
      </c>
      <c r="AB8" s="494" t="s">
        <v>960</v>
      </c>
    </row>
    <row r="9" spans="1:28" x14ac:dyDescent="0.25">
      <c r="A9" s="494" t="s">
        <v>352</v>
      </c>
      <c r="E9" s="494" t="s">
        <v>552</v>
      </c>
      <c r="F9" s="494" t="s">
        <v>552</v>
      </c>
      <c r="G9" s="494" t="s">
        <v>913</v>
      </c>
      <c r="H9" s="494" t="s">
        <v>528</v>
      </c>
      <c r="I9" s="494" t="s">
        <v>990</v>
      </c>
      <c r="J9" s="494" t="s">
        <v>991</v>
      </c>
      <c r="K9" s="494" t="s">
        <v>992</v>
      </c>
      <c r="L9" s="494" t="s">
        <v>993</v>
      </c>
      <c r="M9" s="494" t="s">
        <v>994</v>
      </c>
      <c r="N9" s="494" t="s">
        <v>995</v>
      </c>
      <c r="O9" s="494" t="s">
        <v>996</v>
      </c>
      <c r="P9" s="494" t="s">
        <v>997</v>
      </c>
      <c r="Q9" s="494" t="s">
        <v>998</v>
      </c>
      <c r="R9" s="494" t="s">
        <v>999</v>
      </c>
      <c r="S9" s="494" t="s">
        <v>1000</v>
      </c>
      <c r="T9" s="494" t="s">
        <v>1001</v>
      </c>
      <c r="U9" s="494" t="s">
        <v>938</v>
      </c>
      <c r="X9" s="494" t="s">
        <v>786</v>
      </c>
      <c r="Y9" s="494" t="s">
        <v>901</v>
      </c>
      <c r="Z9" s="494" t="s">
        <v>902</v>
      </c>
      <c r="AA9" s="494" t="s">
        <v>882</v>
      </c>
      <c r="AB9" s="494" t="s">
        <v>960</v>
      </c>
    </row>
    <row r="10" spans="1:28" ht="15" customHeight="1" x14ac:dyDescent="0.25">
      <c r="A10" s="494" t="s">
        <v>353</v>
      </c>
      <c r="B10" s="494" t="s">
        <v>354</v>
      </c>
      <c r="G10" s="494" t="s">
        <v>914</v>
      </c>
      <c r="H10" s="494" t="s">
        <v>528</v>
      </c>
      <c r="I10" s="494" t="s">
        <v>990</v>
      </c>
      <c r="J10" s="494" t="s">
        <v>991</v>
      </c>
      <c r="K10" s="494" t="s">
        <v>992</v>
      </c>
      <c r="L10" s="494" t="s">
        <v>993</v>
      </c>
      <c r="M10" s="494" t="s">
        <v>994</v>
      </c>
      <c r="N10" s="494" t="s">
        <v>995</v>
      </c>
      <c r="O10" s="494" t="s">
        <v>996</v>
      </c>
      <c r="P10" s="494" t="s">
        <v>997</v>
      </c>
      <c r="Q10" s="494" t="s">
        <v>998</v>
      </c>
      <c r="R10" s="494" t="s">
        <v>999</v>
      </c>
      <c r="S10" s="494" t="s">
        <v>1000</v>
      </c>
      <c r="T10" s="494" t="s">
        <v>1001</v>
      </c>
      <c r="U10" s="494" t="s">
        <v>938</v>
      </c>
      <c r="X10" s="494" t="s">
        <v>786</v>
      </c>
      <c r="Y10" s="494" t="s">
        <v>901</v>
      </c>
      <c r="Z10" s="494" t="s">
        <v>902</v>
      </c>
      <c r="AA10" s="494" t="s">
        <v>882</v>
      </c>
      <c r="AB10" s="494" t="s">
        <v>960</v>
      </c>
    </row>
    <row r="11" spans="1:28" ht="15.75" customHeight="1" x14ac:dyDescent="0.25">
      <c r="A11" s="494" t="s">
        <v>355</v>
      </c>
      <c r="G11" s="494" t="s">
        <v>915</v>
      </c>
      <c r="H11" s="494" t="s">
        <v>528</v>
      </c>
      <c r="I11" s="494" t="s">
        <v>990</v>
      </c>
      <c r="J11" s="494" t="s">
        <v>991</v>
      </c>
      <c r="K11" s="494" t="s">
        <v>992</v>
      </c>
      <c r="L11" s="494" t="s">
        <v>993</v>
      </c>
      <c r="M11" s="494" t="s">
        <v>994</v>
      </c>
      <c r="N11" s="494" t="s">
        <v>995</v>
      </c>
      <c r="O11" s="494" t="s">
        <v>996</v>
      </c>
      <c r="P11" s="494" t="s">
        <v>997</v>
      </c>
      <c r="Q11" s="494" t="s">
        <v>998</v>
      </c>
      <c r="R11" s="494" t="s">
        <v>999</v>
      </c>
      <c r="S11" s="494" t="s">
        <v>1000</v>
      </c>
      <c r="T11" s="494" t="s">
        <v>1001</v>
      </c>
      <c r="U11" s="494" t="s">
        <v>938</v>
      </c>
      <c r="X11" s="494" t="s">
        <v>786</v>
      </c>
      <c r="Y11" s="494" t="s">
        <v>901</v>
      </c>
      <c r="Z11" s="494" t="s">
        <v>902</v>
      </c>
      <c r="AA11" s="494" t="s">
        <v>882</v>
      </c>
      <c r="AB11" s="494" t="s">
        <v>960</v>
      </c>
    </row>
    <row r="12" spans="1:28" x14ac:dyDescent="0.25">
      <c r="A12" s="494" t="s">
        <v>318</v>
      </c>
      <c r="C12" s="494" t="s">
        <v>551</v>
      </c>
      <c r="D12" s="494" t="s">
        <v>551</v>
      </c>
      <c r="F12" s="494" t="s">
        <v>552</v>
      </c>
      <c r="G12" s="494" t="s">
        <v>916</v>
      </c>
      <c r="H12" s="494" t="s">
        <v>528</v>
      </c>
      <c r="I12" s="494" t="s">
        <v>990</v>
      </c>
      <c r="J12" s="494" t="s">
        <v>991</v>
      </c>
      <c r="K12" s="494" t="s">
        <v>992</v>
      </c>
      <c r="L12" s="494" t="s">
        <v>993</v>
      </c>
      <c r="M12" s="494" t="s">
        <v>994</v>
      </c>
      <c r="N12" s="494" t="s">
        <v>995</v>
      </c>
      <c r="O12" s="494" t="s">
        <v>996</v>
      </c>
      <c r="P12" s="494" t="s">
        <v>997</v>
      </c>
      <c r="Q12" s="494" t="s">
        <v>998</v>
      </c>
      <c r="R12" s="494" t="s">
        <v>999</v>
      </c>
      <c r="S12" s="494" t="s">
        <v>1000</v>
      </c>
      <c r="T12" s="494" t="s">
        <v>1001</v>
      </c>
      <c r="U12" s="494" t="s">
        <v>938</v>
      </c>
      <c r="X12" s="494" t="s">
        <v>786</v>
      </c>
      <c r="Y12" s="494" t="s">
        <v>901</v>
      </c>
      <c r="Z12" s="494" t="s">
        <v>902</v>
      </c>
      <c r="AA12" s="494" t="s">
        <v>882</v>
      </c>
      <c r="AB12" s="494" t="s">
        <v>960</v>
      </c>
    </row>
    <row r="13" spans="1:28" x14ac:dyDescent="0.25">
      <c r="A13" s="494" t="s">
        <v>321</v>
      </c>
      <c r="C13" s="494" t="s">
        <v>551</v>
      </c>
      <c r="D13" s="494" t="s">
        <v>551</v>
      </c>
      <c r="F13" s="494" t="s">
        <v>552</v>
      </c>
      <c r="G13" s="494" t="s">
        <v>917</v>
      </c>
      <c r="H13" s="494" t="s">
        <v>528</v>
      </c>
      <c r="I13" s="494" t="s">
        <v>990</v>
      </c>
      <c r="J13" s="494" t="s">
        <v>991</v>
      </c>
      <c r="K13" s="494" t="s">
        <v>992</v>
      </c>
      <c r="L13" s="494" t="s">
        <v>993</v>
      </c>
      <c r="M13" s="494" t="s">
        <v>994</v>
      </c>
      <c r="N13" s="494" t="s">
        <v>995</v>
      </c>
      <c r="O13" s="494" t="s">
        <v>996</v>
      </c>
      <c r="P13" s="494" t="s">
        <v>997</v>
      </c>
      <c r="Q13" s="494" t="s">
        <v>998</v>
      </c>
      <c r="R13" s="494" t="s">
        <v>999</v>
      </c>
      <c r="S13" s="494" t="s">
        <v>1000</v>
      </c>
      <c r="T13" s="494" t="s">
        <v>1001</v>
      </c>
      <c r="U13" s="494" t="s">
        <v>938</v>
      </c>
      <c r="X13" s="494" t="s">
        <v>786</v>
      </c>
      <c r="Y13" s="494" t="s">
        <v>901</v>
      </c>
      <c r="Z13" s="494" t="s">
        <v>902</v>
      </c>
      <c r="AA13" s="494" t="s">
        <v>882</v>
      </c>
      <c r="AB13" s="494" t="s">
        <v>960</v>
      </c>
    </row>
    <row r="14" spans="1:28" x14ac:dyDescent="0.25">
      <c r="A14" s="494" t="s">
        <v>324</v>
      </c>
      <c r="C14" s="494" t="s">
        <v>551</v>
      </c>
      <c r="D14" s="494" t="s">
        <v>551</v>
      </c>
      <c r="F14" s="494" t="s">
        <v>552</v>
      </c>
      <c r="G14" s="494" t="s">
        <v>918</v>
      </c>
      <c r="H14" s="494" t="s">
        <v>528</v>
      </c>
      <c r="I14" s="494" t="s">
        <v>990</v>
      </c>
      <c r="J14" s="494" t="s">
        <v>991</v>
      </c>
      <c r="K14" s="494" t="s">
        <v>992</v>
      </c>
      <c r="L14" s="494" t="s">
        <v>993</v>
      </c>
      <c r="M14" s="494" t="s">
        <v>994</v>
      </c>
      <c r="N14" s="494" t="s">
        <v>995</v>
      </c>
      <c r="O14" s="494" t="s">
        <v>996</v>
      </c>
      <c r="P14" s="494" t="s">
        <v>997</v>
      </c>
      <c r="Q14" s="494" t="s">
        <v>998</v>
      </c>
      <c r="R14" s="494" t="s">
        <v>999</v>
      </c>
      <c r="S14" s="494" t="s">
        <v>1000</v>
      </c>
      <c r="T14" s="494" t="s">
        <v>1001</v>
      </c>
      <c r="U14" s="494" t="s">
        <v>938</v>
      </c>
      <c r="X14" s="494" t="s">
        <v>786</v>
      </c>
      <c r="Y14" s="494" t="s">
        <v>901</v>
      </c>
      <c r="Z14" s="494" t="s">
        <v>902</v>
      </c>
      <c r="AA14" s="494" t="s">
        <v>882</v>
      </c>
      <c r="AB14" s="494" t="s">
        <v>960</v>
      </c>
    </row>
    <row r="15" spans="1:28" x14ac:dyDescent="0.25">
      <c r="A15" s="494" t="s">
        <v>325</v>
      </c>
      <c r="C15" s="494" t="s">
        <v>551</v>
      </c>
      <c r="D15" s="494" t="s">
        <v>551</v>
      </c>
      <c r="F15" s="494" t="s">
        <v>552</v>
      </c>
      <c r="G15" s="494" t="s">
        <v>919</v>
      </c>
      <c r="H15" s="494" t="s">
        <v>528</v>
      </c>
      <c r="I15" s="494" t="s">
        <v>990</v>
      </c>
      <c r="J15" s="494" t="s">
        <v>991</v>
      </c>
      <c r="K15" s="494" t="s">
        <v>992</v>
      </c>
      <c r="L15" s="494" t="s">
        <v>993</v>
      </c>
      <c r="M15" s="494" t="s">
        <v>994</v>
      </c>
      <c r="N15" s="494" t="s">
        <v>995</v>
      </c>
      <c r="O15" s="494" t="s">
        <v>996</v>
      </c>
      <c r="P15" s="494" t="s">
        <v>997</v>
      </c>
      <c r="Q15" s="494" t="s">
        <v>998</v>
      </c>
      <c r="R15" s="494" t="s">
        <v>999</v>
      </c>
      <c r="S15" s="494" t="s">
        <v>1000</v>
      </c>
      <c r="T15" s="494" t="s">
        <v>1001</v>
      </c>
      <c r="U15" s="494" t="s">
        <v>938</v>
      </c>
      <c r="X15" s="494" t="s">
        <v>786</v>
      </c>
      <c r="Y15" s="494" t="s">
        <v>901</v>
      </c>
      <c r="Z15" s="494" t="s">
        <v>902</v>
      </c>
      <c r="AA15" s="494" t="s">
        <v>882</v>
      </c>
      <c r="AB15" s="494" t="s">
        <v>960</v>
      </c>
    </row>
    <row r="16" spans="1:28" x14ac:dyDescent="0.25">
      <c r="A16" s="494" t="s">
        <v>357</v>
      </c>
      <c r="C16" s="494" t="s">
        <v>551</v>
      </c>
      <c r="D16" s="494" t="s">
        <v>551</v>
      </c>
      <c r="F16" s="494" t="s">
        <v>552</v>
      </c>
      <c r="G16" s="494" t="s">
        <v>920</v>
      </c>
      <c r="H16" s="494" t="s">
        <v>528</v>
      </c>
      <c r="I16" s="494" t="s">
        <v>990</v>
      </c>
      <c r="J16" s="494" t="s">
        <v>991</v>
      </c>
      <c r="K16" s="494" t="s">
        <v>992</v>
      </c>
      <c r="L16" s="494" t="s">
        <v>993</v>
      </c>
      <c r="M16" s="494" t="s">
        <v>994</v>
      </c>
      <c r="N16" s="494" t="s">
        <v>995</v>
      </c>
      <c r="O16" s="494" t="s">
        <v>996</v>
      </c>
      <c r="P16" s="494" t="s">
        <v>997</v>
      </c>
      <c r="Q16" s="494" t="s">
        <v>998</v>
      </c>
      <c r="R16" s="494" t="s">
        <v>999</v>
      </c>
      <c r="S16" s="494" t="s">
        <v>1000</v>
      </c>
      <c r="T16" s="494" t="s">
        <v>1001</v>
      </c>
      <c r="U16" s="494" t="s">
        <v>938</v>
      </c>
      <c r="X16" s="494" t="s">
        <v>786</v>
      </c>
      <c r="Y16" s="494" t="s">
        <v>901</v>
      </c>
      <c r="Z16" s="494" t="s">
        <v>902</v>
      </c>
      <c r="AA16" s="494" t="s">
        <v>882</v>
      </c>
      <c r="AB16" s="494" t="s">
        <v>960</v>
      </c>
    </row>
    <row r="17" spans="1:28" x14ac:dyDescent="0.25">
      <c r="A17" s="494" t="s">
        <v>358</v>
      </c>
      <c r="G17" s="494" t="s">
        <v>921</v>
      </c>
      <c r="H17" s="494" t="s">
        <v>528</v>
      </c>
      <c r="I17" s="494" t="s">
        <v>990</v>
      </c>
      <c r="J17" s="494" t="s">
        <v>991</v>
      </c>
      <c r="K17" s="494" t="s">
        <v>992</v>
      </c>
      <c r="L17" s="494" t="s">
        <v>993</v>
      </c>
      <c r="M17" s="494" t="s">
        <v>994</v>
      </c>
      <c r="N17" s="494" t="s">
        <v>995</v>
      </c>
      <c r="O17" s="494" t="s">
        <v>996</v>
      </c>
      <c r="P17" s="494" t="s">
        <v>997</v>
      </c>
      <c r="Q17" s="494" t="s">
        <v>998</v>
      </c>
      <c r="R17" s="494" t="s">
        <v>999</v>
      </c>
      <c r="S17" s="494" t="s">
        <v>1000</v>
      </c>
      <c r="T17" s="494" t="s">
        <v>1001</v>
      </c>
      <c r="U17" s="494" t="s">
        <v>938</v>
      </c>
      <c r="X17" s="494" t="s">
        <v>786</v>
      </c>
      <c r="Y17" s="494" t="s">
        <v>901</v>
      </c>
      <c r="Z17" s="494" t="s">
        <v>902</v>
      </c>
      <c r="AA17" s="494" t="s">
        <v>882</v>
      </c>
      <c r="AB17" s="494" t="s">
        <v>960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3CDF1-A92F-43EA-837B-63DB60148797}">
  <dimension ref="A1:AB17"/>
  <sheetViews>
    <sheetView workbookViewId="0">
      <selection activeCell="A2" sqref="A2:XFD17"/>
    </sheetView>
  </sheetViews>
  <sheetFormatPr defaultRowHeight="15" x14ac:dyDescent="0.25"/>
  <cols>
    <col min="1" max="1" width="15.5703125" style="494" customWidth="1"/>
    <col min="2" max="2" width="25.85546875" style="494" bestFit="1" customWidth="1"/>
    <col min="3" max="3" width="19.28515625" style="494" customWidth="1"/>
    <col min="4" max="4" width="22.5703125" style="494" customWidth="1"/>
    <col min="5" max="5" width="20" style="494" customWidth="1"/>
    <col min="6" max="7" width="17.42578125" style="494" customWidth="1"/>
    <col min="8" max="8" width="18.85546875" style="494" customWidth="1"/>
    <col min="9" max="10" width="19.42578125" style="494" customWidth="1"/>
    <col min="11" max="11" width="18.140625" style="494" customWidth="1"/>
    <col min="12" max="12" width="22.5703125" style="494" customWidth="1"/>
    <col min="13" max="13" width="22.42578125" style="494" customWidth="1"/>
    <col min="14" max="14" width="17.140625" style="494" customWidth="1"/>
    <col min="15" max="15" width="22.7109375" style="494" bestFit="1" customWidth="1"/>
    <col min="16" max="16" width="17.5703125" style="494" customWidth="1"/>
    <col min="17" max="18" width="15.28515625" style="494" customWidth="1"/>
    <col min="19" max="19" width="18.42578125" style="494" customWidth="1"/>
    <col min="20" max="20" width="22.85546875" style="494" bestFit="1" customWidth="1"/>
    <col min="21" max="21" width="18.85546875" style="494" customWidth="1"/>
    <col min="22" max="23" width="16.5703125" style="494" customWidth="1"/>
    <col min="24" max="24" width="17.140625" style="494" customWidth="1"/>
    <col min="25" max="25" width="21.7109375" style="494" bestFit="1" customWidth="1"/>
    <col min="26" max="27" width="15.42578125" style="494" customWidth="1"/>
    <col min="28" max="28" width="13.7109375" style="494" bestFit="1" customWidth="1"/>
    <col min="29" max="16384" width="9.140625" style="494"/>
  </cols>
  <sheetData>
    <row r="1" spans="1:28" x14ac:dyDescent="0.25">
      <c r="A1" s="494" t="s">
        <v>873</v>
      </c>
      <c r="B1" s="494" t="s">
        <v>874</v>
      </c>
      <c r="C1" s="494" t="s">
        <v>875</v>
      </c>
      <c r="D1" s="494" t="s">
        <v>876</v>
      </c>
      <c r="E1" s="494" t="s">
        <v>877</v>
      </c>
      <c r="F1" s="494" t="s">
        <v>878</v>
      </c>
      <c r="G1" s="494" t="s">
        <v>905</v>
      </c>
      <c r="H1" s="494" t="s">
        <v>872</v>
      </c>
      <c r="I1" s="494" t="s">
        <v>978</v>
      </c>
      <c r="J1" s="494" t="s">
        <v>971</v>
      </c>
      <c r="K1" s="494" t="s">
        <v>885</v>
      </c>
      <c r="L1" s="494" t="s">
        <v>884</v>
      </c>
      <c r="M1" s="494" t="s">
        <v>886</v>
      </c>
      <c r="N1" s="494" t="s">
        <v>888</v>
      </c>
      <c r="O1" s="494" t="s">
        <v>889</v>
      </c>
      <c r="P1" s="494" t="s">
        <v>890</v>
      </c>
      <c r="Q1" s="494" t="s">
        <v>891</v>
      </c>
      <c r="R1" s="494" t="s">
        <v>959</v>
      </c>
      <c r="S1" s="494" t="s">
        <v>892</v>
      </c>
      <c r="T1" s="494" t="s">
        <v>893</v>
      </c>
      <c r="U1" s="494" t="s">
        <v>896</v>
      </c>
      <c r="V1" s="494" t="s">
        <v>897</v>
      </c>
      <c r="W1" s="494" t="s">
        <v>958</v>
      </c>
      <c r="X1" s="494" t="s">
        <v>898</v>
      </c>
      <c r="Y1" s="494" t="s">
        <v>900</v>
      </c>
      <c r="Z1" s="494" t="s">
        <v>939</v>
      </c>
      <c r="AA1" s="494" t="s">
        <v>899</v>
      </c>
      <c r="AB1" s="494" t="s">
        <v>957</v>
      </c>
    </row>
    <row r="2" spans="1:28" ht="15" customHeight="1" x14ac:dyDescent="0.25">
      <c r="A2" s="494" t="s">
        <v>343</v>
      </c>
      <c r="C2" s="494" t="s">
        <v>380</v>
      </c>
      <c r="E2" s="494" t="s">
        <v>380</v>
      </c>
      <c r="F2" s="494" t="s">
        <v>553</v>
      </c>
      <c r="G2" s="494" t="s">
        <v>906</v>
      </c>
      <c r="H2" s="494" t="s">
        <v>528</v>
      </c>
      <c r="I2" s="494" t="s">
        <v>1002</v>
      </c>
      <c r="J2" s="494" t="s">
        <v>979</v>
      </c>
      <c r="K2" s="494" t="s">
        <v>1003</v>
      </c>
      <c r="L2" s="494" t="s">
        <v>1004</v>
      </c>
      <c r="M2" s="494" t="s">
        <v>1005</v>
      </c>
      <c r="N2" s="494" t="s">
        <v>995</v>
      </c>
      <c r="O2" s="494" t="s">
        <v>996</v>
      </c>
      <c r="P2" s="494" t="s">
        <v>997</v>
      </c>
      <c r="Q2" s="494" t="s">
        <v>998</v>
      </c>
      <c r="R2" s="494" t="s">
        <v>999</v>
      </c>
      <c r="S2" s="494" t="s">
        <v>1000</v>
      </c>
      <c r="T2" s="494" t="s">
        <v>1001</v>
      </c>
      <c r="U2" s="494" t="s">
        <v>938</v>
      </c>
      <c r="X2" s="494" t="s">
        <v>786</v>
      </c>
      <c r="Y2" s="494" t="s">
        <v>901</v>
      </c>
      <c r="Z2" s="494" t="s">
        <v>902</v>
      </c>
      <c r="AA2" s="494" t="s">
        <v>882</v>
      </c>
      <c r="AB2" s="494" t="s">
        <v>960</v>
      </c>
    </row>
    <row r="3" spans="1:28" ht="15" customHeight="1" x14ac:dyDescent="0.25">
      <c r="A3" s="494" t="s">
        <v>349</v>
      </c>
      <c r="F3" s="494" t="s">
        <v>553</v>
      </c>
      <c r="G3" s="494" t="s">
        <v>907</v>
      </c>
      <c r="H3" s="494" t="s">
        <v>528</v>
      </c>
      <c r="I3" s="494" t="s">
        <v>1002</v>
      </c>
      <c r="J3" s="494" t="s">
        <v>979</v>
      </c>
      <c r="K3" s="494" t="s">
        <v>1003</v>
      </c>
      <c r="L3" s="494" t="s">
        <v>1004</v>
      </c>
      <c r="M3" s="494" t="s">
        <v>1005</v>
      </c>
      <c r="N3" s="494" t="s">
        <v>995</v>
      </c>
      <c r="O3" s="494" t="s">
        <v>996</v>
      </c>
      <c r="P3" s="494" t="s">
        <v>997</v>
      </c>
      <c r="Q3" s="494" t="s">
        <v>998</v>
      </c>
      <c r="R3" s="494" t="s">
        <v>999</v>
      </c>
      <c r="S3" s="494" t="s">
        <v>1000</v>
      </c>
      <c r="T3" s="494" t="s">
        <v>1001</v>
      </c>
      <c r="U3" s="494" t="s">
        <v>938</v>
      </c>
      <c r="X3" s="494" t="s">
        <v>786</v>
      </c>
      <c r="Y3" s="494" t="s">
        <v>901</v>
      </c>
      <c r="Z3" s="494" t="s">
        <v>902</v>
      </c>
      <c r="AA3" s="494" t="s">
        <v>882</v>
      </c>
      <c r="AB3" s="494" t="s">
        <v>960</v>
      </c>
    </row>
    <row r="4" spans="1:28" ht="15" customHeight="1" x14ac:dyDescent="0.25">
      <c r="A4" s="494" t="s">
        <v>305</v>
      </c>
      <c r="B4" s="494" t="s">
        <v>557</v>
      </c>
      <c r="D4" s="494" t="s">
        <v>380</v>
      </c>
      <c r="F4" s="494" t="s">
        <v>553</v>
      </c>
      <c r="G4" s="494" t="s">
        <v>908</v>
      </c>
      <c r="H4" s="494" t="s">
        <v>528</v>
      </c>
      <c r="I4" s="494" t="s">
        <v>1002</v>
      </c>
      <c r="J4" s="494" t="s">
        <v>979</v>
      </c>
      <c r="K4" s="494" t="s">
        <v>1003</v>
      </c>
      <c r="L4" s="494" t="s">
        <v>1004</v>
      </c>
      <c r="M4" s="494" t="s">
        <v>1005</v>
      </c>
      <c r="N4" s="494" t="s">
        <v>995</v>
      </c>
      <c r="O4" s="494" t="s">
        <v>996</v>
      </c>
      <c r="P4" s="494" t="s">
        <v>997</v>
      </c>
      <c r="Q4" s="494" t="s">
        <v>998</v>
      </c>
      <c r="R4" s="494" t="s">
        <v>999</v>
      </c>
      <c r="S4" s="494" t="s">
        <v>1000</v>
      </c>
      <c r="T4" s="494" t="s">
        <v>1001</v>
      </c>
      <c r="U4" s="494" t="s">
        <v>938</v>
      </c>
      <c r="X4" s="494" t="s">
        <v>786</v>
      </c>
      <c r="Y4" s="494" t="s">
        <v>901</v>
      </c>
      <c r="Z4" s="494" t="s">
        <v>902</v>
      </c>
      <c r="AA4" s="494" t="s">
        <v>882</v>
      </c>
      <c r="AB4" s="494" t="s">
        <v>960</v>
      </c>
    </row>
    <row r="5" spans="1:28" ht="15" customHeight="1" x14ac:dyDescent="0.25">
      <c r="A5" s="494" t="s">
        <v>308</v>
      </c>
      <c r="B5" s="494" t="s">
        <v>557</v>
      </c>
      <c r="F5" s="494" t="s">
        <v>553</v>
      </c>
      <c r="G5" s="494" t="s">
        <v>909</v>
      </c>
      <c r="H5" s="494" t="s">
        <v>528</v>
      </c>
      <c r="I5" s="494" t="s">
        <v>1002</v>
      </c>
      <c r="J5" s="494" t="s">
        <v>979</v>
      </c>
      <c r="K5" s="494" t="s">
        <v>1003</v>
      </c>
      <c r="L5" s="494" t="s">
        <v>1004</v>
      </c>
      <c r="M5" s="494" t="s">
        <v>1005</v>
      </c>
      <c r="N5" s="494" t="s">
        <v>995</v>
      </c>
      <c r="O5" s="494" t="s">
        <v>996</v>
      </c>
      <c r="P5" s="494" t="s">
        <v>997</v>
      </c>
      <c r="Q5" s="494" t="s">
        <v>998</v>
      </c>
      <c r="R5" s="494" t="s">
        <v>999</v>
      </c>
      <c r="S5" s="494" t="s">
        <v>1000</v>
      </c>
      <c r="T5" s="494" t="s">
        <v>1001</v>
      </c>
      <c r="U5" s="494" t="s">
        <v>938</v>
      </c>
      <c r="X5" s="494" t="s">
        <v>786</v>
      </c>
      <c r="Y5" s="494" t="s">
        <v>901</v>
      </c>
      <c r="Z5" s="494" t="s">
        <v>902</v>
      </c>
      <c r="AA5" s="494" t="s">
        <v>882</v>
      </c>
      <c r="AB5" s="494" t="s">
        <v>960</v>
      </c>
    </row>
    <row r="6" spans="1:28" x14ac:dyDescent="0.25">
      <c r="A6" s="494" t="s">
        <v>310</v>
      </c>
      <c r="B6" s="494" t="s">
        <v>560</v>
      </c>
      <c r="C6" s="494" t="s">
        <v>380</v>
      </c>
      <c r="E6" s="494" t="s">
        <v>553</v>
      </c>
      <c r="G6" s="494" t="s">
        <v>910</v>
      </c>
      <c r="H6" s="494" t="s">
        <v>528</v>
      </c>
      <c r="I6" s="494" t="s">
        <v>1002</v>
      </c>
      <c r="J6" s="494" t="s">
        <v>979</v>
      </c>
      <c r="K6" s="494" t="s">
        <v>1003</v>
      </c>
      <c r="L6" s="494" t="s">
        <v>1004</v>
      </c>
      <c r="M6" s="494" t="s">
        <v>1005</v>
      </c>
      <c r="N6" s="494" t="s">
        <v>995</v>
      </c>
      <c r="O6" s="494" t="s">
        <v>996</v>
      </c>
      <c r="P6" s="494" t="s">
        <v>997</v>
      </c>
      <c r="Q6" s="494" t="s">
        <v>998</v>
      </c>
      <c r="R6" s="494" t="s">
        <v>999</v>
      </c>
      <c r="S6" s="494" t="s">
        <v>1000</v>
      </c>
      <c r="T6" s="494" t="s">
        <v>1001</v>
      </c>
      <c r="U6" s="494" t="s">
        <v>938</v>
      </c>
      <c r="X6" s="494" t="s">
        <v>786</v>
      </c>
      <c r="Y6" s="494" t="s">
        <v>901</v>
      </c>
      <c r="Z6" s="494" t="s">
        <v>902</v>
      </c>
      <c r="AA6" s="494" t="s">
        <v>882</v>
      </c>
      <c r="AB6" s="494" t="s">
        <v>960</v>
      </c>
    </row>
    <row r="7" spans="1:28" x14ac:dyDescent="0.25">
      <c r="A7" s="494" t="s">
        <v>312</v>
      </c>
      <c r="B7" s="494" t="s">
        <v>562</v>
      </c>
      <c r="E7" s="494" t="s">
        <v>553</v>
      </c>
      <c r="G7" s="494" t="s">
        <v>911</v>
      </c>
      <c r="H7" s="494" t="s">
        <v>528</v>
      </c>
      <c r="I7" s="494" t="s">
        <v>1002</v>
      </c>
      <c r="J7" s="494" t="s">
        <v>979</v>
      </c>
      <c r="K7" s="494" t="s">
        <v>1003</v>
      </c>
      <c r="L7" s="494" t="s">
        <v>1004</v>
      </c>
      <c r="M7" s="494" t="s">
        <v>1005</v>
      </c>
      <c r="N7" s="494" t="s">
        <v>995</v>
      </c>
      <c r="O7" s="494" t="s">
        <v>996</v>
      </c>
      <c r="P7" s="494" t="s">
        <v>997</v>
      </c>
      <c r="Q7" s="494" t="s">
        <v>998</v>
      </c>
      <c r="R7" s="494" t="s">
        <v>999</v>
      </c>
      <c r="S7" s="494" t="s">
        <v>1000</v>
      </c>
      <c r="T7" s="494" t="s">
        <v>1001</v>
      </c>
      <c r="U7" s="494" t="s">
        <v>938</v>
      </c>
      <c r="X7" s="494" t="s">
        <v>786</v>
      </c>
      <c r="Y7" s="494" t="s">
        <v>901</v>
      </c>
      <c r="Z7" s="494" t="s">
        <v>902</v>
      </c>
      <c r="AA7" s="494" t="s">
        <v>882</v>
      </c>
      <c r="AB7" s="494" t="s">
        <v>960</v>
      </c>
    </row>
    <row r="8" spans="1:28" x14ac:dyDescent="0.25">
      <c r="A8" s="494" t="s">
        <v>315</v>
      </c>
      <c r="B8" s="494" t="s">
        <v>557</v>
      </c>
      <c r="F8" s="494" t="s">
        <v>553</v>
      </c>
      <c r="G8" s="494" t="s">
        <v>912</v>
      </c>
      <c r="H8" s="494" t="s">
        <v>528</v>
      </c>
      <c r="I8" s="494" t="s">
        <v>1002</v>
      </c>
      <c r="J8" s="494" t="s">
        <v>979</v>
      </c>
      <c r="K8" s="494" t="s">
        <v>1003</v>
      </c>
      <c r="L8" s="494" t="s">
        <v>1004</v>
      </c>
      <c r="M8" s="494" t="s">
        <v>1005</v>
      </c>
      <c r="N8" s="494" t="s">
        <v>995</v>
      </c>
      <c r="O8" s="494" t="s">
        <v>996</v>
      </c>
      <c r="P8" s="494" t="s">
        <v>997</v>
      </c>
      <c r="Q8" s="494" t="s">
        <v>998</v>
      </c>
      <c r="R8" s="494" t="s">
        <v>999</v>
      </c>
      <c r="S8" s="494" t="s">
        <v>1000</v>
      </c>
      <c r="T8" s="494" t="s">
        <v>1001</v>
      </c>
      <c r="U8" s="494" t="s">
        <v>938</v>
      </c>
      <c r="X8" s="494" t="s">
        <v>786</v>
      </c>
      <c r="Y8" s="494" t="s">
        <v>901</v>
      </c>
      <c r="Z8" s="494" t="s">
        <v>902</v>
      </c>
      <c r="AA8" s="494" t="s">
        <v>882</v>
      </c>
      <c r="AB8" s="494" t="s">
        <v>960</v>
      </c>
    </row>
    <row r="9" spans="1:28" x14ac:dyDescent="0.25">
      <c r="A9" s="494" t="s">
        <v>352</v>
      </c>
      <c r="B9" s="494" t="s">
        <v>557</v>
      </c>
      <c r="F9" s="494" t="s">
        <v>553</v>
      </c>
      <c r="G9" s="494" t="s">
        <v>913</v>
      </c>
      <c r="H9" s="494" t="s">
        <v>528</v>
      </c>
      <c r="I9" s="494" t="s">
        <v>1002</v>
      </c>
      <c r="J9" s="494" t="s">
        <v>979</v>
      </c>
      <c r="K9" s="494" t="s">
        <v>1003</v>
      </c>
      <c r="L9" s="494" t="s">
        <v>1004</v>
      </c>
      <c r="M9" s="494" t="s">
        <v>1005</v>
      </c>
      <c r="N9" s="494" t="s">
        <v>995</v>
      </c>
      <c r="O9" s="494" t="s">
        <v>996</v>
      </c>
      <c r="P9" s="494" t="s">
        <v>997</v>
      </c>
      <c r="Q9" s="494" t="s">
        <v>998</v>
      </c>
      <c r="R9" s="494" t="s">
        <v>999</v>
      </c>
      <c r="S9" s="494" t="s">
        <v>1000</v>
      </c>
      <c r="T9" s="494" t="s">
        <v>1001</v>
      </c>
      <c r="U9" s="494" t="s">
        <v>938</v>
      </c>
      <c r="X9" s="494" t="s">
        <v>786</v>
      </c>
      <c r="Y9" s="494" t="s">
        <v>901</v>
      </c>
      <c r="Z9" s="494" t="s">
        <v>902</v>
      </c>
      <c r="AA9" s="494" t="s">
        <v>882</v>
      </c>
      <c r="AB9" s="494" t="s">
        <v>960</v>
      </c>
    </row>
    <row r="10" spans="1:28" ht="15" customHeight="1" x14ac:dyDescent="0.25">
      <c r="A10" s="494" t="s">
        <v>353</v>
      </c>
      <c r="B10" s="494" t="s">
        <v>354</v>
      </c>
      <c r="G10" s="494" t="s">
        <v>914</v>
      </c>
      <c r="H10" s="494" t="s">
        <v>528</v>
      </c>
      <c r="I10" s="494" t="s">
        <v>1002</v>
      </c>
      <c r="J10" s="494" t="s">
        <v>979</v>
      </c>
      <c r="K10" s="494" t="s">
        <v>1003</v>
      </c>
      <c r="L10" s="494" t="s">
        <v>1004</v>
      </c>
      <c r="M10" s="494" t="s">
        <v>1005</v>
      </c>
      <c r="N10" s="494" t="s">
        <v>995</v>
      </c>
      <c r="O10" s="494" t="s">
        <v>996</v>
      </c>
      <c r="P10" s="494" t="s">
        <v>997</v>
      </c>
      <c r="Q10" s="494" t="s">
        <v>998</v>
      </c>
      <c r="R10" s="494" t="s">
        <v>999</v>
      </c>
      <c r="S10" s="494" t="s">
        <v>1000</v>
      </c>
      <c r="T10" s="494" t="s">
        <v>1001</v>
      </c>
      <c r="U10" s="494" t="s">
        <v>938</v>
      </c>
      <c r="X10" s="494" t="s">
        <v>786</v>
      </c>
      <c r="Y10" s="494" t="s">
        <v>901</v>
      </c>
      <c r="Z10" s="494" t="s">
        <v>902</v>
      </c>
      <c r="AA10" s="494" t="s">
        <v>882</v>
      </c>
      <c r="AB10" s="494" t="s">
        <v>960</v>
      </c>
    </row>
    <row r="11" spans="1:28" ht="15.75" customHeight="1" x14ac:dyDescent="0.25">
      <c r="A11" s="494" t="s">
        <v>355</v>
      </c>
      <c r="G11" s="494" t="s">
        <v>915</v>
      </c>
      <c r="H11" s="494" t="s">
        <v>528</v>
      </c>
      <c r="I11" s="494" t="s">
        <v>1002</v>
      </c>
      <c r="J11" s="494" t="s">
        <v>979</v>
      </c>
      <c r="K11" s="494" t="s">
        <v>1003</v>
      </c>
      <c r="L11" s="494" t="s">
        <v>1004</v>
      </c>
      <c r="M11" s="494" t="s">
        <v>1005</v>
      </c>
      <c r="N11" s="494" t="s">
        <v>995</v>
      </c>
      <c r="O11" s="494" t="s">
        <v>996</v>
      </c>
      <c r="P11" s="494" t="s">
        <v>997</v>
      </c>
      <c r="Q11" s="494" t="s">
        <v>998</v>
      </c>
      <c r="R11" s="494" t="s">
        <v>999</v>
      </c>
      <c r="S11" s="494" t="s">
        <v>1000</v>
      </c>
      <c r="T11" s="494" t="s">
        <v>1001</v>
      </c>
      <c r="U11" s="494" t="s">
        <v>938</v>
      </c>
      <c r="X11" s="494" t="s">
        <v>786</v>
      </c>
      <c r="Y11" s="494" t="s">
        <v>901</v>
      </c>
      <c r="Z11" s="494" t="s">
        <v>902</v>
      </c>
      <c r="AA11" s="494" t="s">
        <v>882</v>
      </c>
      <c r="AB11" s="494" t="s">
        <v>960</v>
      </c>
    </row>
    <row r="12" spans="1:28" x14ac:dyDescent="0.25">
      <c r="A12" s="494" t="s">
        <v>318</v>
      </c>
      <c r="B12" s="494" t="s">
        <v>557</v>
      </c>
      <c r="C12" s="494" t="s">
        <v>380</v>
      </c>
      <c r="D12" s="494" t="s">
        <v>557</v>
      </c>
      <c r="F12" s="494" t="s">
        <v>553</v>
      </c>
      <c r="G12" s="494" t="s">
        <v>916</v>
      </c>
      <c r="H12" s="494" t="s">
        <v>528</v>
      </c>
      <c r="I12" s="494" t="s">
        <v>1002</v>
      </c>
      <c r="J12" s="494" t="s">
        <v>979</v>
      </c>
      <c r="K12" s="494" t="s">
        <v>1003</v>
      </c>
      <c r="L12" s="494" t="s">
        <v>1004</v>
      </c>
      <c r="M12" s="494" t="s">
        <v>1005</v>
      </c>
      <c r="N12" s="494" t="s">
        <v>995</v>
      </c>
      <c r="O12" s="494" t="s">
        <v>996</v>
      </c>
      <c r="P12" s="494" t="s">
        <v>997</v>
      </c>
      <c r="Q12" s="494" t="s">
        <v>998</v>
      </c>
      <c r="R12" s="494" t="s">
        <v>999</v>
      </c>
      <c r="S12" s="494" t="s">
        <v>1000</v>
      </c>
      <c r="T12" s="494" t="s">
        <v>1001</v>
      </c>
      <c r="U12" s="494" t="s">
        <v>938</v>
      </c>
      <c r="X12" s="494" t="s">
        <v>786</v>
      </c>
      <c r="Y12" s="494" t="s">
        <v>901</v>
      </c>
      <c r="Z12" s="494" t="s">
        <v>902</v>
      </c>
      <c r="AA12" s="494" t="s">
        <v>882</v>
      </c>
      <c r="AB12" s="494" t="s">
        <v>960</v>
      </c>
    </row>
    <row r="13" spans="1:28" x14ac:dyDescent="0.25">
      <c r="A13" s="494" t="s">
        <v>321</v>
      </c>
      <c r="B13" s="494" t="s">
        <v>557</v>
      </c>
      <c r="D13" s="494" t="s">
        <v>557</v>
      </c>
      <c r="F13" s="494" t="s">
        <v>553</v>
      </c>
      <c r="G13" s="494" t="s">
        <v>917</v>
      </c>
      <c r="H13" s="494" t="s">
        <v>528</v>
      </c>
      <c r="I13" s="494" t="s">
        <v>1002</v>
      </c>
      <c r="J13" s="494" t="s">
        <v>979</v>
      </c>
      <c r="K13" s="494" t="s">
        <v>1003</v>
      </c>
      <c r="L13" s="494" t="s">
        <v>1004</v>
      </c>
      <c r="M13" s="494" t="s">
        <v>1005</v>
      </c>
      <c r="N13" s="494" t="s">
        <v>995</v>
      </c>
      <c r="O13" s="494" t="s">
        <v>996</v>
      </c>
      <c r="P13" s="494" t="s">
        <v>997</v>
      </c>
      <c r="Q13" s="494" t="s">
        <v>998</v>
      </c>
      <c r="R13" s="494" t="s">
        <v>999</v>
      </c>
      <c r="S13" s="494" t="s">
        <v>1000</v>
      </c>
      <c r="T13" s="494" t="s">
        <v>1001</v>
      </c>
      <c r="U13" s="494" t="s">
        <v>938</v>
      </c>
      <c r="X13" s="494" t="s">
        <v>786</v>
      </c>
      <c r="Y13" s="494" t="s">
        <v>901</v>
      </c>
      <c r="Z13" s="494" t="s">
        <v>902</v>
      </c>
      <c r="AA13" s="494" t="s">
        <v>882</v>
      </c>
      <c r="AB13" s="494" t="s">
        <v>960</v>
      </c>
    </row>
    <row r="14" spans="1:28" x14ac:dyDescent="0.25">
      <c r="A14" s="494" t="s">
        <v>324</v>
      </c>
      <c r="B14" s="494" t="s">
        <v>557</v>
      </c>
      <c r="D14" s="494" t="s">
        <v>557</v>
      </c>
      <c r="F14" s="494" t="s">
        <v>553</v>
      </c>
      <c r="G14" s="494" t="s">
        <v>918</v>
      </c>
      <c r="H14" s="494" t="s">
        <v>528</v>
      </c>
      <c r="I14" s="494" t="s">
        <v>1002</v>
      </c>
      <c r="J14" s="494" t="s">
        <v>979</v>
      </c>
      <c r="K14" s="494" t="s">
        <v>1003</v>
      </c>
      <c r="L14" s="494" t="s">
        <v>1004</v>
      </c>
      <c r="M14" s="494" t="s">
        <v>1005</v>
      </c>
      <c r="N14" s="494" t="s">
        <v>995</v>
      </c>
      <c r="O14" s="494" t="s">
        <v>996</v>
      </c>
      <c r="P14" s="494" t="s">
        <v>997</v>
      </c>
      <c r="Q14" s="494" t="s">
        <v>998</v>
      </c>
      <c r="R14" s="494" t="s">
        <v>999</v>
      </c>
      <c r="S14" s="494" t="s">
        <v>1000</v>
      </c>
      <c r="T14" s="494" t="s">
        <v>1001</v>
      </c>
      <c r="U14" s="494" t="s">
        <v>938</v>
      </c>
      <c r="X14" s="494" t="s">
        <v>786</v>
      </c>
      <c r="Y14" s="494" t="s">
        <v>901</v>
      </c>
      <c r="Z14" s="494" t="s">
        <v>902</v>
      </c>
      <c r="AA14" s="494" t="s">
        <v>882</v>
      </c>
      <c r="AB14" s="494" t="s">
        <v>960</v>
      </c>
    </row>
    <row r="15" spans="1:28" x14ac:dyDescent="0.25">
      <c r="A15" s="494" t="s">
        <v>325</v>
      </c>
      <c r="B15" s="494" t="s">
        <v>557</v>
      </c>
      <c r="D15" s="494" t="s">
        <v>557</v>
      </c>
      <c r="F15" s="494" t="s">
        <v>553</v>
      </c>
      <c r="G15" s="494" t="s">
        <v>919</v>
      </c>
      <c r="H15" s="494" t="s">
        <v>528</v>
      </c>
      <c r="I15" s="494" t="s">
        <v>1002</v>
      </c>
      <c r="J15" s="494" t="s">
        <v>979</v>
      </c>
      <c r="K15" s="494" t="s">
        <v>1003</v>
      </c>
      <c r="L15" s="494" t="s">
        <v>1004</v>
      </c>
      <c r="M15" s="494" t="s">
        <v>1005</v>
      </c>
      <c r="N15" s="494" t="s">
        <v>995</v>
      </c>
      <c r="O15" s="494" t="s">
        <v>996</v>
      </c>
      <c r="P15" s="494" t="s">
        <v>997</v>
      </c>
      <c r="Q15" s="494" t="s">
        <v>998</v>
      </c>
      <c r="R15" s="494" t="s">
        <v>999</v>
      </c>
      <c r="S15" s="494" t="s">
        <v>1000</v>
      </c>
      <c r="T15" s="494" t="s">
        <v>1001</v>
      </c>
      <c r="U15" s="494" t="s">
        <v>938</v>
      </c>
      <c r="X15" s="494" t="s">
        <v>786</v>
      </c>
      <c r="Y15" s="494" t="s">
        <v>901</v>
      </c>
      <c r="Z15" s="494" t="s">
        <v>902</v>
      </c>
      <c r="AA15" s="494" t="s">
        <v>882</v>
      </c>
      <c r="AB15" s="494" t="s">
        <v>960</v>
      </c>
    </row>
    <row r="16" spans="1:28" x14ac:dyDescent="0.25">
      <c r="A16" s="494" t="s">
        <v>357</v>
      </c>
      <c r="B16" s="494" t="s">
        <v>557</v>
      </c>
      <c r="D16" s="494" t="s">
        <v>557</v>
      </c>
      <c r="F16" s="494" t="s">
        <v>553</v>
      </c>
      <c r="G16" s="494" t="s">
        <v>920</v>
      </c>
      <c r="H16" s="494" t="s">
        <v>528</v>
      </c>
      <c r="I16" s="494" t="s">
        <v>1002</v>
      </c>
      <c r="J16" s="494" t="s">
        <v>979</v>
      </c>
      <c r="K16" s="494" t="s">
        <v>1003</v>
      </c>
      <c r="L16" s="494" t="s">
        <v>1004</v>
      </c>
      <c r="M16" s="494" t="s">
        <v>1005</v>
      </c>
      <c r="N16" s="494" t="s">
        <v>995</v>
      </c>
      <c r="O16" s="494" t="s">
        <v>996</v>
      </c>
      <c r="P16" s="494" t="s">
        <v>997</v>
      </c>
      <c r="Q16" s="494" t="s">
        <v>998</v>
      </c>
      <c r="R16" s="494" t="s">
        <v>999</v>
      </c>
      <c r="S16" s="494" t="s">
        <v>1000</v>
      </c>
      <c r="T16" s="494" t="s">
        <v>1001</v>
      </c>
      <c r="U16" s="494" t="s">
        <v>938</v>
      </c>
      <c r="X16" s="494" t="s">
        <v>786</v>
      </c>
      <c r="Y16" s="494" t="s">
        <v>901</v>
      </c>
      <c r="Z16" s="494" t="s">
        <v>902</v>
      </c>
      <c r="AA16" s="494" t="s">
        <v>882</v>
      </c>
      <c r="AB16" s="494" t="s">
        <v>960</v>
      </c>
    </row>
    <row r="17" spans="1:28" x14ac:dyDescent="0.25">
      <c r="A17" s="494" t="s">
        <v>358</v>
      </c>
      <c r="G17" s="494" t="s">
        <v>921</v>
      </c>
      <c r="H17" s="494" t="s">
        <v>528</v>
      </c>
      <c r="I17" s="494" t="s">
        <v>1002</v>
      </c>
      <c r="J17" s="494" t="s">
        <v>979</v>
      </c>
      <c r="K17" s="494" t="s">
        <v>1003</v>
      </c>
      <c r="L17" s="494" t="s">
        <v>1004</v>
      </c>
      <c r="M17" s="494" t="s">
        <v>1005</v>
      </c>
      <c r="N17" s="494" t="s">
        <v>995</v>
      </c>
      <c r="O17" s="494" t="s">
        <v>996</v>
      </c>
      <c r="P17" s="494" t="s">
        <v>997</v>
      </c>
      <c r="Q17" s="494" t="s">
        <v>998</v>
      </c>
      <c r="R17" s="494" t="s">
        <v>999</v>
      </c>
      <c r="S17" s="494" t="s">
        <v>1000</v>
      </c>
      <c r="T17" s="494" t="s">
        <v>1001</v>
      </c>
      <c r="U17" s="494" t="s">
        <v>938</v>
      </c>
      <c r="X17" s="494" t="s">
        <v>786</v>
      </c>
      <c r="Y17" s="494" t="s">
        <v>901</v>
      </c>
      <c r="Z17" s="494" t="s">
        <v>902</v>
      </c>
      <c r="AA17" s="494" t="s">
        <v>882</v>
      </c>
      <c r="AB17" s="494" t="s">
        <v>960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A314-F301-4B66-A62E-DCE3040BB8F9}">
  <dimension ref="A1:AB17"/>
  <sheetViews>
    <sheetView workbookViewId="0">
      <selection activeCell="A2" sqref="A2:XFD17"/>
    </sheetView>
  </sheetViews>
  <sheetFormatPr defaultRowHeight="15" x14ac:dyDescent="0.25"/>
  <cols>
    <col min="1" max="1" width="15.5703125" style="494" customWidth="1"/>
    <col min="2" max="2" width="25.85546875" style="494" bestFit="1" customWidth="1"/>
    <col min="3" max="3" width="19.28515625" style="494" customWidth="1"/>
    <col min="4" max="4" width="22.5703125" style="494" customWidth="1"/>
    <col min="5" max="5" width="20" style="494" customWidth="1"/>
    <col min="6" max="7" width="17.42578125" style="494" customWidth="1"/>
    <col min="8" max="8" width="18.85546875" style="494" customWidth="1"/>
    <col min="9" max="10" width="19.42578125" style="494" customWidth="1"/>
    <col min="11" max="11" width="18.140625" style="494" customWidth="1"/>
    <col min="12" max="12" width="22.5703125" style="494" customWidth="1"/>
    <col min="13" max="13" width="22.42578125" style="494" customWidth="1"/>
    <col min="14" max="14" width="17.140625" style="494" customWidth="1"/>
    <col min="15" max="15" width="22.7109375" style="494" bestFit="1" customWidth="1"/>
    <col min="16" max="16" width="17.5703125" style="494" customWidth="1"/>
    <col min="17" max="18" width="15.28515625" style="494" customWidth="1"/>
    <col min="19" max="19" width="18.42578125" style="494" customWidth="1"/>
    <col min="20" max="20" width="22.85546875" style="494" bestFit="1" customWidth="1"/>
    <col min="21" max="21" width="18.85546875" style="494" customWidth="1"/>
    <col min="22" max="23" width="16.5703125" style="494" customWidth="1"/>
    <col min="24" max="24" width="17.140625" style="494" customWidth="1"/>
    <col min="25" max="25" width="21.7109375" style="494" bestFit="1" customWidth="1"/>
    <col min="26" max="27" width="15.42578125" style="494" customWidth="1"/>
    <col min="28" max="28" width="13.7109375" style="494" bestFit="1" customWidth="1"/>
    <col min="29" max="16384" width="9.140625" style="494"/>
  </cols>
  <sheetData>
    <row r="1" spans="1:28" x14ac:dyDescent="0.25">
      <c r="A1" s="494" t="s">
        <v>873</v>
      </c>
      <c r="B1" s="494" t="s">
        <v>874</v>
      </c>
      <c r="C1" s="494" t="s">
        <v>875</v>
      </c>
      <c r="D1" s="494" t="s">
        <v>876</v>
      </c>
      <c r="E1" s="494" t="s">
        <v>877</v>
      </c>
      <c r="F1" s="494" t="s">
        <v>878</v>
      </c>
      <c r="G1" s="494" t="s">
        <v>905</v>
      </c>
      <c r="H1" s="494" t="s">
        <v>872</v>
      </c>
      <c r="I1" s="494" t="s">
        <v>978</v>
      </c>
      <c r="J1" s="494" t="s">
        <v>971</v>
      </c>
      <c r="K1" s="494" t="s">
        <v>885</v>
      </c>
      <c r="L1" s="494" t="s">
        <v>884</v>
      </c>
      <c r="M1" s="494" t="s">
        <v>886</v>
      </c>
      <c r="N1" s="494" t="s">
        <v>888</v>
      </c>
      <c r="O1" s="494" t="s">
        <v>889</v>
      </c>
      <c r="P1" s="494" t="s">
        <v>890</v>
      </c>
      <c r="Q1" s="494" t="s">
        <v>891</v>
      </c>
      <c r="R1" s="494" t="s">
        <v>959</v>
      </c>
      <c r="S1" s="494" t="s">
        <v>892</v>
      </c>
      <c r="T1" s="494" t="s">
        <v>893</v>
      </c>
      <c r="U1" s="494" t="s">
        <v>896</v>
      </c>
      <c r="V1" s="494" t="s">
        <v>897</v>
      </c>
      <c r="W1" s="494" t="s">
        <v>958</v>
      </c>
      <c r="X1" s="494" t="s">
        <v>898</v>
      </c>
      <c r="Y1" s="494" t="s">
        <v>900</v>
      </c>
      <c r="Z1" s="494" t="s">
        <v>939</v>
      </c>
      <c r="AA1" s="494" t="s">
        <v>899</v>
      </c>
      <c r="AB1" s="494" t="s">
        <v>957</v>
      </c>
    </row>
    <row r="2" spans="1:28" ht="15" customHeight="1" x14ac:dyDescent="0.25">
      <c r="A2" s="494" t="s">
        <v>343</v>
      </c>
      <c r="B2" s="494" t="s">
        <v>554</v>
      </c>
      <c r="E2" s="494" t="s">
        <v>554</v>
      </c>
      <c r="G2" s="494" t="s">
        <v>906</v>
      </c>
      <c r="H2" s="494" t="s">
        <v>528</v>
      </c>
      <c r="I2" s="494" t="s">
        <v>1006</v>
      </c>
      <c r="J2" s="494" t="s">
        <v>980</v>
      </c>
      <c r="K2" s="494" t="s">
        <v>1007</v>
      </c>
      <c r="L2" s="494" t="s">
        <v>1008</v>
      </c>
      <c r="M2" s="494" t="s">
        <v>1009</v>
      </c>
      <c r="N2" s="494" t="s">
        <v>995</v>
      </c>
      <c r="O2" s="494" t="s">
        <v>996</v>
      </c>
      <c r="P2" s="494" t="s">
        <v>997</v>
      </c>
      <c r="Q2" s="494" t="s">
        <v>998</v>
      </c>
      <c r="R2" s="494" t="s">
        <v>999</v>
      </c>
      <c r="S2" s="494" t="s">
        <v>1000</v>
      </c>
      <c r="T2" s="494" t="s">
        <v>1001</v>
      </c>
      <c r="U2" s="494" t="s">
        <v>938</v>
      </c>
      <c r="X2" s="494" t="s">
        <v>786</v>
      </c>
      <c r="Y2" s="494" t="s">
        <v>901</v>
      </c>
      <c r="Z2" s="494" t="s">
        <v>902</v>
      </c>
      <c r="AA2" s="494" t="s">
        <v>882</v>
      </c>
      <c r="AB2" s="494" t="s">
        <v>960</v>
      </c>
    </row>
    <row r="3" spans="1:28" ht="15" customHeight="1" x14ac:dyDescent="0.25">
      <c r="A3" s="494" t="s">
        <v>349</v>
      </c>
      <c r="B3" s="494" t="s">
        <v>554</v>
      </c>
      <c r="C3" s="494" t="s">
        <v>554</v>
      </c>
      <c r="E3" s="494" t="s">
        <v>554</v>
      </c>
      <c r="G3" s="494" t="s">
        <v>907</v>
      </c>
      <c r="H3" s="494" t="s">
        <v>528</v>
      </c>
      <c r="I3" s="494" t="s">
        <v>1006</v>
      </c>
      <c r="J3" s="494" t="s">
        <v>980</v>
      </c>
      <c r="K3" s="494" t="s">
        <v>1007</v>
      </c>
      <c r="L3" s="494" t="s">
        <v>1008</v>
      </c>
      <c r="M3" s="494" t="s">
        <v>1009</v>
      </c>
      <c r="N3" s="494" t="s">
        <v>995</v>
      </c>
      <c r="O3" s="494" t="s">
        <v>996</v>
      </c>
      <c r="P3" s="494" t="s">
        <v>997</v>
      </c>
      <c r="Q3" s="494" t="s">
        <v>998</v>
      </c>
      <c r="R3" s="494" t="s">
        <v>999</v>
      </c>
      <c r="S3" s="494" t="s">
        <v>1000</v>
      </c>
      <c r="T3" s="494" t="s">
        <v>1001</v>
      </c>
      <c r="U3" s="494" t="s">
        <v>938</v>
      </c>
      <c r="X3" s="494" t="s">
        <v>786</v>
      </c>
      <c r="Y3" s="494" t="s">
        <v>901</v>
      </c>
      <c r="Z3" s="494" t="s">
        <v>902</v>
      </c>
      <c r="AA3" s="494" t="s">
        <v>882</v>
      </c>
      <c r="AB3" s="494" t="s">
        <v>960</v>
      </c>
    </row>
    <row r="4" spans="1:28" ht="15" customHeight="1" x14ac:dyDescent="0.25">
      <c r="A4" s="494" t="s">
        <v>305</v>
      </c>
      <c r="B4" s="494" t="s">
        <v>554</v>
      </c>
      <c r="C4" s="494" t="s">
        <v>554</v>
      </c>
      <c r="E4" s="494" t="s">
        <v>554</v>
      </c>
      <c r="G4" s="494" t="s">
        <v>908</v>
      </c>
      <c r="H4" s="494" t="s">
        <v>528</v>
      </c>
      <c r="I4" s="494" t="s">
        <v>1006</v>
      </c>
      <c r="J4" s="494" t="s">
        <v>980</v>
      </c>
      <c r="K4" s="494" t="s">
        <v>1007</v>
      </c>
      <c r="L4" s="494" t="s">
        <v>1008</v>
      </c>
      <c r="M4" s="494" t="s">
        <v>1009</v>
      </c>
      <c r="N4" s="494" t="s">
        <v>995</v>
      </c>
      <c r="O4" s="494" t="s">
        <v>996</v>
      </c>
      <c r="P4" s="494" t="s">
        <v>997</v>
      </c>
      <c r="Q4" s="494" t="s">
        <v>998</v>
      </c>
      <c r="R4" s="494" t="s">
        <v>999</v>
      </c>
      <c r="S4" s="494" t="s">
        <v>1000</v>
      </c>
      <c r="T4" s="494" t="s">
        <v>1001</v>
      </c>
      <c r="U4" s="494" t="s">
        <v>938</v>
      </c>
      <c r="X4" s="494" t="s">
        <v>786</v>
      </c>
      <c r="Y4" s="494" t="s">
        <v>901</v>
      </c>
      <c r="Z4" s="494" t="s">
        <v>902</v>
      </c>
      <c r="AA4" s="494" t="s">
        <v>882</v>
      </c>
      <c r="AB4" s="494" t="s">
        <v>960</v>
      </c>
    </row>
    <row r="5" spans="1:28" ht="15" customHeight="1" x14ac:dyDescent="0.25">
      <c r="A5" s="494" t="s">
        <v>308</v>
      </c>
      <c r="B5" s="494" t="s">
        <v>554</v>
      </c>
      <c r="C5" s="494" t="s">
        <v>554</v>
      </c>
      <c r="E5" s="494" t="s">
        <v>554</v>
      </c>
      <c r="G5" s="494" t="s">
        <v>909</v>
      </c>
      <c r="H5" s="494" t="s">
        <v>528</v>
      </c>
      <c r="I5" s="494" t="s">
        <v>1006</v>
      </c>
      <c r="J5" s="494" t="s">
        <v>980</v>
      </c>
      <c r="K5" s="494" t="s">
        <v>1007</v>
      </c>
      <c r="L5" s="494" t="s">
        <v>1008</v>
      </c>
      <c r="M5" s="494" t="s">
        <v>1009</v>
      </c>
      <c r="N5" s="494" t="s">
        <v>995</v>
      </c>
      <c r="O5" s="494" t="s">
        <v>996</v>
      </c>
      <c r="P5" s="494" t="s">
        <v>997</v>
      </c>
      <c r="Q5" s="494" t="s">
        <v>998</v>
      </c>
      <c r="R5" s="494" t="s">
        <v>999</v>
      </c>
      <c r="S5" s="494" t="s">
        <v>1000</v>
      </c>
      <c r="T5" s="494" t="s">
        <v>1001</v>
      </c>
      <c r="U5" s="494" t="s">
        <v>938</v>
      </c>
      <c r="X5" s="494" t="s">
        <v>786</v>
      </c>
      <c r="Y5" s="494" t="s">
        <v>901</v>
      </c>
      <c r="Z5" s="494" t="s">
        <v>902</v>
      </c>
      <c r="AA5" s="494" t="s">
        <v>882</v>
      </c>
      <c r="AB5" s="494" t="s">
        <v>960</v>
      </c>
    </row>
    <row r="6" spans="1:28" x14ac:dyDescent="0.25">
      <c r="A6" s="494" t="s">
        <v>310</v>
      </c>
      <c r="B6" s="494" t="s">
        <v>554</v>
      </c>
      <c r="C6" s="494" t="s">
        <v>554</v>
      </c>
      <c r="E6" s="494" t="s">
        <v>554</v>
      </c>
      <c r="G6" s="494" t="s">
        <v>910</v>
      </c>
      <c r="H6" s="494" t="s">
        <v>528</v>
      </c>
      <c r="I6" s="494" t="s">
        <v>1006</v>
      </c>
      <c r="J6" s="494" t="s">
        <v>980</v>
      </c>
      <c r="K6" s="494" t="s">
        <v>1007</v>
      </c>
      <c r="L6" s="494" t="s">
        <v>1008</v>
      </c>
      <c r="M6" s="494" t="s">
        <v>1009</v>
      </c>
      <c r="N6" s="494" t="s">
        <v>995</v>
      </c>
      <c r="O6" s="494" t="s">
        <v>996</v>
      </c>
      <c r="P6" s="494" t="s">
        <v>997</v>
      </c>
      <c r="Q6" s="494" t="s">
        <v>998</v>
      </c>
      <c r="R6" s="494" t="s">
        <v>999</v>
      </c>
      <c r="S6" s="494" t="s">
        <v>1000</v>
      </c>
      <c r="T6" s="494" t="s">
        <v>1001</v>
      </c>
      <c r="U6" s="494" t="s">
        <v>938</v>
      </c>
      <c r="X6" s="494" t="s">
        <v>786</v>
      </c>
      <c r="Y6" s="494" t="s">
        <v>901</v>
      </c>
      <c r="Z6" s="494" t="s">
        <v>902</v>
      </c>
      <c r="AA6" s="494" t="s">
        <v>882</v>
      </c>
      <c r="AB6" s="494" t="s">
        <v>960</v>
      </c>
    </row>
    <row r="7" spans="1:28" x14ac:dyDescent="0.25">
      <c r="A7" s="494" t="s">
        <v>312</v>
      </c>
      <c r="B7" s="494" t="s">
        <v>554</v>
      </c>
      <c r="C7" s="494" t="s">
        <v>554</v>
      </c>
      <c r="E7" s="494" t="s">
        <v>554</v>
      </c>
      <c r="G7" s="494" t="s">
        <v>911</v>
      </c>
      <c r="H7" s="494" t="s">
        <v>528</v>
      </c>
      <c r="I7" s="494" t="s">
        <v>1006</v>
      </c>
      <c r="J7" s="494" t="s">
        <v>980</v>
      </c>
      <c r="K7" s="494" t="s">
        <v>1007</v>
      </c>
      <c r="L7" s="494" t="s">
        <v>1008</v>
      </c>
      <c r="M7" s="494" t="s">
        <v>1009</v>
      </c>
      <c r="N7" s="494" t="s">
        <v>995</v>
      </c>
      <c r="O7" s="494" t="s">
        <v>996</v>
      </c>
      <c r="P7" s="494" t="s">
        <v>997</v>
      </c>
      <c r="Q7" s="494" t="s">
        <v>998</v>
      </c>
      <c r="R7" s="494" t="s">
        <v>999</v>
      </c>
      <c r="S7" s="494" t="s">
        <v>1000</v>
      </c>
      <c r="T7" s="494" t="s">
        <v>1001</v>
      </c>
      <c r="U7" s="494" t="s">
        <v>938</v>
      </c>
      <c r="X7" s="494" t="s">
        <v>786</v>
      </c>
      <c r="Y7" s="494" t="s">
        <v>901</v>
      </c>
      <c r="Z7" s="494" t="s">
        <v>902</v>
      </c>
      <c r="AA7" s="494" t="s">
        <v>882</v>
      </c>
      <c r="AB7" s="494" t="s">
        <v>960</v>
      </c>
    </row>
    <row r="8" spans="1:28" x14ac:dyDescent="0.25">
      <c r="A8" s="494" t="s">
        <v>315</v>
      </c>
      <c r="B8" s="494" t="s">
        <v>554</v>
      </c>
      <c r="C8" s="494" t="s">
        <v>554</v>
      </c>
      <c r="E8" s="494" t="s">
        <v>554</v>
      </c>
      <c r="G8" s="494" t="s">
        <v>912</v>
      </c>
      <c r="H8" s="494" t="s">
        <v>528</v>
      </c>
      <c r="I8" s="494" t="s">
        <v>1006</v>
      </c>
      <c r="J8" s="494" t="s">
        <v>980</v>
      </c>
      <c r="K8" s="494" t="s">
        <v>1007</v>
      </c>
      <c r="L8" s="494" t="s">
        <v>1008</v>
      </c>
      <c r="M8" s="494" t="s">
        <v>1009</v>
      </c>
      <c r="N8" s="494" t="s">
        <v>995</v>
      </c>
      <c r="O8" s="494" t="s">
        <v>996</v>
      </c>
      <c r="P8" s="494" t="s">
        <v>997</v>
      </c>
      <c r="Q8" s="494" t="s">
        <v>998</v>
      </c>
      <c r="R8" s="494" t="s">
        <v>999</v>
      </c>
      <c r="S8" s="494" t="s">
        <v>1000</v>
      </c>
      <c r="T8" s="494" t="s">
        <v>1001</v>
      </c>
      <c r="U8" s="494" t="s">
        <v>938</v>
      </c>
      <c r="X8" s="494" t="s">
        <v>786</v>
      </c>
      <c r="Y8" s="494" t="s">
        <v>901</v>
      </c>
      <c r="Z8" s="494" t="s">
        <v>902</v>
      </c>
      <c r="AA8" s="494" t="s">
        <v>882</v>
      </c>
      <c r="AB8" s="494" t="s">
        <v>960</v>
      </c>
    </row>
    <row r="9" spans="1:28" x14ac:dyDescent="0.25">
      <c r="A9" s="494" t="s">
        <v>352</v>
      </c>
      <c r="B9" s="494" t="s">
        <v>554</v>
      </c>
      <c r="C9" s="494" t="s">
        <v>554</v>
      </c>
      <c r="E9" s="494" t="s">
        <v>554</v>
      </c>
      <c r="G9" s="494" t="s">
        <v>913</v>
      </c>
      <c r="H9" s="494" t="s">
        <v>528</v>
      </c>
      <c r="I9" s="494" t="s">
        <v>1006</v>
      </c>
      <c r="J9" s="494" t="s">
        <v>980</v>
      </c>
      <c r="K9" s="494" t="s">
        <v>1007</v>
      </c>
      <c r="L9" s="494" t="s">
        <v>1008</v>
      </c>
      <c r="M9" s="494" t="s">
        <v>1009</v>
      </c>
      <c r="N9" s="494" t="s">
        <v>995</v>
      </c>
      <c r="O9" s="494" t="s">
        <v>996</v>
      </c>
      <c r="P9" s="494" t="s">
        <v>997</v>
      </c>
      <c r="Q9" s="494" t="s">
        <v>998</v>
      </c>
      <c r="R9" s="494" t="s">
        <v>999</v>
      </c>
      <c r="S9" s="494" t="s">
        <v>1000</v>
      </c>
      <c r="T9" s="494" t="s">
        <v>1001</v>
      </c>
      <c r="U9" s="494" t="s">
        <v>938</v>
      </c>
      <c r="X9" s="494" t="s">
        <v>786</v>
      </c>
      <c r="Y9" s="494" t="s">
        <v>901</v>
      </c>
      <c r="Z9" s="494" t="s">
        <v>902</v>
      </c>
      <c r="AA9" s="494" t="s">
        <v>882</v>
      </c>
      <c r="AB9" s="494" t="s">
        <v>960</v>
      </c>
    </row>
    <row r="10" spans="1:28" ht="15" customHeight="1" x14ac:dyDescent="0.25">
      <c r="A10" s="494" t="s">
        <v>353</v>
      </c>
      <c r="B10" s="494" t="s">
        <v>354</v>
      </c>
      <c r="G10" s="494" t="s">
        <v>914</v>
      </c>
      <c r="H10" s="494" t="s">
        <v>528</v>
      </c>
      <c r="I10" s="494" t="s">
        <v>1006</v>
      </c>
      <c r="J10" s="494" t="s">
        <v>980</v>
      </c>
      <c r="K10" s="494" t="s">
        <v>1007</v>
      </c>
      <c r="L10" s="494" t="s">
        <v>1008</v>
      </c>
      <c r="M10" s="494" t="s">
        <v>1009</v>
      </c>
      <c r="N10" s="494" t="s">
        <v>995</v>
      </c>
      <c r="O10" s="494" t="s">
        <v>996</v>
      </c>
      <c r="P10" s="494" t="s">
        <v>997</v>
      </c>
      <c r="Q10" s="494" t="s">
        <v>998</v>
      </c>
      <c r="R10" s="494" t="s">
        <v>999</v>
      </c>
      <c r="S10" s="494" t="s">
        <v>1000</v>
      </c>
      <c r="T10" s="494" t="s">
        <v>1001</v>
      </c>
      <c r="U10" s="494" t="s">
        <v>938</v>
      </c>
      <c r="X10" s="494" t="s">
        <v>786</v>
      </c>
      <c r="Y10" s="494" t="s">
        <v>901</v>
      </c>
      <c r="Z10" s="494" t="s">
        <v>902</v>
      </c>
      <c r="AA10" s="494" t="s">
        <v>882</v>
      </c>
      <c r="AB10" s="494" t="s">
        <v>960</v>
      </c>
    </row>
    <row r="11" spans="1:28" ht="15.75" customHeight="1" x14ac:dyDescent="0.25">
      <c r="A11" s="494" t="s">
        <v>355</v>
      </c>
      <c r="G11" s="494" t="s">
        <v>915</v>
      </c>
      <c r="H11" s="494" t="s">
        <v>528</v>
      </c>
      <c r="I11" s="494" t="s">
        <v>1006</v>
      </c>
      <c r="J11" s="494" t="s">
        <v>980</v>
      </c>
      <c r="K11" s="494" t="s">
        <v>1007</v>
      </c>
      <c r="L11" s="494" t="s">
        <v>1008</v>
      </c>
      <c r="M11" s="494" t="s">
        <v>1009</v>
      </c>
      <c r="N11" s="494" t="s">
        <v>995</v>
      </c>
      <c r="O11" s="494" t="s">
        <v>996</v>
      </c>
      <c r="P11" s="494" t="s">
        <v>997</v>
      </c>
      <c r="Q11" s="494" t="s">
        <v>998</v>
      </c>
      <c r="R11" s="494" t="s">
        <v>999</v>
      </c>
      <c r="S11" s="494" t="s">
        <v>1000</v>
      </c>
      <c r="T11" s="494" t="s">
        <v>1001</v>
      </c>
      <c r="U11" s="494" t="s">
        <v>938</v>
      </c>
      <c r="X11" s="494" t="s">
        <v>786</v>
      </c>
      <c r="Y11" s="494" t="s">
        <v>901</v>
      </c>
      <c r="Z11" s="494" t="s">
        <v>902</v>
      </c>
      <c r="AA11" s="494" t="s">
        <v>882</v>
      </c>
      <c r="AB11" s="494" t="s">
        <v>960</v>
      </c>
    </row>
    <row r="12" spans="1:28" x14ac:dyDescent="0.25">
      <c r="A12" s="494" t="s">
        <v>318</v>
      </c>
      <c r="B12" s="494" t="s">
        <v>554</v>
      </c>
      <c r="F12" s="494" t="s">
        <v>380</v>
      </c>
      <c r="G12" s="494" t="s">
        <v>916</v>
      </c>
      <c r="H12" s="494" t="s">
        <v>528</v>
      </c>
      <c r="I12" s="494" t="s">
        <v>1006</v>
      </c>
      <c r="J12" s="494" t="s">
        <v>980</v>
      </c>
      <c r="K12" s="494" t="s">
        <v>1007</v>
      </c>
      <c r="L12" s="494" t="s">
        <v>1008</v>
      </c>
      <c r="M12" s="494" t="s">
        <v>1009</v>
      </c>
      <c r="N12" s="494" t="s">
        <v>995</v>
      </c>
      <c r="O12" s="494" t="s">
        <v>996</v>
      </c>
      <c r="P12" s="494" t="s">
        <v>997</v>
      </c>
      <c r="Q12" s="494" t="s">
        <v>998</v>
      </c>
      <c r="R12" s="494" t="s">
        <v>999</v>
      </c>
      <c r="S12" s="494" t="s">
        <v>1000</v>
      </c>
      <c r="T12" s="494" t="s">
        <v>1001</v>
      </c>
      <c r="U12" s="494" t="s">
        <v>938</v>
      </c>
      <c r="X12" s="494" t="s">
        <v>786</v>
      </c>
      <c r="Y12" s="494" t="s">
        <v>901</v>
      </c>
      <c r="Z12" s="494" t="s">
        <v>902</v>
      </c>
      <c r="AA12" s="494" t="s">
        <v>882</v>
      </c>
      <c r="AB12" s="494" t="s">
        <v>960</v>
      </c>
    </row>
    <row r="13" spans="1:28" x14ac:dyDescent="0.25">
      <c r="A13" s="494" t="s">
        <v>321</v>
      </c>
      <c r="B13" s="494" t="s">
        <v>554</v>
      </c>
      <c r="G13" s="494" t="s">
        <v>917</v>
      </c>
      <c r="H13" s="494" t="s">
        <v>528</v>
      </c>
      <c r="I13" s="494" t="s">
        <v>1006</v>
      </c>
      <c r="J13" s="494" t="s">
        <v>980</v>
      </c>
      <c r="K13" s="494" t="s">
        <v>1007</v>
      </c>
      <c r="L13" s="494" t="s">
        <v>1008</v>
      </c>
      <c r="M13" s="494" t="s">
        <v>1009</v>
      </c>
      <c r="N13" s="494" t="s">
        <v>995</v>
      </c>
      <c r="O13" s="494" t="s">
        <v>996</v>
      </c>
      <c r="P13" s="494" t="s">
        <v>997</v>
      </c>
      <c r="Q13" s="494" t="s">
        <v>998</v>
      </c>
      <c r="R13" s="494" t="s">
        <v>999</v>
      </c>
      <c r="S13" s="494" t="s">
        <v>1000</v>
      </c>
      <c r="T13" s="494" t="s">
        <v>1001</v>
      </c>
      <c r="U13" s="494" t="s">
        <v>938</v>
      </c>
      <c r="X13" s="494" t="s">
        <v>786</v>
      </c>
      <c r="Y13" s="494" t="s">
        <v>901</v>
      </c>
      <c r="Z13" s="494" t="s">
        <v>902</v>
      </c>
      <c r="AA13" s="494" t="s">
        <v>882</v>
      </c>
      <c r="AB13" s="494" t="s">
        <v>960</v>
      </c>
    </row>
    <row r="14" spans="1:28" x14ac:dyDescent="0.25">
      <c r="A14" s="494" t="s">
        <v>324</v>
      </c>
      <c r="B14" s="494" t="s">
        <v>554</v>
      </c>
      <c r="G14" s="494" t="s">
        <v>918</v>
      </c>
      <c r="H14" s="494" t="s">
        <v>528</v>
      </c>
      <c r="I14" s="494" t="s">
        <v>1006</v>
      </c>
      <c r="J14" s="494" t="s">
        <v>980</v>
      </c>
      <c r="K14" s="494" t="s">
        <v>1007</v>
      </c>
      <c r="L14" s="494" t="s">
        <v>1008</v>
      </c>
      <c r="M14" s="494" t="s">
        <v>1009</v>
      </c>
      <c r="N14" s="494" t="s">
        <v>995</v>
      </c>
      <c r="O14" s="494" t="s">
        <v>996</v>
      </c>
      <c r="P14" s="494" t="s">
        <v>997</v>
      </c>
      <c r="Q14" s="494" t="s">
        <v>998</v>
      </c>
      <c r="R14" s="494" t="s">
        <v>999</v>
      </c>
      <c r="S14" s="494" t="s">
        <v>1000</v>
      </c>
      <c r="T14" s="494" t="s">
        <v>1001</v>
      </c>
      <c r="U14" s="494" t="s">
        <v>938</v>
      </c>
      <c r="X14" s="494" t="s">
        <v>786</v>
      </c>
      <c r="Y14" s="494" t="s">
        <v>901</v>
      </c>
      <c r="Z14" s="494" t="s">
        <v>902</v>
      </c>
      <c r="AA14" s="494" t="s">
        <v>882</v>
      </c>
      <c r="AB14" s="494" t="s">
        <v>960</v>
      </c>
    </row>
    <row r="15" spans="1:28" x14ac:dyDescent="0.25">
      <c r="A15" s="494" t="s">
        <v>325</v>
      </c>
      <c r="B15" s="494" t="s">
        <v>554</v>
      </c>
      <c r="G15" s="494" t="s">
        <v>919</v>
      </c>
      <c r="H15" s="494" t="s">
        <v>528</v>
      </c>
      <c r="I15" s="494" t="s">
        <v>1006</v>
      </c>
      <c r="J15" s="494" t="s">
        <v>980</v>
      </c>
      <c r="K15" s="494" t="s">
        <v>1007</v>
      </c>
      <c r="L15" s="494" t="s">
        <v>1008</v>
      </c>
      <c r="M15" s="494" t="s">
        <v>1009</v>
      </c>
      <c r="N15" s="494" t="s">
        <v>995</v>
      </c>
      <c r="O15" s="494" t="s">
        <v>996</v>
      </c>
      <c r="P15" s="494" t="s">
        <v>997</v>
      </c>
      <c r="Q15" s="494" t="s">
        <v>998</v>
      </c>
      <c r="R15" s="494" t="s">
        <v>999</v>
      </c>
      <c r="S15" s="494" t="s">
        <v>1000</v>
      </c>
      <c r="T15" s="494" t="s">
        <v>1001</v>
      </c>
      <c r="U15" s="494" t="s">
        <v>938</v>
      </c>
      <c r="X15" s="494" t="s">
        <v>786</v>
      </c>
      <c r="Y15" s="494" t="s">
        <v>901</v>
      </c>
      <c r="Z15" s="494" t="s">
        <v>902</v>
      </c>
      <c r="AA15" s="494" t="s">
        <v>882</v>
      </c>
      <c r="AB15" s="494" t="s">
        <v>960</v>
      </c>
    </row>
    <row r="16" spans="1:28" x14ac:dyDescent="0.25">
      <c r="A16" s="494" t="s">
        <v>357</v>
      </c>
      <c r="B16" s="494" t="s">
        <v>554</v>
      </c>
      <c r="G16" s="494" t="s">
        <v>920</v>
      </c>
      <c r="H16" s="494" t="s">
        <v>528</v>
      </c>
      <c r="I16" s="494" t="s">
        <v>1006</v>
      </c>
      <c r="J16" s="494" t="s">
        <v>980</v>
      </c>
      <c r="K16" s="494" t="s">
        <v>1007</v>
      </c>
      <c r="L16" s="494" t="s">
        <v>1008</v>
      </c>
      <c r="M16" s="494" t="s">
        <v>1009</v>
      </c>
      <c r="N16" s="494" t="s">
        <v>995</v>
      </c>
      <c r="O16" s="494" t="s">
        <v>996</v>
      </c>
      <c r="P16" s="494" t="s">
        <v>997</v>
      </c>
      <c r="Q16" s="494" t="s">
        <v>998</v>
      </c>
      <c r="R16" s="494" t="s">
        <v>999</v>
      </c>
      <c r="S16" s="494" t="s">
        <v>1000</v>
      </c>
      <c r="T16" s="494" t="s">
        <v>1001</v>
      </c>
      <c r="U16" s="494" t="s">
        <v>938</v>
      </c>
      <c r="X16" s="494" t="s">
        <v>786</v>
      </c>
      <c r="Y16" s="494" t="s">
        <v>901</v>
      </c>
      <c r="Z16" s="494" t="s">
        <v>902</v>
      </c>
      <c r="AA16" s="494" t="s">
        <v>882</v>
      </c>
      <c r="AB16" s="494" t="s">
        <v>960</v>
      </c>
    </row>
    <row r="17" spans="1:28" x14ac:dyDescent="0.25">
      <c r="A17" s="494" t="s">
        <v>358</v>
      </c>
      <c r="G17" s="494" t="s">
        <v>921</v>
      </c>
      <c r="H17" s="494" t="s">
        <v>528</v>
      </c>
      <c r="I17" s="494" t="s">
        <v>1006</v>
      </c>
      <c r="J17" s="494" t="s">
        <v>980</v>
      </c>
      <c r="K17" s="494" t="s">
        <v>1007</v>
      </c>
      <c r="L17" s="494" t="s">
        <v>1008</v>
      </c>
      <c r="M17" s="494" t="s">
        <v>1009</v>
      </c>
      <c r="N17" s="494" t="s">
        <v>995</v>
      </c>
      <c r="O17" s="494" t="s">
        <v>996</v>
      </c>
      <c r="P17" s="494" t="s">
        <v>997</v>
      </c>
      <c r="Q17" s="494" t="s">
        <v>998</v>
      </c>
      <c r="R17" s="494" t="s">
        <v>999</v>
      </c>
      <c r="S17" s="494" t="s">
        <v>1000</v>
      </c>
      <c r="T17" s="494" t="s">
        <v>1001</v>
      </c>
      <c r="U17" s="494" t="s">
        <v>938</v>
      </c>
      <c r="X17" s="494" t="s">
        <v>786</v>
      </c>
      <c r="Y17" s="494" t="s">
        <v>901</v>
      </c>
      <c r="Z17" s="494" t="s">
        <v>902</v>
      </c>
      <c r="AA17" s="494" t="s">
        <v>882</v>
      </c>
      <c r="AB17" s="494" t="s">
        <v>960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35EF7-085F-4A91-A0BE-EC196B3B7A3D}">
  <dimension ref="A1:AB17"/>
  <sheetViews>
    <sheetView workbookViewId="0">
      <selection activeCell="A2" sqref="A2:XFD17"/>
    </sheetView>
  </sheetViews>
  <sheetFormatPr defaultRowHeight="15" x14ac:dyDescent="0.25"/>
  <cols>
    <col min="1" max="1" width="15.5703125" style="494" customWidth="1"/>
    <col min="2" max="2" width="25.85546875" style="494" bestFit="1" customWidth="1"/>
    <col min="3" max="3" width="19.28515625" style="494" customWidth="1"/>
    <col min="4" max="4" width="22.5703125" style="494" customWidth="1"/>
    <col min="5" max="5" width="20" style="494" customWidth="1"/>
    <col min="6" max="7" width="17.42578125" style="494" customWidth="1"/>
    <col min="8" max="8" width="18.85546875" style="494" customWidth="1"/>
    <col min="9" max="10" width="19.42578125" style="494" customWidth="1"/>
    <col min="11" max="11" width="18.140625" style="494" customWidth="1"/>
    <col min="12" max="12" width="22.5703125" style="494" customWidth="1"/>
    <col min="13" max="13" width="22.42578125" style="494" customWidth="1"/>
    <col min="14" max="14" width="17.140625" style="494" customWidth="1"/>
    <col min="15" max="15" width="22.7109375" style="494" bestFit="1" customWidth="1"/>
    <col min="16" max="16" width="17.5703125" style="494" customWidth="1"/>
    <col min="17" max="18" width="15.28515625" style="494" customWidth="1"/>
    <col min="19" max="19" width="18.42578125" style="494" customWidth="1"/>
    <col min="20" max="20" width="22.85546875" style="494" bestFit="1" customWidth="1"/>
    <col min="21" max="21" width="18.85546875" style="494" customWidth="1"/>
    <col min="22" max="23" width="16.5703125" style="494" customWidth="1"/>
    <col min="24" max="24" width="17.140625" style="494" customWidth="1"/>
    <col min="25" max="25" width="21.7109375" style="494" bestFit="1" customWidth="1"/>
    <col min="26" max="27" width="15.42578125" style="494" customWidth="1"/>
    <col min="28" max="28" width="13.7109375" style="494" bestFit="1" customWidth="1"/>
    <col min="29" max="16384" width="9.140625" style="494"/>
  </cols>
  <sheetData>
    <row r="1" spans="1:28" x14ac:dyDescent="0.25">
      <c r="A1" s="494" t="s">
        <v>873</v>
      </c>
      <c r="B1" s="494" t="s">
        <v>874</v>
      </c>
      <c r="C1" s="494" t="s">
        <v>875</v>
      </c>
      <c r="D1" s="494" t="s">
        <v>876</v>
      </c>
      <c r="E1" s="494" t="s">
        <v>877</v>
      </c>
      <c r="F1" s="494" t="s">
        <v>878</v>
      </c>
      <c r="G1" s="494" t="s">
        <v>905</v>
      </c>
      <c r="H1" s="494" t="s">
        <v>872</v>
      </c>
      <c r="I1" s="494" t="s">
        <v>978</v>
      </c>
      <c r="J1" s="494" t="s">
        <v>971</v>
      </c>
      <c r="K1" s="494" t="s">
        <v>885</v>
      </c>
      <c r="L1" s="494" t="s">
        <v>884</v>
      </c>
      <c r="M1" s="494" t="s">
        <v>886</v>
      </c>
      <c r="N1" s="494" t="s">
        <v>888</v>
      </c>
      <c r="O1" s="494" t="s">
        <v>889</v>
      </c>
      <c r="P1" s="494" t="s">
        <v>890</v>
      </c>
      <c r="Q1" s="494" t="s">
        <v>891</v>
      </c>
      <c r="R1" s="494" t="s">
        <v>959</v>
      </c>
      <c r="S1" s="494" t="s">
        <v>892</v>
      </c>
      <c r="T1" s="494" t="s">
        <v>893</v>
      </c>
      <c r="U1" s="494" t="s">
        <v>896</v>
      </c>
      <c r="V1" s="494" t="s">
        <v>897</v>
      </c>
      <c r="W1" s="494" t="s">
        <v>958</v>
      </c>
      <c r="X1" s="494" t="s">
        <v>898</v>
      </c>
      <c r="Y1" s="494" t="s">
        <v>900</v>
      </c>
      <c r="Z1" s="494" t="s">
        <v>939</v>
      </c>
      <c r="AA1" s="494" t="s">
        <v>899</v>
      </c>
      <c r="AB1" s="494" t="s">
        <v>957</v>
      </c>
    </row>
    <row r="2" spans="1:28" ht="15" customHeight="1" x14ac:dyDescent="0.25">
      <c r="A2" s="494" t="s">
        <v>343</v>
      </c>
      <c r="C2" s="494" t="s">
        <v>381</v>
      </c>
      <c r="E2" s="494" t="s">
        <v>380</v>
      </c>
      <c r="G2" s="494" t="s">
        <v>906</v>
      </c>
      <c r="H2" s="494" t="s">
        <v>528</v>
      </c>
      <c r="I2" s="494" t="s">
        <v>1010</v>
      </c>
      <c r="J2" s="494" t="s">
        <v>977</v>
      </c>
      <c r="K2" s="494" t="s">
        <v>1011</v>
      </c>
      <c r="L2" s="494" t="s">
        <v>1012</v>
      </c>
      <c r="M2" s="494" t="s">
        <v>1013</v>
      </c>
      <c r="N2" s="494" t="s">
        <v>995</v>
      </c>
      <c r="O2" s="494" t="s">
        <v>996</v>
      </c>
      <c r="P2" s="494" t="s">
        <v>997</v>
      </c>
      <c r="Q2" s="494" t="s">
        <v>998</v>
      </c>
      <c r="R2" s="494" t="s">
        <v>999</v>
      </c>
      <c r="S2" s="494" t="s">
        <v>1000</v>
      </c>
      <c r="T2" s="494" t="s">
        <v>1001</v>
      </c>
      <c r="U2" s="494" t="s">
        <v>938</v>
      </c>
      <c r="X2" s="494" t="s">
        <v>786</v>
      </c>
      <c r="Y2" s="494" t="s">
        <v>901</v>
      </c>
      <c r="Z2" s="494" t="s">
        <v>902</v>
      </c>
      <c r="AA2" s="494" t="s">
        <v>882</v>
      </c>
      <c r="AB2" s="494" t="s">
        <v>960</v>
      </c>
    </row>
    <row r="3" spans="1:28" ht="15" customHeight="1" x14ac:dyDescent="0.25">
      <c r="A3" s="494" t="s">
        <v>349</v>
      </c>
      <c r="G3" s="494" t="s">
        <v>907</v>
      </c>
      <c r="H3" s="494" t="s">
        <v>528</v>
      </c>
      <c r="I3" s="494" t="s">
        <v>1010</v>
      </c>
      <c r="J3" s="494" t="s">
        <v>977</v>
      </c>
      <c r="K3" s="494" t="s">
        <v>1011</v>
      </c>
      <c r="L3" s="494" t="s">
        <v>1012</v>
      </c>
      <c r="M3" s="494" t="s">
        <v>1013</v>
      </c>
      <c r="N3" s="494" t="s">
        <v>995</v>
      </c>
      <c r="O3" s="494" t="s">
        <v>996</v>
      </c>
      <c r="P3" s="494" t="s">
        <v>997</v>
      </c>
      <c r="Q3" s="494" t="s">
        <v>998</v>
      </c>
      <c r="R3" s="494" t="s">
        <v>999</v>
      </c>
      <c r="S3" s="494" t="s">
        <v>1000</v>
      </c>
      <c r="T3" s="494" t="s">
        <v>1001</v>
      </c>
      <c r="U3" s="494" t="s">
        <v>938</v>
      </c>
      <c r="X3" s="494" t="s">
        <v>786</v>
      </c>
      <c r="Y3" s="494" t="s">
        <v>901</v>
      </c>
      <c r="Z3" s="494" t="s">
        <v>902</v>
      </c>
      <c r="AA3" s="494" t="s">
        <v>882</v>
      </c>
      <c r="AB3" s="494" t="s">
        <v>960</v>
      </c>
    </row>
    <row r="4" spans="1:28" ht="15" customHeight="1" x14ac:dyDescent="0.25">
      <c r="A4" s="494" t="s">
        <v>305</v>
      </c>
      <c r="D4" s="494" t="s">
        <v>380</v>
      </c>
      <c r="G4" s="494" t="s">
        <v>908</v>
      </c>
      <c r="H4" s="494" t="s">
        <v>528</v>
      </c>
      <c r="I4" s="494" t="s">
        <v>1010</v>
      </c>
      <c r="J4" s="494" t="s">
        <v>977</v>
      </c>
      <c r="K4" s="494" t="s">
        <v>1011</v>
      </c>
      <c r="L4" s="494" t="s">
        <v>1012</v>
      </c>
      <c r="M4" s="494" t="s">
        <v>1013</v>
      </c>
      <c r="N4" s="494" t="s">
        <v>995</v>
      </c>
      <c r="O4" s="494" t="s">
        <v>996</v>
      </c>
      <c r="P4" s="494" t="s">
        <v>997</v>
      </c>
      <c r="Q4" s="494" t="s">
        <v>998</v>
      </c>
      <c r="R4" s="494" t="s">
        <v>999</v>
      </c>
      <c r="S4" s="494" t="s">
        <v>1000</v>
      </c>
      <c r="T4" s="494" t="s">
        <v>1001</v>
      </c>
      <c r="U4" s="494" t="s">
        <v>938</v>
      </c>
      <c r="X4" s="494" t="s">
        <v>786</v>
      </c>
      <c r="Y4" s="494" t="s">
        <v>901</v>
      </c>
      <c r="Z4" s="494" t="s">
        <v>902</v>
      </c>
      <c r="AA4" s="494" t="s">
        <v>882</v>
      </c>
      <c r="AB4" s="494" t="s">
        <v>960</v>
      </c>
    </row>
    <row r="5" spans="1:28" ht="15" customHeight="1" x14ac:dyDescent="0.25">
      <c r="A5" s="494" t="s">
        <v>308</v>
      </c>
      <c r="B5" s="494" t="s">
        <v>381</v>
      </c>
      <c r="F5" s="494" t="s">
        <v>381</v>
      </c>
      <c r="G5" s="494" t="s">
        <v>909</v>
      </c>
      <c r="H5" s="494" t="s">
        <v>528</v>
      </c>
      <c r="I5" s="494" t="s">
        <v>1010</v>
      </c>
      <c r="J5" s="494" t="s">
        <v>977</v>
      </c>
      <c r="K5" s="494" t="s">
        <v>1011</v>
      </c>
      <c r="L5" s="494" t="s">
        <v>1012</v>
      </c>
      <c r="M5" s="494" t="s">
        <v>1013</v>
      </c>
      <c r="N5" s="494" t="s">
        <v>995</v>
      </c>
      <c r="O5" s="494" t="s">
        <v>996</v>
      </c>
      <c r="P5" s="494" t="s">
        <v>997</v>
      </c>
      <c r="Q5" s="494" t="s">
        <v>998</v>
      </c>
      <c r="R5" s="494" t="s">
        <v>999</v>
      </c>
      <c r="S5" s="494" t="s">
        <v>1000</v>
      </c>
      <c r="T5" s="494" t="s">
        <v>1001</v>
      </c>
      <c r="U5" s="494" t="s">
        <v>938</v>
      </c>
      <c r="X5" s="494" t="s">
        <v>786</v>
      </c>
      <c r="Y5" s="494" t="s">
        <v>901</v>
      </c>
      <c r="Z5" s="494" t="s">
        <v>902</v>
      </c>
      <c r="AA5" s="494" t="s">
        <v>882</v>
      </c>
      <c r="AB5" s="494" t="s">
        <v>960</v>
      </c>
    </row>
    <row r="6" spans="1:28" x14ac:dyDescent="0.25">
      <c r="A6" s="494" t="s">
        <v>310</v>
      </c>
      <c r="E6" s="494" t="s">
        <v>380</v>
      </c>
      <c r="G6" s="494" t="s">
        <v>910</v>
      </c>
      <c r="H6" s="494" t="s">
        <v>528</v>
      </c>
      <c r="I6" s="494" t="s">
        <v>1010</v>
      </c>
      <c r="J6" s="494" t="s">
        <v>977</v>
      </c>
      <c r="K6" s="494" t="s">
        <v>1011</v>
      </c>
      <c r="L6" s="494" t="s">
        <v>1012</v>
      </c>
      <c r="M6" s="494" t="s">
        <v>1013</v>
      </c>
      <c r="N6" s="494" t="s">
        <v>995</v>
      </c>
      <c r="O6" s="494" t="s">
        <v>996</v>
      </c>
      <c r="P6" s="494" t="s">
        <v>997</v>
      </c>
      <c r="Q6" s="494" t="s">
        <v>998</v>
      </c>
      <c r="R6" s="494" t="s">
        <v>999</v>
      </c>
      <c r="S6" s="494" t="s">
        <v>1000</v>
      </c>
      <c r="T6" s="494" t="s">
        <v>1001</v>
      </c>
      <c r="U6" s="494" t="s">
        <v>938</v>
      </c>
      <c r="X6" s="494" t="s">
        <v>786</v>
      </c>
      <c r="Y6" s="494" t="s">
        <v>901</v>
      </c>
      <c r="Z6" s="494" t="s">
        <v>902</v>
      </c>
      <c r="AA6" s="494" t="s">
        <v>882</v>
      </c>
      <c r="AB6" s="494" t="s">
        <v>960</v>
      </c>
    </row>
    <row r="7" spans="1:28" x14ac:dyDescent="0.25">
      <c r="A7" s="494" t="s">
        <v>312</v>
      </c>
      <c r="G7" s="494" t="s">
        <v>911</v>
      </c>
      <c r="H7" s="494" t="s">
        <v>528</v>
      </c>
      <c r="I7" s="494" t="s">
        <v>1010</v>
      </c>
      <c r="J7" s="494" t="s">
        <v>977</v>
      </c>
      <c r="K7" s="494" t="s">
        <v>1011</v>
      </c>
      <c r="L7" s="494" t="s">
        <v>1012</v>
      </c>
      <c r="M7" s="494" t="s">
        <v>1013</v>
      </c>
      <c r="N7" s="494" t="s">
        <v>995</v>
      </c>
      <c r="O7" s="494" t="s">
        <v>996</v>
      </c>
      <c r="P7" s="494" t="s">
        <v>997</v>
      </c>
      <c r="Q7" s="494" t="s">
        <v>998</v>
      </c>
      <c r="R7" s="494" t="s">
        <v>999</v>
      </c>
      <c r="S7" s="494" t="s">
        <v>1000</v>
      </c>
      <c r="T7" s="494" t="s">
        <v>1001</v>
      </c>
      <c r="U7" s="494" t="s">
        <v>938</v>
      </c>
      <c r="X7" s="494" t="s">
        <v>786</v>
      </c>
      <c r="Y7" s="494" t="s">
        <v>901</v>
      </c>
      <c r="Z7" s="494" t="s">
        <v>902</v>
      </c>
      <c r="AA7" s="494" t="s">
        <v>882</v>
      </c>
      <c r="AB7" s="494" t="s">
        <v>960</v>
      </c>
    </row>
    <row r="8" spans="1:28" x14ac:dyDescent="0.25">
      <c r="A8" s="494" t="s">
        <v>315</v>
      </c>
      <c r="G8" s="494" t="s">
        <v>912</v>
      </c>
      <c r="H8" s="494" t="s">
        <v>528</v>
      </c>
      <c r="I8" s="494" t="s">
        <v>1010</v>
      </c>
      <c r="J8" s="494" t="s">
        <v>977</v>
      </c>
      <c r="K8" s="494" t="s">
        <v>1011</v>
      </c>
      <c r="L8" s="494" t="s">
        <v>1012</v>
      </c>
      <c r="M8" s="494" t="s">
        <v>1013</v>
      </c>
      <c r="N8" s="494" t="s">
        <v>995</v>
      </c>
      <c r="O8" s="494" t="s">
        <v>996</v>
      </c>
      <c r="P8" s="494" t="s">
        <v>997</v>
      </c>
      <c r="Q8" s="494" t="s">
        <v>998</v>
      </c>
      <c r="R8" s="494" t="s">
        <v>999</v>
      </c>
      <c r="S8" s="494" t="s">
        <v>1000</v>
      </c>
      <c r="T8" s="494" t="s">
        <v>1001</v>
      </c>
      <c r="U8" s="494" t="s">
        <v>938</v>
      </c>
      <c r="X8" s="494" t="s">
        <v>786</v>
      </c>
      <c r="Y8" s="494" t="s">
        <v>901</v>
      </c>
      <c r="Z8" s="494" t="s">
        <v>902</v>
      </c>
      <c r="AA8" s="494" t="s">
        <v>882</v>
      </c>
      <c r="AB8" s="494" t="s">
        <v>960</v>
      </c>
    </row>
    <row r="9" spans="1:28" x14ac:dyDescent="0.25">
      <c r="A9" s="494" t="s">
        <v>352</v>
      </c>
      <c r="G9" s="494" t="s">
        <v>913</v>
      </c>
      <c r="H9" s="494" t="s">
        <v>528</v>
      </c>
      <c r="I9" s="494" t="s">
        <v>1010</v>
      </c>
      <c r="J9" s="494" t="s">
        <v>977</v>
      </c>
      <c r="K9" s="494" t="s">
        <v>1011</v>
      </c>
      <c r="L9" s="494" t="s">
        <v>1012</v>
      </c>
      <c r="M9" s="494" t="s">
        <v>1013</v>
      </c>
      <c r="N9" s="494" t="s">
        <v>995</v>
      </c>
      <c r="O9" s="494" t="s">
        <v>996</v>
      </c>
      <c r="P9" s="494" t="s">
        <v>997</v>
      </c>
      <c r="Q9" s="494" t="s">
        <v>998</v>
      </c>
      <c r="R9" s="494" t="s">
        <v>999</v>
      </c>
      <c r="S9" s="494" t="s">
        <v>1000</v>
      </c>
      <c r="T9" s="494" t="s">
        <v>1001</v>
      </c>
      <c r="U9" s="494" t="s">
        <v>938</v>
      </c>
      <c r="X9" s="494" t="s">
        <v>786</v>
      </c>
      <c r="Y9" s="494" t="s">
        <v>901</v>
      </c>
      <c r="Z9" s="494" t="s">
        <v>902</v>
      </c>
      <c r="AA9" s="494" t="s">
        <v>882</v>
      </c>
      <c r="AB9" s="494" t="s">
        <v>960</v>
      </c>
    </row>
    <row r="10" spans="1:28" ht="15" customHeight="1" x14ac:dyDescent="0.25">
      <c r="A10" s="494" t="s">
        <v>353</v>
      </c>
      <c r="B10" s="494" t="s">
        <v>354</v>
      </c>
      <c r="G10" s="494" t="s">
        <v>914</v>
      </c>
      <c r="H10" s="494" t="s">
        <v>528</v>
      </c>
      <c r="I10" s="494" t="s">
        <v>1010</v>
      </c>
      <c r="J10" s="494" t="s">
        <v>977</v>
      </c>
      <c r="K10" s="494" t="s">
        <v>1011</v>
      </c>
      <c r="L10" s="494" t="s">
        <v>1012</v>
      </c>
      <c r="M10" s="494" t="s">
        <v>1013</v>
      </c>
      <c r="N10" s="494" t="s">
        <v>995</v>
      </c>
      <c r="O10" s="494" t="s">
        <v>996</v>
      </c>
      <c r="P10" s="494" t="s">
        <v>997</v>
      </c>
      <c r="Q10" s="494" t="s">
        <v>998</v>
      </c>
      <c r="R10" s="494" t="s">
        <v>999</v>
      </c>
      <c r="S10" s="494" t="s">
        <v>1000</v>
      </c>
      <c r="T10" s="494" t="s">
        <v>1001</v>
      </c>
      <c r="U10" s="494" t="s">
        <v>938</v>
      </c>
      <c r="X10" s="494" t="s">
        <v>786</v>
      </c>
      <c r="Y10" s="494" t="s">
        <v>901</v>
      </c>
      <c r="Z10" s="494" t="s">
        <v>902</v>
      </c>
      <c r="AA10" s="494" t="s">
        <v>882</v>
      </c>
      <c r="AB10" s="494" t="s">
        <v>960</v>
      </c>
    </row>
    <row r="11" spans="1:28" ht="15.75" customHeight="1" x14ac:dyDescent="0.25">
      <c r="A11" s="494" t="s">
        <v>355</v>
      </c>
      <c r="G11" s="494" t="s">
        <v>915</v>
      </c>
      <c r="H11" s="494" t="s">
        <v>528</v>
      </c>
      <c r="I11" s="494" t="s">
        <v>1010</v>
      </c>
      <c r="J11" s="494" t="s">
        <v>977</v>
      </c>
      <c r="K11" s="494" t="s">
        <v>1011</v>
      </c>
      <c r="L11" s="494" t="s">
        <v>1012</v>
      </c>
      <c r="M11" s="494" t="s">
        <v>1013</v>
      </c>
      <c r="N11" s="494" t="s">
        <v>995</v>
      </c>
      <c r="O11" s="494" t="s">
        <v>996</v>
      </c>
      <c r="P11" s="494" t="s">
        <v>997</v>
      </c>
      <c r="Q11" s="494" t="s">
        <v>998</v>
      </c>
      <c r="R11" s="494" t="s">
        <v>999</v>
      </c>
      <c r="S11" s="494" t="s">
        <v>1000</v>
      </c>
      <c r="T11" s="494" t="s">
        <v>1001</v>
      </c>
      <c r="U11" s="494" t="s">
        <v>938</v>
      </c>
      <c r="X11" s="494" t="s">
        <v>786</v>
      </c>
      <c r="Y11" s="494" t="s">
        <v>901</v>
      </c>
      <c r="Z11" s="494" t="s">
        <v>902</v>
      </c>
      <c r="AA11" s="494" t="s">
        <v>882</v>
      </c>
      <c r="AB11" s="494" t="s">
        <v>960</v>
      </c>
    </row>
    <row r="12" spans="1:28" x14ac:dyDescent="0.25">
      <c r="A12" s="494" t="s">
        <v>318</v>
      </c>
      <c r="B12" s="494" t="s">
        <v>381</v>
      </c>
      <c r="G12" s="494" t="s">
        <v>916</v>
      </c>
      <c r="H12" s="494" t="s">
        <v>528</v>
      </c>
      <c r="I12" s="494" t="s">
        <v>1010</v>
      </c>
      <c r="J12" s="494" t="s">
        <v>977</v>
      </c>
      <c r="K12" s="494" t="s">
        <v>1011</v>
      </c>
      <c r="L12" s="494" t="s">
        <v>1012</v>
      </c>
      <c r="M12" s="494" t="s">
        <v>1013</v>
      </c>
      <c r="N12" s="494" t="s">
        <v>995</v>
      </c>
      <c r="O12" s="494" t="s">
        <v>996</v>
      </c>
      <c r="P12" s="494" t="s">
        <v>997</v>
      </c>
      <c r="Q12" s="494" t="s">
        <v>998</v>
      </c>
      <c r="R12" s="494" t="s">
        <v>999</v>
      </c>
      <c r="S12" s="494" t="s">
        <v>1000</v>
      </c>
      <c r="T12" s="494" t="s">
        <v>1001</v>
      </c>
      <c r="U12" s="494" t="s">
        <v>938</v>
      </c>
      <c r="X12" s="494" t="s">
        <v>786</v>
      </c>
      <c r="Y12" s="494" t="s">
        <v>901</v>
      </c>
      <c r="Z12" s="494" t="s">
        <v>902</v>
      </c>
      <c r="AA12" s="494" t="s">
        <v>882</v>
      </c>
      <c r="AB12" s="494" t="s">
        <v>960</v>
      </c>
    </row>
    <row r="13" spans="1:28" x14ac:dyDescent="0.25">
      <c r="A13" s="494" t="s">
        <v>321</v>
      </c>
      <c r="G13" s="494" t="s">
        <v>917</v>
      </c>
      <c r="H13" s="494" t="s">
        <v>528</v>
      </c>
      <c r="I13" s="494" t="s">
        <v>1010</v>
      </c>
      <c r="J13" s="494" t="s">
        <v>977</v>
      </c>
      <c r="K13" s="494" t="s">
        <v>1011</v>
      </c>
      <c r="L13" s="494" t="s">
        <v>1012</v>
      </c>
      <c r="M13" s="494" t="s">
        <v>1013</v>
      </c>
      <c r="N13" s="494" t="s">
        <v>995</v>
      </c>
      <c r="O13" s="494" t="s">
        <v>996</v>
      </c>
      <c r="P13" s="494" t="s">
        <v>997</v>
      </c>
      <c r="Q13" s="494" t="s">
        <v>998</v>
      </c>
      <c r="R13" s="494" t="s">
        <v>999</v>
      </c>
      <c r="S13" s="494" t="s">
        <v>1000</v>
      </c>
      <c r="T13" s="494" t="s">
        <v>1001</v>
      </c>
      <c r="U13" s="494" t="s">
        <v>938</v>
      </c>
      <c r="X13" s="494" t="s">
        <v>786</v>
      </c>
      <c r="Y13" s="494" t="s">
        <v>901</v>
      </c>
      <c r="Z13" s="494" t="s">
        <v>902</v>
      </c>
      <c r="AA13" s="494" t="s">
        <v>882</v>
      </c>
      <c r="AB13" s="494" t="s">
        <v>960</v>
      </c>
    </row>
    <row r="14" spans="1:28" x14ac:dyDescent="0.25">
      <c r="A14" s="494" t="s">
        <v>324</v>
      </c>
      <c r="F14" s="494" t="s">
        <v>381</v>
      </c>
      <c r="G14" s="494" t="s">
        <v>918</v>
      </c>
      <c r="H14" s="494" t="s">
        <v>528</v>
      </c>
      <c r="I14" s="494" t="s">
        <v>1010</v>
      </c>
      <c r="J14" s="494" t="s">
        <v>977</v>
      </c>
      <c r="K14" s="494" t="s">
        <v>1011</v>
      </c>
      <c r="L14" s="494" t="s">
        <v>1012</v>
      </c>
      <c r="M14" s="494" t="s">
        <v>1013</v>
      </c>
      <c r="N14" s="494" t="s">
        <v>995</v>
      </c>
      <c r="O14" s="494" t="s">
        <v>996</v>
      </c>
      <c r="P14" s="494" t="s">
        <v>997</v>
      </c>
      <c r="Q14" s="494" t="s">
        <v>998</v>
      </c>
      <c r="R14" s="494" t="s">
        <v>999</v>
      </c>
      <c r="S14" s="494" t="s">
        <v>1000</v>
      </c>
      <c r="T14" s="494" t="s">
        <v>1001</v>
      </c>
      <c r="U14" s="494" t="s">
        <v>938</v>
      </c>
      <c r="X14" s="494" t="s">
        <v>786</v>
      </c>
      <c r="Y14" s="494" t="s">
        <v>901</v>
      </c>
      <c r="Z14" s="494" t="s">
        <v>902</v>
      </c>
      <c r="AA14" s="494" t="s">
        <v>882</v>
      </c>
      <c r="AB14" s="494" t="s">
        <v>960</v>
      </c>
    </row>
    <row r="15" spans="1:28" x14ac:dyDescent="0.25">
      <c r="A15" s="494" t="s">
        <v>325</v>
      </c>
      <c r="B15" s="494" t="s">
        <v>381</v>
      </c>
      <c r="E15" s="494" t="s">
        <v>381</v>
      </c>
      <c r="G15" s="494" t="s">
        <v>919</v>
      </c>
      <c r="H15" s="494" t="s">
        <v>528</v>
      </c>
      <c r="I15" s="494" t="s">
        <v>1010</v>
      </c>
      <c r="J15" s="494" t="s">
        <v>977</v>
      </c>
      <c r="K15" s="494" t="s">
        <v>1011</v>
      </c>
      <c r="L15" s="494" t="s">
        <v>1012</v>
      </c>
      <c r="M15" s="494" t="s">
        <v>1013</v>
      </c>
      <c r="N15" s="494" t="s">
        <v>995</v>
      </c>
      <c r="O15" s="494" t="s">
        <v>996</v>
      </c>
      <c r="P15" s="494" t="s">
        <v>997</v>
      </c>
      <c r="Q15" s="494" t="s">
        <v>998</v>
      </c>
      <c r="R15" s="494" t="s">
        <v>999</v>
      </c>
      <c r="S15" s="494" t="s">
        <v>1000</v>
      </c>
      <c r="T15" s="494" t="s">
        <v>1001</v>
      </c>
      <c r="U15" s="494" t="s">
        <v>938</v>
      </c>
      <c r="X15" s="494" t="s">
        <v>786</v>
      </c>
      <c r="Y15" s="494" t="s">
        <v>901</v>
      </c>
      <c r="Z15" s="494" t="s">
        <v>902</v>
      </c>
      <c r="AA15" s="494" t="s">
        <v>882</v>
      </c>
      <c r="AB15" s="494" t="s">
        <v>960</v>
      </c>
    </row>
    <row r="16" spans="1:28" x14ac:dyDescent="0.25">
      <c r="A16" s="494" t="s">
        <v>357</v>
      </c>
      <c r="G16" s="494" t="s">
        <v>920</v>
      </c>
      <c r="H16" s="494" t="s">
        <v>528</v>
      </c>
      <c r="I16" s="494" t="s">
        <v>1010</v>
      </c>
      <c r="J16" s="494" t="s">
        <v>977</v>
      </c>
      <c r="K16" s="494" t="s">
        <v>1011</v>
      </c>
      <c r="L16" s="494" t="s">
        <v>1012</v>
      </c>
      <c r="M16" s="494" t="s">
        <v>1013</v>
      </c>
      <c r="N16" s="494" t="s">
        <v>995</v>
      </c>
      <c r="O16" s="494" t="s">
        <v>996</v>
      </c>
      <c r="P16" s="494" t="s">
        <v>997</v>
      </c>
      <c r="Q16" s="494" t="s">
        <v>998</v>
      </c>
      <c r="R16" s="494" t="s">
        <v>999</v>
      </c>
      <c r="S16" s="494" t="s">
        <v>1000</v>
      </c>
      <c r="T16" s="494" t="s">
        <v>1001</v>
      </c>
      <c r="U16" s="494" t="s">
        <v>938</v>
      </c>
      <c r="X16" s="494" t="s">
        <v>786</v>
      </c>
      <c r="Y16" s="494" t="s">
        <v>901</v>
      </c>
      <c r="Z16" s="494" t="s">
        <v>902</v>
      </c>
      <c r="AA16" s="494" t="s">
        <v>882</v>
      </c>
      <c r="AB16" s="494" t="s">
        <v>960</v>
      </c>
    </row>
    <row r="17" spans="1:28" x14ac:dyDescent="0.25">
      <c r="A17" s="494" t="s">
        <v>358</v>
      </c>
      <c r="G17" s="494" t="s">
        <v>921</v>
      </c>
      <c r="H17" s="494" t="s">
        <v>528</v>
      </c>
      <c r="I17" s="494" t="s">
        <v>1010</v>
      </c>
      <c r="J17" s="494" t="s">
        <v>977</v>
      </c>
      <c r="K17" s="494" t="s">
        <v>1011</v>
      </c>
      <c r="L17" s="494" t="s">
        <v>1012</v>
      </c>
      <c r="M17" s="494" t="s">
        <v>1013</v>
      </c>
      <c r="N17" s="494" t="s">
        <v>995</v>
      </c>
      <c r="O17" s="494" t="s">
        <v>996</v>
      </c>
      <c r="P17" s="494" t="s">
        <v>997</v>
      </c>
      <c r="Q17" s="494" t="s">
        <v>998</v>
      </c>
      <c r="R17" s="494" t="s">
        <v>999</v>
      </c>
      <c r="S17" s="494" t="s">
        <v>1000</v>
      </c>
      <c r="T17" s="494" t="s">
        <v>1001</v>
      </c>
      <c r="U17" s="494" t="s">
        <v>938</v>
      </c>
      <c r="X17" s="494" t="s">
        <v>786</v>
      </c>
      <c r="Y17" s="494" t="s">
        <v>901</v>
      </c>
      <c r="Z17" s="494" t="s">
        <v>902</v>
      </c>
      <c r="AA17" s="494" t="s">
        <v>882</v>
      </c>
      <c r="AB17" s="494" t="s">
        <v>960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E7D7D-D47D-4FDB-81FF-FE6F8524D5E3}">
  <dimension ref="A1:AB17"/>
  <sheetViews>
    <sheetView workbookViewId="0">
      <selection activeCell="A2" sqref="A2:XFD17"/>
    </sheetView>
  </sheetViews>
  <sheetFormatPr defaultRowHeight="15" x14ac:dyDescent="0.25"/>
  <cols>
    <col min="1" max="1" width="15.5703125" style="494" customWidth="1"/>
    <col min="2" max="2" width="25.85546875" style="494" bestFit="1" customWidth="1"/>
    <col min="3" max="3" width="19.28515625" style="494" customWidth="1"/>
    <col min="4" max="4" width="22.5703125" style="494" customWidth="1"/>
    <col min="5" max="5" width="20" style="494" customWidth="1"/>
    <col min="6" max="7" width="17.42578125" style="494" customWidth="1"/>
    <col min="8" max="8" width="18.85546875" style="494" customWidth="1"/>
    <col min="9" max="10" width="19.42578125" style="494" customWidth="1"/>
    <col min="11" max="11" width="18.140625" style="494" customWidth="1"/>
    <col min="12" max="12" width="22.5703125" style="494" customWidth="1"/>
    <col min="13" max="13" width="22.42578125" style="494" customWidth="1"/>
    <col min="14" max="14" width="17.140625" style="494" customWidth="1"/>
    <col min="15" max="15" width="22.7109375" style="494" bestFit="1" customWidth="1"/>
    <col min="16" max="16" width="17.5703125" style="494" customWidth="1"/>
    <col min="17" max="18" width="15.28515625" style="494" customWidth="1"/>
    <col min="19" max="19" width="18.42578125" style="494" customWidth="1"/>
    <col min="20" max="20" width="22.85546875" style="494" bestFit="1" customWidth="1"/>
    <col min="21" max="21" width="18.85546875" style="494" customWidth="1"/>
    <col min="22" max="23" width="16.5703125" style="494" customWidth="1"/>
    <col min="24" max="24" width="17.140625" style="494" customWidth="1"/>
    <col min="25" max="25" width="21.7109375" style="494" bestFit="1" customWidth="1"/>
    <col min="26" max="27" width="15.42578125" style="494" customWidth="1"/>
    <col min="28" max="28" width="13.7109375" style="494" bestFit="1" customWidth="1"/>
    <col min="29" max="16384" width="9.140625" style="494"/>
  </cols>
  <sheetData>
    <row r="1" spans="1:28" x14ac:dyDescent="0.25">
      <c r="A1" s="494" t="s">
        <v>873</v>
      </c>
      <c r="B1" s="494" t="s">
        <v>874</v>
      </c>
      <c r="C1" s="494" t="s">
        <v>875</v>
      </c>
      <c r="D1" s="494" t="s">
        <v>876</v>
      </c>
      <c r="E1" s="494" t="s">
        <v>877</v>
      </c>
      <c r="F1" s="494" t="s">
        <v>878</v>
      </c>
      <c r="G1" s="494" t="s">
        <v>905</v>
      </c>
      <c r="H1" s="494" t="s">
        <v>872</v>
      </c>
      <c r="I1" s="494" t="s">
        <v>978</v>
      </c>
      <c r="J1" s="494" t="s">
        <v>971</v>
      </c>
      <c r="K1" s="494" t="s">
        <v>885</v>
      </c>
      <c r="L1" s="494" t="s">
        <v>884</v>
      </c>
      <c r="M1" s="494" t="s">
        <v>886</v>
      </c>
      <c r="N1" s="494" t="s">
        <v>888</v>
      </c>
      <c r="O1" s="494" t="s">
        <v>889</v>
      </c>
      <c r="P1" s="494" t="s">
        <v>890</v>
      </c>
      <c r="Q1" s="494" t="s">
        <v>891</v>
      </c>
      <c r="R1" s="494" t="s">
        <v>959</v>
      </c>
      <c r="S1" s="494" t="s">
        <v>892</v>
      </c>
      <c r="T1" s="494" t="s">
        <v>893</v>
      </c>
      <c r="U1" s="494" t="s">
        <v>896</v>
      </c>
      <c r="V1" s="494" t="s">
        <v>897</v>
      </c>
      <c r="W1" s="494" t="s">
        <v>958</v>
      </c>
      <c r="X1" s="494" t="s">
        <v>898</v>
      </c>
      <c r="Y1" s="494" t="s">
        <v>900</v>
      </c>
      <c r="Z1" s="494" t="s">
        <v>939</v>
      </c>
      <c r="AA1" s="494" t="s">
        <v>899</v>
      </c>
      <c r="AB1" s="494" t="s">
        <v>957</v>
      </c>
    </row>
    <row r="2" spans="1:28" ht="15" customHeight="1" x14ac:dyDescent="0.25">
      <c r="A2" s="494" t="s">
        <v>343</v>
      </c>
      <c r="D2" s="494" t="s">
        <v>381</v>
      </c>
      <c r="G2" s="494" t="s">
        <v>906</v>
      </c>
      <c r="H2" s="494" t="s">
        <v>589</v>
      </c>
      <c r="I2" s="494" t="s">
        <v>1014</v>
      </c>
      <c r="J2" s="494" t="s">
        <v>1015</v>
      </c>
      <c r="K2" s="494" t="s">
        <v>1016</v>
      </c>
      <c r="L2" s="494" t="s">
        <v>1017</v>
      </c>
      <c r="M2" s="494" t="s">
        <v>1018</v>
      </c>
      <c r="O2" s="494" t="s">
        <v>1020</v>
      </c>
      <c r="S2" s="494" t="s">
        <v>1021</v>
      </c>
      <c r="T2" s="494" t="s">
        <v>1022</v>
      </c>
      <c r="U2" s="494" t="s">
        <v>1023</v>
      </c>
      <c r="V2" s="494" t="s">
        <v>1024</v>
      </c>
      <c r="W2" s="494" t="s">
        <v>1025</v>
      </c>
      <c r="X2" s="494" t="s">
        <v>786</v>
      </c>
      <c r="Y2" s="494" t="s">
        <v>901</v>
      </c>
      <c r="Z2" s="494" t="s">
        <v>902</v>
      </c>
      <c r="AA2" s="494" t="s">
        <v>882</v>
      </c>
      <c r="AB2" s="494" t="s">
        <v>960</v>
      </c>
    </row>
    <row r="3" spans="1:28" ht="15" customHeight="1" x14ac:dyDescent="0.25">
      <c r="A3" s="494" t="s">
        <v>349</v>
      </c>
      <c r="B3" s="494" t="s">
        <v>618</v>
      </c>
      <c r="G3" s="494" t="s">
        <v>907</v>
      </c>
      <c r="H3" s="494" t="s">
        <v>589</v>
      </c>
      <c r="I3" s="494" t="s">
        <v>1014</v>
      </c>
      <c r="J3" s="494" t="s">
        <v>1015</v>
      </c>
      <c r="K3" s="494" t="s">
        <v>1016</v>
      </c>
      <c r="L3" s="494" t="s">
        <v>1017</v>
      </c>
      <c r="M3" s="494" t="s">
        <v>1018</v>
      </c>
      <c r="O3" s="494" t="s">
        <v>1020</v>
      </c>
      <c r="S3" s="494" t="s">
        <v>1021</v>
      </c>
      <c r="T3" s="494" t="s">
        <v>1022</v>
      </c>
      <c r="U3" s="494" t="s">
        <v>1023</v>
      </c>
      <c r="V3" s="494" t="s">
        <v>1024</v>
      </c>
      <c r="W3" s="494" t="s">
        <v>1025</v>
      </c>
      <c r="X3" s="494" t="s">
        <v>786</v>
      </c>
      <c r="Y3" s="494" t="s">
        <v>901</v>
      </c>
      <c r="Z3" s="494" t="s">
        <v>902</v>
      </c>
      <c r="AA3" s="494" t="s">
        <v>882</v>
      </c>
      <c r="AB3" s="494" t="s">
        <v>960</v>
      </c>
    </row>
    <row r="4" spans="1:28" ht="15" customHeight="1" x14ac:dyDescent="0.25">
      <c r="A4" s="494" t="s">
        <v>305</v>
      </c>
      <c r="B4" s="494" t="s">
        <v>618</v>
      </c>
      <c r="G4" s="494" t="s">
        <v>908</v>
      </c>
      <c r="H4" s="494" t="s">
        <v>589</v>
      </c>
      <c r="I4" s="494" t="s">
        <v>1014</v>
      </c>
      <c r="J4" s="494" t="s">
        <v>1015</v>
      </c>
      <c r="K4" s="494" t="s">
        <v>1016</v>
      </c>
      <c r="L4" s="494" t="s">
        <v>1017</v>
      </c>
      <c r="M4" s="494" t="s">
        <v>1018</v>
      </c>
      <c r="O4" s="494" t="s">
        <v>1020</v>
      </c>
      <c r="S4" s="494" t="s">
        <v>1021</v>
      </c>
      <c r="T4" s="494" t="s">
        <v>1022</v>
      </c>
      <c r="U4" s="494" t="s">
        <v>1023</v>
      </c>
      <c r="V4" s="494" t="s">
        <v>1024</v>
      </c>
      <c r="W4" s="494" t="s">
        <v>1025</v>
      </c>
      <c r="X4" s="494" t="s">
        <v>786</v>
      </c>
      <c r="Y4" s="494" t="s">
        <v>901</v>
      </c>
      <c r="Z4" s="494" t="s">
        <v>902</v>
      </c>
      <c r="AA4" s="494" t="s">
        <v>882</v>
      </c>
      <c r="AB4" s="494" t="s">
        <v>960</v>
      </c>
    </row>
    <row r="5" spans="1:28" ht="15" customHeight="1" x14ac:dyDescent="0.25">
      <c r="A5" s="494" t="s">
        <v>308</v>
      </c>
      <c r="B5" s="494" t="s">
        <v>618</v>
      </c>
      <c r="G5" s="494" t="s">
        <v>909</v>
      </c>
      <c r="H5" s="494" t="s">
        <v>589</v>
      </c>
      <c r="I5" s="494" t="s">
        <v>1014</v>
      </c>
      <c r="J5" s="494" t="s">
        <v>1015</v>
      </c>
      <c r="K5" s="494" t="s">
        <v>1016</v>
      </c>
      <c r="L5" s="494" t="s">
        <v>1017</v>
      </c>
      <c r="M5" s="494" t="s">
        <v>1018</v>
      </c>
      <c r="O5" s="494" t="s">
        <v>1020</v>
      </c>
      <c r="S5" s="494" t="s">
        <v>1021</v>
      </c>
      <c r="T5" s="494" t="s">
        <v>1022</v>
      </c>
      <c r="U5" s="494" t="s">
        <v>1023</v>
      </c>
      <c r="V5" s="494" t="s">
        <v>1024</v>
      </c>
      <c r="W5" s="494" t="s">
        <v>1025</v>
      </c>
      <c r="X5" s="494" t="s">
        <v>786</v>
      </c>
      <c r="Y5" s="494" t="s">
        <v>901</v>
      </c>
      <c r="Z5" s="494" t="s">
        <v>902</v>
      </c>
      <c r="AA5" s="494" t="s">
        <v>882</v>
      </c>
      <c r="AB5" s="494" t="s">
        <v>960</v>
      </c>
    </row>
    <row r="6" spans="1:28" x14ac:dyDescent="0.25">
      <c r="A6" s="494" t="s">
        <v>310</v>
      </c>
      <c r="B6" s="494" t="s">
        <v>618</v>
      </c>
      <c r="E6" s="494" t="s">
        <v>380</v>
      </c>
      <c r="G6" s="494" t="s">
        <v>910</v>
      </c>
      <c r="H6" s="494" t="s">
        <v>589</v>
      </c>
      <c r="I6" s="494" t="s">
        <v>1014</v>
      </c>
      <c r="J6" s="494" t="s">
        <v>1015</v>
      </c>
      <c r="K6" s="494" t="s">
        <v>1016</v>
      </c>
      <c r="L6" s="494" t="s">
        <v>1017</v>
      </c>
      <c r="M6" s="494" t="s">
        <v>1018</v>
      </c>
      <c r="O6" s="494" t="s">
        <v>1020</v>
      </c>
      <c r="S6" s="494" t="s">
        <v>1021</v>
      </c>
      <c r="T6" s="494" t="s">
        <v>1022</v>
      </c>
      <c r="U6" s="494" t="s">
        <v>1023</v>
      </c>
      <c r="V6" s="494" t="s">
        <v>1024</v>
      </c>
      <c r="W6" s="494" t="s">
        <v>1025</v>
      </c>
      <c r="X6" s="494" t="s">
        <v>786</v>
      </c>
      <c r="Y6" s="494" t="s">
        <v>901</v>
      </c>
      <c r="Z6" s="494" t="s">
        <v>902</v>
      </c>
      <c r="AA6" s="494" t="s">
        <v>882</v>
      </c>
      <c r="AB6" s="494" t="s">
        <v>960</v>
      </c>
    </row>
    <row r="7" spans="1:28" x14ac:dyDescent="0.25">
      <c r="A7" s="494" t="s">
        <v>312</v>
      </c>
      <c r="B7" s="494" t="s">
        <v>618</v>
      </c>
      <c r="G7" s="494" t="s">
        <v>911</v>
      </c>
      <c r="H7" s="494" t="s">
        <v>589</v>
      </c>
      <c r="I7" s="494" t="s">
        <v>1014</v>
      </c>
      <c r="J7" s="494" t="s">
        <v>1015</v>
      </c>
      <c r="K7" s="494" t="s">
        <v>1016</v>
      </c>
      <c r="L7" s="494" t="s">
        <v>1017</v>
      </c>
      <c r="M7" s="494" t="s">
        <v>1018</v>
      </c>
      <c r="O7" s="494" t="s">
        <v>1020</v>
      </c>
      <c r="S7" s="494" t="s">
        <v>1021</v>
      </c>
      <c r="T7" s="494" t="s">
        <v>1022</v>
      </c>
      <c r="U7" s="494" t="s">
        <v>1023</v>
      </c>
      <c r="V7" s="494" t="s">
        <v>1024</v>
      </c>
      <c r="W7" s="494" t="s">
        <v>1025</v>
      </c>
      <c r="X7" s="494" t="s">
        <v>786</v>
      </c>
      <c r="Y7" s="494" t="s">
        <v>901</v>
      </c>
      <c r="Z7" s="494" t="s">
        <v>902</v>
      </c>
      <c r="AA7" s="494" t="s">
        <v>882</v>
      </c>
      <c r="AB7" s="494" t="s">
        <v>960</v>
      </c>
    </row>
    <row r="8" spans="1:28" x14ac:dyDescent="0.25">
      <c r="A8" s="494" t="s">
        <v>315</v>
      </c>
      <c r="B8" s="494" t="s">
        <v>618</v>
      </c>
      <c r="G8" s="494" t="s">
        <v>912</v>
      </c>
      <c r="H8" s="494" t="s">
        <v>589</v>
      </c>
      <c r="I8" s="494" t="s">
        <v>1014</v>
      </c>
      <c r="J8" s="494" t="s">
        <v>1015</v>
      </c>
      <c r="K8" s="494" t="s">
        <v>1016</v>
      </c>
      <c r="L8" s="494" t="s">
        <v>1017</v>
      </c>
      <c r="M8" s="494" t="s">
        <v>1018</v>
      </c>
      <c r="O8" s="494" t="s">
        <v>1020</v>
      </c>
      <c r="S8" s="494" t="s">
        <v>1021</v>
      </c>
      <c r="T8" s="494" t="s">
        <v>1022</v>
      </c>
      <c r="U8" s="494" t="s">
        <v>1023</v>
      </c>
      <c r="V8" s="494" t="s">
        <v>1024</v>
      </c>
      <c r="W8" s="494" t="s">
        <v>1025</v>
      </c>
      <c r="X8" s="494" t="s">
        <v>786</v>
      </c>
      <c r="Y8" s="494" t="s">
        <v>901</v>
      </c>
      <c r="Z8" s="494" t="s">
        <v>902</v>
      </c>
      <c r="AA8" s="494" t="s">
        <v>882</v>
      </c>
      <c r="AB8" s="494" t="s">
        <v>960</v>
      </c>
    </row>
    <row r="9" spans="1:28" x14ac:dyDescent="0.25">
      <c r="A9" s="494" t="s">
        <v>352</v>
      </c>
      <c r="B9" s="494" t="s">
        <v>618</v>
      </c>
      <c r="G9" s="494" t="s">
        <v>913</v>
      </c>
      <c r="H9" s="494" t="s">
        <v>589</v>
      </c>
      <c r="I9" s="494" t="s">
        <v>1014</v>
      </c>
      <c r="J9" s="494" t="s">
        <v>1015</v>
      </c>
      <c r="K9" s="494" t="s">
        <v>1016</v>
      </c>
      <c r="L9" s="494" t="s">
        <v>1017</v>
      </c>
      <c r="M9" s="494" t="s">
        <v>1018</v>
      </c>
      <c r="O9" s="494" t="s">
        <v>1020</v>
      </c>
      <c r="S9" s="494" t="s">
        <v>1021</v>
      </c>
      <c r="T9" s="494" t="s">
        <v>1022</v>
      </c>
      <c r="U9" s="494" t="s">
        <v>1023</v>
      </c>
      <c r="V9" s="494" t="s">
        <v>1024</v>
      </c>
      <c r="W9" s="494" t="s">
        <v>1025</v>
      </c>
      <c r="X9" s="494" t="s">
        <v>786</v>
      </c>
      <c r="Y9" s="494" t="s">
        <v>901</v>
      </c>
      <c r="Z9" s="494" t="s">
        <v>902</v>
      </c>
      <c r="AA9" s="494" t="s">
        <v>882</v>
      </c>
      <c r="AB9" s="494" t="s">
        <v>960</v>
      </c>
    </row>
    <row r="10" spans="1:28" ht="15" customHeight="1" x14ac:dyDescent="0.25">
      <c r="A10" s="494" t="s">
        <v>353</v>
      </c>
      <c r="B10" s="494" t="s">
        <v>354</v>
      </c>
      <c r="G10" s="494" t="s">
        <v>914</v>
      </c>
      <c r="H10" s="494" t="s">
        <v>589</v>
      </c>
      <c r="I10" s="494" t="s">
        <v>1014</v>
      </c>
      <c r="J10" s="494" t="s">
        <v>1015</v>
      </c>
      <c r="K10" s="494" t="s">
        <v>1016</v>
      </c>
      <c r="L10" s="494" t="s">
        <v>1017</v>
      </c>
      <c r="M10" s="494" t="s">
        <v>1018</v>
      </c>
      <c r="O10" s="494" t="s">
        <v>1020</v>
      </c>
      <c r="S10" s="494" t="s">
        <v>1021</v>
      </c>
      <c r="T10" s="494" t="s">
        <v>1022</v>
      </c>
      <c r="U10" s="494" t="s">
        <v>1023</v>
      </c>
      <c r="V10" s="494" t="s">
        <v>1024</v>
      </c>
      <c r="W10" s="494" t="s">
        <v>1025</v>
      </c>
      <c r="X10" s="494" t="s">
        <v>786</v>
      </c>
      <c r="Y10" s="494" t="s">
        <v>901</v>
      </c>
      <c r="Z10" s="494" t="s">
        <v>902</v>
      </c>
      <c r="AA10" s="494" t="s">
        <v>882</v>
      </c>
      <c r="AB10" s="494" t="s">
        <v>960</v>
      </c>
    </row>
    <row r="11" spans="1:28" ht="15.75" customHeight="1" x14ac:dyDescent="0.25">
      <c r="A11" s="494" t="s">
        <v>355</v>
      </c>
      <c r="G11" s="494" t="s">
        <v>915</v>
      </c>
      <c r="H11" s="494" t="s">
        <v>589</v>
      </c>
      <c r="I11" s="494" t="s">
        <v>1014</v>
      </c>
      <c r="J11" s="494" t="s">
        <v>1015</v>
      </c>
      <c r="K11" s="494" t="s">
        <v>1016</v>
      </c>
      <c r="L11" s="494" t="s">
        <v>1017</v>
      </c>
      <c r="M11" s="494" t="s">
        <v>1018</v>
      </c>
      <c r="O11" s="494" t="s">
        <v>1020</v>
      </c>
      <c r="S11" s="494" t="s">
        <v>1021</v>
      </c>
      <c r="T11" s="494" t="s">
        <v>1022</v>
      </c>
      <c r="U11" s="494" t="s">
        <v>1023</v>
      </c>
      <c r="V11" s="494" t="s">
        <v>1024</v>
      </c>
      <c r="W11" s="494" t="s">
        <v>1025</v>
      </c>
      <c r="X11" s="494" t="s">
        <v>786</v>
      </c>
      <c r="Y11" s="494" t="s">
        <v>901</v>
      </c>
      <c r="Z11" s="494" t="s">
        <v>902</v>
      </c>
      <c r="AA11" s="494" t="s">
        <v>882</v>
      </c>
      <c r="AB11" s="494" t="s">
        <v>960</v>
      </c>
    </row>
    <row r="12" spans="1:28" x14ac:dyDescent="0.25">
      <c r="A12" s="494" t="s">
        <v>318</v>
      </c>
      <c r="B12" s="494" t="s">
        <v>629</v>
      </c>
      <c r="E12" s="494" t="s">
        <v>618</v>
      </c>
      <c r="G12" s="494" t="s">
        <v>916</v>
      </c>
      <c r="H12" s="494" t="s">
        <v>589</v>
      </c>
      <c r="I12" s="494" t="s">
        <v>1014</v>
      </c>
      <c r="J12" s="494" t="s">
        <v>1015</v>
      </c>
      <c r="K12" s="494" t="s">
        <v>1016</v>
      </c>
      <c r="L12" s="494" t="s">
        <v>1017</v>
      </c>
      <c r="M12" s="494" t="s">
        <v>1018</v>
      </c>
      <c r="O12" s="494" t="s">
        <v>1020</v>
      </c>
      <c r="S12" s="494" t="s">
        <v>1021</v>
      </c>
      <c r="T12" s="494" t="s">
        <v>1022</v>
      </c>
      <c r="U12" s="494" t="s">
        <v>1023</v>
      </c>
      <c r="V12" s="494" t="s">
        <v>1024</v>
      </c>
      <c r="W12" s="494" t="s">
        <v>1025</v>
      </c>
      <c r="X12" s="494" t="s">
        <v>786</v>
      </c>
      <c r="Y12" s="494" t="s">
        <v>901</v>
      </c>
      <c r="Z12" s="494" t="s">
        <v>902</v>
      </c>
      <c r="AA12" s="494" t="s">
        <v>882</v>
      </c>
      <c r="AB12" s="494" t="s">
        <v>960</v>
      </c>
    </row>
    <row r="13" spans="1:28" x14ac:dyDescent="0.25">
      <c r="A13" s="494" t="s">
        <v>321</v>
      </c>
      <c r="B13" s="494" t="s">
        <v>629</v>
      </c>
      <c r="E13" s="494" t="s">
        <v>618</v>
      </c>
      <c r="G13" s="494" t="s">
        <v>917</v>
      </c>
      <c r="H13" s="494" t="s">
        <v>589</v>
      </c>
      <c r="I13" s="494" t="s">
        <v>1014</v>
      </c>
      <c r="J13" s="494" t="s">
        <v>1015</v>
      </c>
      <c r="K13" s="494" t="s">
        <v>1016</v>
      </c>
      <c r="L13" s="494" t="s">
        <v>1017</v>
      </c>
      <c r="M13" s="494" t="s">
        <v>1018</v>
      </c>
      <c r="O13" s="494" t="s">
        <v>1020</v>
      </c>
      <c r="S13" s="494" t="s">
        <v>1021</v>
      </c>
      <c r="T13" s="494" t="s">
        <v>1022</v>
      </c>
      <c r="U13" s="494" t="s">
        <v>1023</v>
      </c>
      <c r="V13" s="494" t="s">
        <v>1024</v>
      </c>
      <c r="W13" s="494" t="s">
        <v>1025</v>
      </c>
      <c r="X13" s="494" t="s">
        <v>786</v>
      </c>
      <c r="Y13" s="494" t="s">
        <v>901</v>
      </c>
      <c r="Z13" s="494" t="s">
        <v>902</v>
      </c>
      <c r="AA13" s="494" t="s">
        <v>882</v>
      </c>
      <c r="AB13" s="494" t="s">
        <v>960</v>
      </c>
    </row>
    <row r="14" spans="1:28" x14ac:dyDescent="0.25">
      <c r="A14" s="494" t="s">
        <v>324</v>
      </c>
      <c r="B14" s="494" t="s">
        <v>629</v>
      </c>
      <c r="C14" s="494" t="s">
        <v>381</v>
      </c>
      <c r="E14" s="494" t="s">
        <v>618</v>
      </c>
      <c r="G14" s="494" t="s">
        <v>918</v>
      </c>
      <c r="H14" s="494" t="s">
        <v>589</v>
      </c>
      <c r="I14" s="494" t="s">
        <v>1014</v>
      </c>
      <c r="J14" s="494" t="s">
        <v>1015</v>
      </c>
      <c r="K14" s="494" t="s">
        <v>1016</v>
      </c>
      <c r="L14" s="494" t="s">
        <v>1017</v>
      </c>
      <c r="M14" s="494" t="s">
        <v>1018</v>
      </c>
      <c r="O14" s="494" t="s">
        <v>1020</v>
      </c>
      <c r="S14" s="494" t="s">
        <v>1021</v>
      </c>
      <c r="T14" s="494" t="s">
        <v>1022</v>
      </c>
      <c r="U14" s="494" t="s">
        <v>1023</v>
      </c>
      <c r="V14" s="494" t="s">
        <v>1024</v>
      </c>
      <c r="W14" s="494" t="s">
        <v>1025</v>
      </c>
      <c r="X14" s="494" t="s">
        <v>786</v>
      </c>
      <c r="Y14" s="494" t="s">
        <v>901</v>
      </c>
      <c r="Z14" s="494" t="s">
        <v>902</v>
      </c>
      <c r="AA14" s="494" t="s">
        <v>882</v>
      </c>
      <c r="AB14" s="494" t="s">
        <v>960</v>
      </c>
    </row>
    <row r="15" spans="1:28" x14ac:dyDescent="0.25">
      <c r="A15" s="494" t="s">
        <v>325</v>
      </c>
      <c r="B15" s="494" t="s">
        <v>629</v>
      </c>
      <c r="D15" s="494" t="s">
        <v>381</v>
      </c>
      <c r="E15" s="494" t="s">
        <v>618</v>
      </c>
      <c r="G15" s="494" t="s">
        <v>919</v>
      </c>
      <c r="H15" s="494" t="s">
        <v>589</v>
      </c>
      <c r="I15" s="494" t="s">
        <v>1014</v>
      </c>
      <c r="J15" s="494" t="s">
        <v>1015</v>
      </c>
      <c r="K15" s="494" t="s">
        <v>1016</v>
      </c>
      <c r="L15" s="494" t="s">
        <v>1017</v>
      </c>
      <c r="M15" s="494" t="s">
        <v>1018</v>
      </c>
      <c r="O15" s="494" t="s">
        <v>1020</v>
      </c>
      <c r="S15" s="494" t="s">
        <v>1021</v>
      </c>
      <c r="T15" s="494" t="s">
        <v>1022</v>
      </c>
      <c r="U15" s="494" t="s">
        <v>1023</v>
      </c>
      <c r="V15" s="494" t="s">
        <v>1024</v>
      </c>
      <c r="W15" s="494" t="s">
        <v>1025</v>
      </c>
      <c r="X15" s="494" t="s">
        <v>786</v>
      </c>
      <c r="Y15" s="494" t="s">
        <v>901</v>
      </c>
      <c r="Z15" s="494" t="s">
        <v>902</v>
      </c>
      <c r="AA15" s="494" t="s">
        <v>882</v>
      </c>
      <c r="AB15" s="494" t="s">
        <v>960</v>
      </c>
    </row>
    <row r="16" spans="1:28" x14ac:dyDescent="0.25">
      <c r="A16" s="494" t="s">
        <v>357</v>
      </c>
      <c r="B16" s="494" t="s">
        <v>629</v>
      </c>
      <c r="E16" s="494" t="s">
        <v>618</v>
      </c>
      <c r="G16" s="494" t="s">
        <v>920</v>
      </c>
      <c r="H16" s="494" t="s">
        <v>589</v>
      </c>
      <c r="I16" s="494" t="s">
        <v>1014</v>
      </c>
      <c r="J16" s="494" t="s">
        <v>1015</v>
      </c>
      <c r="K16" s="494" t="s">
        <v>1016</v>
      </c>
      <c r="L16" s="494" t="s">
        <v>1017</v>
      </c>
      <c r="M16" s="494" t="s">
        <v>1018</v>
      </c>
      <c r="O16" s="494" t="s">
        <v>1020</v>
      </c>
      <c r="S16" s="494" t="s">
        <v>1021</v>
      </c>
      <c r="T16" s="494" t="s">
        <v>1022</v>
      </c>
      <c r="U16" s="494" t="s">
        <v>1023</v>
      </c>
      <c r="V16" s="494" t="s">
        <v>1024</v>
      </c>
      <c r="W16" s="494" t="s">
        <v>1025</v>
      </c>
      <c r="X16" s="494" t="s">
        <v>786</v>
      </c>
      <c r="Y16" s="494" t="s">
        <v>901</v>
      </c>
      <c r="Z16" s="494" t="s">
        <v>902</v>
      </c>
      <c r="AA16" s="494" t="s">
        <v>882</v>
      </c>
      <c r="AB16" s="494" t="s">
        <v>960</v>
      </c>
    </row>
    <row r="17" spans="1:28" x14ac:dyDescent="0.25">
      <c r="A17" s="494" t="s">
        <v>358</v>
      </c>
      <c r="B17" s="494" t="s">
        <v>629</v>
      </c>
      <c r="E17" s="494" t="s">
        <v>618</v>
      </c>
      <c r="G17" s="494" t="s">
        <v>921</v>
      </c>
      <c r="H17" s="494" t="s">
        <v>589</v>
      </c>
      <c r="I17" s="494" t="s">
        <v>1014</v>
      </c>
      <c r="J17" s="494" t="s">
        <v>1015</v>
      </c>
      <c r="K17" s="494" t="s">
        <v>1016</v>
      </c>
      <c r="L17" s="494" t="s">
        <v>1017</v>
      </c>
      <c r="M17" s="494" t="s">
        <v>1018</v>
      </c>
      <c r="O17" s="494" t="s">
        <v>1020</v>
      </c>
      <c r="S17" s="494" t="s">
        <v>1021</v>
      </c>
      <c r="T17" s="494" t="s">
        <v>1022</v>
      </c>
      <c r="U17" s="494" t="s">
        <v>1023</v>
      </c>
      <c r="V17" s="494" t="s">
        <v>1024</v>
      </c>
      <c r="W17" s="494" t="s">
        <v>1025</v>
      </c>
      <c r="X17" s="494" t="s">
        <v>786</v>
      </c>
      <c r="Y17" s="494" t="s">
        <v>901</v>
      </c>
      <c r="Z17" s="494" t="s">
        <v>902</v>
      </c>
      <c r="AA17" s="494" t="s">
        <v>882</v>
      </c>
      <c r="AB17" s="494" t="s">
        <v>960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97160-B460-410A-B04D-956E56AF703B}">
  <dimension ref="A1:AB17"/>
  <sheetViews>
    <sheetView workbookViewId="0">
      <selection activeCell="A2" sqref="A2:XFD17"/>
    </sheetView>
  </sheetViews>
  <sheetFormatPr defaultRowHeight="15" x14ac:dyDescent="0.25"/>
  <cols>
    <col min="1" max="1" width="15.5703125" style="494" customWidth="1"/>
    <col min="2" max="2" width="25.85546875" style="494" bestFit="1" customWidth="1"/>
    <col min="3" max="3" width="19.28515625" style="494" customWidth="1"/>
    <col min="4" max="4" width="22.5703125" style="494" customWidth="1"/>
    <col min="5" max="5" width="20" style="494" customWidth="1"/>
    <col min="6" max="7" width="17.42578125" style="494" customWidth="1"/>
    <col min="8" max="8" width="18.85546875" style="494" customWidth="1"/>
    <col min="9" max="10" width="19.42578125" style="494" customWidth="1"/>
    <col min="11" max="11" width="18.140625" style="494" customWidth="1"/>
    <col min="12" max="12" width="22.5703125" style="494" customWidth="1"/>
    <col min="13" max="13" width="22.42578125" style="494" customWidth="1"/>
    <col min="14" max="14" width="17.140625" style="494" customWidth="1"/>
    <col min="15" max="15" width="22.7109375" style="494" bestFit="1" customWidth="1"/>
    <col min="16" max="16" width="17.5703125" style="494" customWidth="1"/>
    <col min="17" max="18" width="15.28515625" style="494" customWidth="1"/>
    <col min="19" max="19" width="18.42578125" style="494" customWidth="1"/>
    <col min="20" max="20" width="22.85546875" style="494" bestFit="1" customWidth="1"/>
    <col min="21" max="21" width="18.85546875" style="494" customWidth="1"/>
    <col min="22" max="23" width="16.5703125" style="494" customWidth="1"/>
    <col min="24" max="24" width="17.140625" style="494" customWidth="1"/>
    <col min="25" max="25" width="21.7109375" style="494" bestFit="1" customWidth="1"/>
    <col min="26" max="27" width="15.42578125" style="494" customWidth="1"/>
    <col min="28" max="28" width="13.7109375" style="494" bestFit="1" customWidth="1"/>
    <col min="29" max="16384" width="9.140625" style="494"/>
  </cols>
  <sheetData>
    <row r="1" spans="1:28" x14ac:dyDescent="0.25">
      <c r="A1" s="494" t="s">
        <v>873</v>
      </c>
      <c r="B1" s="494" t="s">
        <v>874</v>
      </c>
      <c r="C1" s="494" t="s">
        <v>875</v>
      </c>
      <c r="D1" s="494" t="s">
        <v>876</v>
      </c>
      <c r="E1" s="494" t="s">
        <v>877</v>
      </c>
      <c r="F1" s="494" t="s">
        <v>878</v>
      </c>
      <c r="G1" s="494" t="s">
        <v>905</v>
      </c>
      <c r="H1" s="494" t="s">
        <v>872</v>
      </c>
      <c r="I1" s="494" t="s">
        <v>978</v>
      </c>
      <c r="J1" s="494" t="s">
        <v>971</v>
      </c>
      <c r="K1" s="494" t="s">
        <v>885</v>
      </c>
      <c r="L1" s="494" t="s">
        <v>884</v>
      </c>
      <c r="M1" s="494" t="s">
        <v>886</v>
      </c>
      <c r="N1" s="494" t="s">
        <v>888</v>
      </c>
      <c r="O1" s="494" t="s">
        <v>889</v>
      </c>
      <c r="P1" s="494" t="s">
        <v>890</v>
      </c>
      <c r="Q1" s="494" t="s">
        <v>891</v>
      </c>
      <c r="R1" s="494" t="s">
        <v>959</v>
      </c>
      <c r="S1" s="494" t="s">
        <v>892</v>
      </c>
      <c r="T1" s="494" t="s">
        <v>893</v>
      </c>
      <c r="U1" s="494" t="s">
        <v>896</v>
      </c>
      <c r="V1" s="494" t="s">
        <v>897</v>
      </c>
      <c r="W1" s="494" t="s">
        <v>958</v>
      </c>
      <c r="X1" s="494" t="s">
        <v>898</v>
      </c>
      <c r="Y1" s="494" t="s">
        <v>900</v>
      </c>
      <c r="Z1" s="494" t="s">
        <v>939</v>
      </c>
      <c r="AA1" s="494" t="s">
        <v>899</v>
      </c>
      <c r="AB1" s="494" t="s">
        <v>957</v>
      </c>
    </row>
    <row r="2" spans="1:28" ht="15" customHeight="1" x14ac:dyDescent="0.25">
      <c r="A2" s="494" t="s">
        <v>343</v>
      </c>
      <c r="B2" s="494" t="s">
        <v>381</v>
      </c>
      <c r="C2" s="494" t="s">
        <v>380</v>
      </c>
      <c r="G2" s="494" t="s">
        <v>906</v>
      </c>
      <c r="H2" s="494" t="s">
        <v>589</v>
      </c>
      <c r="I2" s="494" t="s">
        <v>1026</v>
      </c>
      <c r="J2" s="494" t="s">
        <v>976</v>
      </c>
      <c r="K2" s="494" t="s">
        <v>1027</v>
      </c>
      <c r="L2" s="494" t="s">
        <v>1028</v>
      </c>
      <c r="M2" s="494" t="s">
        <v>1029</v>
      </c>
      <c r="O2" s="494" t="s">
        <v>1020</v>
      </c>
      <c r="S2" s="494" t="s">
        <v>1021</v>
      </c>
      <c r="T2" s="494" t="s">
        <v>1022</v>
      </c>
      <c r="U2" s="494" t="s">
        <v>1023</v>
      </c>
      <c r="V2" s="494" t="s">
        <v>1024</v>
      </c>
      <c r="W2" s="494" t="s">
        <v>1025</v>
      </c>
      <c r="X2" s="494" t="s">
        <v>786</v>
      </c>
      <c r="Y2" s="494" t="s">
        <v>901</v>
      </c>
      <c r="Z2" s="494" t="s">
        <v>902</v>
      </c>
      <c r="AA2" s="494" t="s">
        <v>882</v>
      </c>
      <c r="AB2" s="494" t="s">
        <v>960</v>
      </c>
    </row>
    <row r="3" spans="1:28" ht="15" customHeight="1" x14ac:dyDescent="0.25">
      <c r="A3" s="494" t="s">
        <v>349</v>
      </c>
      <c r="C3" s="494" t="s">
        <v>619</v>
      </c>
      <c r="E3" s="494" t="s">
        <v>619</v>
      </c>
      <c r="G3" s="494" t="s">
        <v>907</v>
      </c>
      <c r="H3" s="494" t="s">
        <v>589</v>
      </c>
      <c r="I3" s="494" t="s">
        <v>1026</v>
      </c>
      <c r="J3" s="494" t="s">
        <v>976</v>
      </c>
      <c r="K3" s="494" t="s">
        <v>1027</v>
      </c>
      <c r="L3" s="494" t="s">
        <v>1028</v>
      </c>
      <c r="M3" s="494" t="s">
        <v>1029</v>
      </c>
      <c r="O3" s="494" t="s">
        <v>1020</v>
      </c>
      <c r="S3" s="494" t="s">
        <v>1021</v>
      </c>
      <c r="T3" s="494" t="s">
        <v>1022</v>
      </c>
      <c r="U3" s="494" t="s">
        <v>1023</v>
      </c>
      <c r="V3" s="494" t="s">
        <v>1024</v>
      </c>
      <c r="W3" s="494" t="s">
        <v>1025</v>
      </c>
      <c r="X3" s="494" t="s">
        <v>786</v>
      </c>
      <c r="Y3" s="494" t="s">
        <v>901</v>
      </c>
      <c r="Z3" s="494" t="s">
        <v>902</v>
      </c>
      <c r="AA3" s="494" t="s">
        <v>882</v>
      </c>
      <c r="AB3" s="494" t="s">
        <v>960</v>
      </c>
    </row>
    <row r="4" spans="1:28" ht="15" customHeight="1" x14ac:dyDescent="0.25">
      <c r="A4" s="494" t="s">
        <v>305</v>
      </c>
      <c r="C4" s="494" t="s">
        <v>619</v>
      </c>
      <c r="E4" s="494" t="s">
        <v>619</v>
      </c>
      <c r="G4" s="494" t="s">
        <v>908</v>
      </c>
      <c r="H4" s="494" t="s">
        <v>589</v>
      </c>
      <c r="I4" s="494" t="s">
        <v>1026</v>
      </c>
      <c r="J4" s="494" t="s">
        <v>976</v>
      </c>
      <c r="K4" s="494" t="s">
        <v>1027</v>
      </c>
      <c r="L4" s="494" t="s">
        <v>1028</v>
      </c>
      <c r="M4" s="494" t="s">
        <v>1029</v>
      </c>
      <c r="O4" s="494" t="s">
        <v>1020</v>
      </c>
      <c r="S4" s="494" t="s">
        <v>1021</v>
      </c>
      <c r="T4" s="494" t="s">
        <v>1022</v>
      </c>
      <c r="U4" s="494" t="s">
        <v>1023</v>
      </c>
      <c r="V4" s="494" t="s">
        <v>1024</v>
      </c>
      <c r="W4" s="494" t="s">
        <v>1025</v>
      </c>
      <c r="X4" s="494" t="s">
        <v>786</v>
      </c>
      <c r="Y4" s="494" t="s">
        <v>901</v>
      </c>
      <c r="Z4" s="494" t="s">
        <v>902</v>
      </c>
      <c r="AA4" s="494" t="s">
        <v>882</v>
      </c>
      <c r="AB4" s="494" t="s">
        <v>960</v>
      </c>
    </row>
    <row r="5" spans="1:28" ht="15" customHeight="1" x14ac:dyDescent="0.25">
      <c r="A5" s="494" t="s">
        <v>308</v>
      </c>
      <c r="B5" s="494" t="s">
        <v>380</v>
      </c>
      <c r="C5" s="494" t="s">
        <v>619</v>
      </c>
      <c r="E5" s="494" t="s">
        <v>619</v>
      </c>
      <c r="G5" s="494" t="s">
        <v>909</v>
      </c>
      <c r="H5" s="494" t="s">
        <v>589</v>
      </c>
      <c r="I5" s="494" t="s">
        <v>1026</v>
      </c>
      <c r="J5" s="494" t="s">
        <v>976</v>
      </c>
      <c r="K5" s="494" t="s">
        <v>1027</v>
      </c>
      <c r="L5" s="494" t="s">
        <v>1028</v>
      </c>
      <c r="M5" s="494" t="s">
        <v>1029</v>
      </c>
      <c r="O5" s="494" t="s">
        <v>1020</v>
      </c>
      <c r="S5" s="494" t="s">
        <v>1021</v>
      </c>
      <c r="T5" s="494" t="s">
        <v>1022</v>
      </c>
      <c r="U5" s="494" t="s">
        <v>1023</v>
      </c>
      <c r="V5" s="494" t="s">
        <v>1024</v>
      </c>
      <c r="W5" s="494" t="s">
        <v>1025</v>
      </c>
      <c r="X5" s="494" t="s">
        <v>786</v>
      </c>
      <c r="Y5" s="494" t="s">
        <v>901</v>
      </c>
      <c r="Z5" s="494" t="s">
        <v>902</v>
      </c>
      <c r="AA5" s="494" t="s">
        <v>882</v>
      </c>
      <c r="AB5" s="494" t="s">
        <v>960</v>
      </c>
    </row>
    <row r="6" spans="1:28" x14ac:dyDescent="0.25">
      <c r="A6" s="494" t="s">
        <v>310</v>
      </c>
      <c r="D6" s="494" t="s">
        <v>380</v>
      </c>
      <c r="G6" s="494" t="s">
        <v>910</v>
      </c>
      <c r="H6" s="494" t="s">
        <v>589</v>
      </c>
      <c r="I6" s="494" t="s">
        <v>1026</v>
      </c>
      <c r="J6" s="494" t="s">
        <v>976</v>
      </c>
      <c r="K6" s="494" t="s">
        <v>1027</v>
      </c>
      <c r="L6" s="494" t="s">
        <v>1028</v>
      </c>
      <c r="M6" s="494" t="s">
        <v>1029</v>
      </c>
      <c r="O6" s="494" t="s">
        <v>1020</v>
      </c>
      <c r="S6" s="494" t="s">
        <v>1021</v>
      </c>
      <c r="T6" s="494" t="s">
        <v>1022</v>
      </c>
      <c r="U6" s="494" t="s">
        <v>1023</v>
      </c>
      <c r="V6" s="494" t="s">
        <v>1024</v>
      </c>
      <c r="W6" s="494" t="s">
        <v>1025</v>
      </c>
      <c r="X6" s="494" t="s">
        <v>786</v>
      </c>
      <c r="Y6" s="494" t="s">
        <v>901</v>
      </c>
      <c r="Z6" s="494" t="s">
        <v>902</v>
      </c>
      <c r="AA6" s="494" t="s">
        <v>882</v>
      </c>
      <c r="AB6" s="494" t="s">
        <v>960</v>
      </c>
    </row>
    <row r="7" spans="1:28" x14ac:dyDescent="0.25">
      <c r="A7" s="494" t="s">
        <v>312</v>
      </c>
      <c r="B7" s="494" t="s">
        <v>380</v>
      </c>
      <c r="C7" s="494" t="s">
        <v>619</v>
      </c>
      <c r="E7" s="494" t="s">
        <v>619</v>
      </c>
      <c r="G7" s="494" t="s">
        <v>911</v>
      </c>
      <c r="H7" s="494" t="s">
        <v>589</v>
      </c>
      <c r="I7" s="494" t="s">
        <v>1026</v>
      </c>
      <c r="J7" s="494" t="s">
        <v>976</v>
      </c>
      <c r="K7" s="494" t="s">
        <v>1027</v>
      </c>
      <c r="L7" s="494" t="s">
        <v>1028</v>
      </c>
      <c r="M7" s="494" t="s">
        <v>1029</v>
      </c>
      <c r="O7" s="494" t="s">
        <v>1020</v>
      </c>
      <c r="S7" s="494" t="s">
        <v>1021</v>
      </c>
      <c r="T7" s="494" t="s">
        <v>1022</v>
      </c>
      <c r="U7" s="494" t="s">
        <v>1023</v>
      </c>
      <c r="V7" s="494" t="s">
        <v>1024</v>
      </c>
      <c r="W7" s="494" t="s">
        <v>1025</v>
      </c>
      <c r="X7" s="494" t="s">
        <v>786</v>
      </c>
      <c r="Y7" s="494" t="s">
        <v>901</v>
      </c>
      <c r="Z7" s="494" t="s">
        <v>902</v>
      </c>
      <c r="AA7" s="494" t="s">
        <v>882</v>
      </c>
      <c r="AB7" s="494" t="s">
        <v>960</v>
      </c>
    </row>
    <row r="8" spans="1:28" x14ac:dyDescent="0.25">
      <c r="A8" s="494" t="s">
        <v>315</v>
      </c>
      <c r="C8" s="494" t="s">
        <v>619</v>
      </c>
      <c r="D8" s="494" t="s">
        <v>380</v>
      </c>
      <c r="E8" s="494" t="s">
        <v>619</v>
      </c>
      <c r="G8" s="494" t="s">
        <v>912</v>
      </c>
      <c r="H8" s="494" t="s">
        <v>589</v>
      </c>
      <c r="I8" s="494" t="s">
        <v>1026</v>
      </c>
      <c r="J8" s="494" t="s">
        <v>976</v>
      </c>
      <c r="K8" s="494" t="s">
        <v>1027</v>
      </c>
      <c r="L8" s="494" t="s">
        <v>1028</v>
      </c>
      <c r="M8" s="494" t="s">
        <v>1029</v>
      </c>
      <c r="O8" s="494" t="s">
        <v>1020</v>
      </c>
      <c r="S8" s="494" t="s">
        <v>1021</v>
      </c>
      <c r="T8" s="494" t="s">
        <v>1022</v>
      </c>
      <c r="U8" s="494" t="s">
        <v>1023</v>
      </c>
      <c r="V8" s="494" t="s">
        <v>1024</v>
      </c>
      <c r="W8" s="494" t="s">
        <v>1025</v>
      </c>
      <c r="X8" s="494" t="s">
        <v>786</v>
      </c>
      <c r="Y8" s="494" t="s">
        <v>901</v>
      </c>
      <c r="Z8" s="494" t="s">
        <v>902</v>
      </c>
      <c r="AA8" s="494" t="s">
        <v>882</v>
      </c>
      <c r="AB8" s="494" t="s">
        <v>960</v>
      </c>
    </row>
    <row r="9" spans="1:28" x14ac:dyDescent="0.25">
      <c r="A9" s="494" t="s">
        <v>352</v>
      </c>
      <c r="C9" s="494" t="s">
        <v>619</v>
      </c>
      <c r="E9" s="494" t="s">
        <v>619</v>
      </c>
      <c r="G9" s="494" t="s">
        <v>913</v>
      </c>
      <c r="H9" s="494" t="s">
        <v>589</v>
      </c>
      <c r="I9" s="494" t="s">
        <v>1026</v>
      </c>
      <c r="J9" s="494" t="s">
        <v>976</v>
      </c>
      <c r="K9" s="494" t="s">
        <v>1027</v>
      </c>
      <c r="L9" s="494" t="s">
        <v>1028</v>
      </c>
      <c r="M9" s="494" t="s">
        <v>1029</v>
      </c>
      <c r="O9" s="494" t="s">
        <v>1020</v>
      </c>
      <c r="S9" s="494" t="s">
        <v>1021</v>
      </c>
      <c r="T9" s="494" t="s">
        <v>1022</v>
      </c>
      <c r="U9" s="494" t="s">
        <v>1023</v>
      </c>
      <c r="V9" s="494" t="s">
        <v>1024</v>
      </c>
      <c r="W9" s="494" t="s">
        <v>1025</v>
      </c>
      <c r="X9" s="494" t="s">
        <v>786</v>
      </c>
      <c r="Y9" s="494" t="s">
        <v>901</v>
      </c>
      <c r="Z9" s="494" t="s">
        <v>902</v>
      </c>
      <c r="AA9" s="494" t="s">
        <v>882</v>
      </c>
      <c r="AB9" s="494" t="s">
        <v>960</v>
      </c>
    </row>
    <row r="10" spans="1:28" ht="15" customHeight="1" x14ac:dyDescent="0.25">
      <c r="A10" s="494" t="s">
        <v>353</v>
      </c>
      <c r="B10" s="494" t="s">
        <v>354</v>
      </c>
      <c r="G10" s="494" t="s">
        <v>914</v>
      </c>
      <c r="H10" s="494" t="s">
        <v>589</v>
      </c>
      <c r="I10" s="494" t="s">
        <v>1026</v>
      </c>
      <c r="J10" s="494" t="s">
        <v>976</v>
      </c>
      <c r="K10" s="494" t="s">
        <v>1027</v>
      </c>
      <c r="L10" s="494" t="s">
        <v>1028</v>
      </c>
      <c r="M10" s="494" t="s">
        <v>1029</v>
      </c>
      <c r="O10" s="494" t="s">
        <v>1020</v>
      </c>
      <c r="S10" s="494" t="s">
        <v>1021</v>
      </c>
      <c r="T10" s="494" t="s">
        <v>1022</v>
      </c>
      <c r="U10" s="494" t="s">
        <v>1023</v>
      </c>
      <c r="V10" s="494" t="s">
        <v>1024</v>
      </c>
      <c r="W10" s="494" t="s">
        <v>1025</v>
      </c>
      <c r="X10" s="494" t="s">
        <v>786</v>
      </c>
      <c r="Y10" s="494" t="s">
        <v>901</v>
      </c>
      <c r="Z10" s="494" t="s">
        <v>902</v>
      </c>
      <c r="AA10" s="494" t="s">
        <v>882</v>
      </c>
      <c r="AB10" s="494" t="s">
        <v>960</v>
      </c>
    </row>
    <row r="11" spans="1:28" ht="15.75" customHeight="1" x14ac:dyDescent="0.25">
      <c r="A11" s="494" t="s">
        <v>355</v>
      </c>
      <c r="G11" s="494" t="s">
        <v>915</v>
      </c>
      <c r="H11" s="494" t="s">
        <v>589</v>
      </c>
      <c r="I11" s="494" t="s">
        <v>1026</v>
      </c>
      <c r="J11" s="494" t="s">
        <v>976</v>
      </c>
      <c r="K11" s="494" t="s">
        <v>1027</v>
      </c>
      <c r="L11" s="494" t="s">
        <v>1028</v>
      </c>
      <c r="M11" s="494" t="s">
        <v>1029</v>
      </c>
      <c r="O11" s="494" t="s">
        <v>1020</v>
      </c>
      <c r="S11" s="494" t="s">
        <v>1021</v>
      </c>
      <c r="T11" s="494" t="s">
        <v>1022</v>
      </c>
      <c r="U11" s="494" t="s">
        <v>1023</v>
      </c>
      <c r="V11" s="494" t="s">
        <v>1024</v>
      </c>
      <c r="W11" s="494" t="s">
        <v>1025</v>
      </c>
      <c r="X11" s="494" t="s">
        <v>786</v>
      </c>
      <c r="Y11" s="494" t="s">
        <v>901</v>
      </c>
      <c r="Z11" s="494" t="s">
        <v>902</v>
      </c>
      <c r="AA11" s="494" t="s">
        <v>882</v>
      </c>
      <c r="AB11" s="494" t="s">
        <v>960</v>
      </c>
    </row>
    <row r="12" spans="1:28" x14ac:dyDescent="0.25">
      <c r="A12" s="494" t="s">
        <v>318</v>
      </c>
      <c r="C12" s="494" t="s">
        <v>619</v>
      </c>
      <c r="D12" s="494" t="s">
        <v>380</v>
      </c>
      <c r="E12" s="494" t="s">
        <v>619</v>
      </c>
      <c r="G12" s="494" t="s">
        <v>916</v>
      </c>
      <c r="H12" s="494" t="s">
        <v>589</v>
      </c>
      <c r="I12" s="494" t="s">
        <v>1026</v>
      </c>
      <c r="J12" s="494" t="s">
        <v>976</v>
      </c>
      <c r="K12" s="494" t="s">
        <v>1027</v>
      </c>
      <c r="L12" s="494" t="s">
        <v>1028</v>
      </c>
      <c r="M12" s="494" t="s">
        <v>1029</v>
      </c>
      <c r="O12" s="494" t="s">
        <v>1020</v>
      </c>
      <c r="S12" s="494" t="s">
        <v>1021</v>
      </c>
      <c r="T12" s="494" t="s">
        <v>1022</v>
      </c>
      <c r="U12" s="494" t="s">
        <v>1023</v>
      </c>
      <c r="V12" s="494" t="s">
        <v>1024</v>
      </c>
      <c r="W12" s="494" t="s">
        <v>1025</v>
      </c>
      <c r="X12" s="494" t="s">
        <v>786</v>
      </c>
      <c r="Y12" s="494" t="s">
        <v>901</v>
      </c>
      <c r="Z12" s="494" t="s">
        <v>902</v>
      </c>
      <c r="AA12" s="494" t="s">
        <v>882</v>
      </c>
      <c r="AB12" s="494" t="s">
        <v>960</v>
      </c>
    </row>
    <row r="13" spans="1:28" x14ac:dyDescent="0.25">
      <c r="A13" s="494" t="s">
        <v>321</v>
      </c>
      <c r="C13" s="494" t="s">
        <v>619</v>
      </c>
      <c r="E13" s="494" t="s">
        <v>619</v>
      </c>
      <c r="G13" s="494" t="s">
        <v>917</v>
      </c>
      <c r="H13" s="494" t="s">
        <v>589</v>
      </c>
      <c r="I13" s="494" t="s">
        <v>1026</v>
      </c>
      <c r="J13" s="494" t="s">
        <v>976</v>
      </c>
      <c r="K13" s="494" t="s">
        <v>1027</v>
      </c>
      <c r="L13" s="494" t="s">
        <v>1028</v>
      </c>
      <c r="M13" s="494" t="s">
        <v>1029</v>
      </c>
      <c r="O13" s="494" t="s">
        <v>1020</v>
      </c>
      <c r="S13" s="494" t="s">
        <v>1021</v>
      </c>
      <c r="T13" s="494" t="s">
        <v>1022</v>
      </c>
      <c r="U13" s="494" t="s">
        <v>1023</v>
      </c>
      <c r="V13" s="494" t="s">
        <v>1024</v>
      </c>
      <c r="W13" s="494" t="s">
        <v>1025</v>
      </c>
      <c r="X13" s="494" t="s">
        <v>786</v>
      </c>
      <c r="Y13" s="494" t="s">
        <v>901</v>
      </c>
      <c r="Z13" s="494" t="s">
        <v>902</v>
      </c>
      <c r="AA13" s="494" t="s">
        <v>882</v>
      </c>
      <c r="AB13" s="494" t="s">
        <v>960</v>
      </c>
    </row>
    <row r="14" spans="1:28" x14ac:dyDescent="0.25">
      <c r="A14" s="494" t="s">
        <v>324</v>
      </c>
      <c r="C14" s="494" t="s">
        <v>619</v>
      </c>
      <c r="E14" s="494" t="s">
        <v>619</v>
      </c>
      <c r="G14" s="494" t="s">
        <v>918</v>
      </c>
      <c r="H14" s="494" t="s">
        <v>589</v>
      </c>
      <c r="I14" s="494" t="s">
        <v>1026</v>
      </c>
      <c r="J14" s="494" t="s">
        <v>976</v>
      </c>
      <c r="K14" s="494" t="s">
        <v>1027</v>
      </c>
      <c r="L14" s="494" t="s">
        <v>1028</v>
      </c>
      <c r="M14" s="494" t="s">
        <v>1029</v>
      </c>
      <c r="O14" s="494" t="s">
        <v>1020</v>
      </c>
      <c r="S14" s="494" t="s">
        <v>1021</v>
      </c>
      <c r="T14" s="494" t="s">
        <v>1022</v>
      </c>
      <c r="U14" s="494" t="s">
        <v>1023</v>
      </c>
      <c r="V14" s="494" t="s">
        <v>1024</v>
      </c>
      <c r="W14" s="494" t="s">
        <v>1025</v>
      </c>
      <c r="X14" s="494" t="s">
        <v>786</v>
      </c>
      <c r="Y14" s="494" t="s">
        <v>901</v>
      </c>
      <c r="Z14" s="494" t="s">
        <v>902</v>
      </c>
      <c r="AA14" s="494" t="s">
        <v>882</v>
      </c>
      <c r="AB14" s="494" t="s">
        <v>960</v>
      </c>
    </row>
    <row r="15" spans="1:28" x14ac:dyDescent="0.25">
      <c r="A15" s="494" t="s">
        <v>325</v>
      </c>
      <c r="C15" s="494" t="s">
        <v>619</v>
      </c>
      <c r="E15" s="494" t="s">
        <v>619</v>
      </c>
      <c r="G15" s="494" t="s">
        <v>919</v>
      </c>
      <c r="H15" s="494" t="s">
        <v>589</v>
      </c>
      <c r="I15" s="494" t="s">
        <v>1026</v>
      </c>
      <c r="J15" s="494" t="s">
        <v>976</v>
      </c>
      <c r="K15" s="494" t="s">
        <v>1027</v>
      </c>
      <c r="L15" s="494" t="s">
        <v>1028</v>
      </c>
      <c r="M15" s="494" t="s">
        <v>1029</v>
      </c>
      <c r="O15" s="494" t="s">
        <v>1020</v>
      </c>
      <c r="S15" s="494" t="s">
        <v>1021</v>
      </c>
      <c r="T15" s="494" t="s">
        <v>1022</v>
      </c>
      <c r="U15" s="494" t="s">
        <v>1023</v>
      </c>
      <c r="V15" s="494" t="s">
        <v>1024</v>
      </c>
      <c r="W15" s="494" t="s">
        <v>1025</v>
      </c>
      <c r="X15" s="494" t="s">
        <v>786</v>
      </c>
      <c r="Y15" s="494" t="s">
        <v>901</v>
      </c>
      <c r="Z15" s="494" t="s">
        <v>902</v>
      </c>
      <c r="AA15" s="494" t="s">
        <v>882</v>
      </c>
      <c r="AB15" s="494" t="s">
        <v>960</v>
      </c>
    </row>
    <row r="16" spans="1:28" x14ac:dyDescent="0.25">
      <c r="A16" s="494" t="s">
        <v>357</v>
      </c>
      <c r="C16" s="494" t="s">
        <v>619</v>
      </c>
      <c r="E16" s="494" t="s">
        <v>619</v>
      </c>
      <c r="G16" s="494" t="s">
        <v>920</v>
      </c>
      <c r="H16" s="494" t="s">
        <v>589</v>
      </c>
      <c r="I16" s="494" t="s">
        <v>1026</v>
      </c>
      <c r="J16" s="494" t="s">
        <v>976</v>
      </c>
      <c r="K16" s="494" t="s">
        <v>1027</v>
      </c>
      <c r="L16" s="494" t="s">
        <v>1028</v>
      </c>
      <c r="M16" s="494" t="s">
        <v>1029</v>
      </c>
      <c r="O16" s="494" t="s">
        <v>1020</v>
      </c>
      <c r="S16" s="494" t="s">
        <v>1021</v>
      </c>
      <c r="T16" s="494" t="s">
        <v>1022</v>
      </c>
      <c r="U16" s="494" t="s">
        <v>1023</v>
      </c>
      <c r="V16" s="494" t="s">
        <v>1024</v>
      </c>
      <c r="W16" s="494" t="s">
        <v>1025</v>
      </c>
      <c r="X16" s="494" t="s">
        <v>786</v>
      </c>
      <c r="Y16" s="494" t="s">
        <v>901</v>
      </c>
      <c r="Z16" s="494" t="s">
        <v>902</v>
      </c>
      <c r="AA16" s="494" t="s">
        <v>882</v>
      </c>
      <c r="AB16" s="494" t="s">
        <v>960</v>
      </c>
    </row>
    <row r="17" spans="1:28" x14ac:dyDescent="0.25">
      <c r="A17" s="494" t="s">
        <v>358</v>
      </c>
      <c r="C17" s="494" t="s">
        <v>619</v>
      </c>
      <c r="E17" s="494" t="s">
        <v>619</v>
      </c>
      <c r="G17" s="494" t="s">
        <v>921</v>
      </c>
      <c r="H17" s="494" t="s">
        <v>589</v>
      </c>
      <c r="I17" s="494" t="s">
        <v>1026</v>
      </c>
      <c r="J17" s="494" t="s">
        <v>976</v>
      </c>
      <c r="K17" s="494" t="s">
        <v>1027</v>
      </c>
      <c r="L17" s="494" t="s">
        <v>1028</v>
      </c>
      <c r="M17" s="494" t="s">
        <v>1029</v>
      </c>
      <c r="O17" s="494" t="s">
        <v>1020</v>
      </c>
      <c r="S17" s="494" t="s">
        <v>1021</v>
      </c>
      <c r="T17" s="494" t="s">
        <v>1022</v>
      </c>
      <c r="U17" s="494" t="s">
        <v>1023</v>
      </c>
      <c r="V17" s="494" t="s">
        <v>1024</v>
      </c>
      <c r="W17" s="494" t="s">
        <v>1025</v>
      </c>
      <c r="X17" s="494" t="s">
        <v>786</v>
      </c>
      <c r="Y17" s="494" t="s">
        <v>901</v>
      </c>
      <c r="Z17" s="494" t="s">
        <v>902</v>
      </c>
      <c r="AA17" s="494" t="s">
        <v>882</v>
      </c>
      <c r="AB17" s="494" t="s">
        <v>960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EC219-7072-44F0-95F2-E37FE0FFD0F0}">
  <dimension ref="A1:AB17"/>
  <sheetViews>
    <sheetView topLeftCell="A4" workbookViewId="0">
      <selection activeCell="A2" sqref="A2:XFD17"/>
    </sheetView>
  </sheetViews>
  <sheetFormatPr defaultRowHeight="15" x14ac:dyDescent="0.25"/>
  <cols>
    <col min="1" max="1" width="15.5703125" style="494" customWidth="1"/>
    <col min="2" max="2" width="25.85546875" style="494" bestFit="1" customWidth="1"/>
    <col min="3" max="3" width="19.28515625" style="494" customWidth="1"/>
    <col min="4" max="4" width="22.5703125" style="494" customWidth="1"/>
    <col min="5" max="5" width="20" style="494" customWidth="1"/>
    <col min="6" max="7" width="17.42578125" style="494" customWidth="1"/>
    <col min="8" max="8" width="18.85546875" style="494" customWidth="1"/>
    <col min="9" max="10" width="19.42578125" style="494" customWidth="1"/>
    <col min="11" max="11" width="18.140625" style="494" customWidth="1"/>
    <col min="12" max="12" width="22.5703125" style="494" customWidth="1"/>
    <col min="13" max="13" width="22.42578125" style="494" customWidth="1"/>
    <col min="14" max="14" width="17.140625" style="494" customWidth="1"/>
    <col min="15" max="15" width="22.7109375" style="494" bestFit="1" customWidth="1"/>
    <col min="16" max="16" width="17.5703125" style="494" customWidth="1"/>
    <col min="17" max="18" width="15.28515625" style="494" customWidth="1"/>
    <col min="19" max="19" width="18.42578125" style="494" customWidth="1"/>
    <col min="20" max="20" width="22.85546875" style="494" bestFit="1" customWidth="1"/>
    <col min="21" max="21" width="18.85546875" style="494" customWidth="1"/>
    <col min="22" max="23" width="16.5703125" style="494" customWidth="1"/>
    <col min="24" max="24" width="17.140625" style="494" customWidth="1"/>
    <col min="25" max="25" width="21.7109375" style="494" bestFit="1" customWidth="1"/>
    <col min="26" max="27" width="15.42578125" style="494" customWidth="1"/>
    <col min="28" max="28" width="13.7109375" style="494" bestFit="1" customWidth="1"/>
    <col min="29" max="16384" width="9.140625" style="494"/>
  </cols>
  <sheetData>
    <row r="1" spans="1:28" x14ac:dyDescent="0.25">
      <c r="A1" s="494" t="s">
        <v>873</v>
      </c>
      <c r="B1" s="494" t="s">
        <v>874</v>
      </c>
      <c r="C1" s="494" t="s">
        <v>875</v>
      </c>
      <c r="D1" s="494" t="s">
        <v>876</v>
      </c>
      <c r="E1" s="494" t="s">
        <v>877</v>
      </c>
      <c r="F1" s="494" t="s">
        <v>878</v>
      </c>
      <c r="G1" s="494" t="s">
        <v>905</v>
      </c>
      <c r="H1" s="494" t="s">
        <v>872</v>
      </c>
      <c r="I1" s="494" t="s">
        <v>978</v>
      </c>
      <c r="J1" s="494" t="s">
        <v>971</v>
      </c>
      <c r="K1" s="494" t="s">
        <v>885</v>
      </c>
      <c r="L1" s="494" t="s">
        <v>884</v>
      </c>
      <c r="M1" s="494" t="s">
        <v>886</v>
      </c>
      <c r="N1" s="494" t="s">
        <v>888</v>
      </c>
      <c r="O1" s="494" t="s">
        <v>889</v>
      </c>
      <c r="P1" s="494" t="s">
        <v>890</v>
      </c>
      <c r="Q1" s="494" t="s">
        <v>891</v>
      </c>
      <c r="R1" s="494" t="s">
        <v>959</v>
      </c>
      <c r="S1" s="494" t="s">
        <v>892</v>
      </c>
      <c r="T1" s="494" t="s">
        <v>893</v>
      </c>
      <c r="U1" s="494" t="s">
        <v>896</v>
      </c>
      <c r="V1" s="494" t="s">
        <v>897</v>
      </c>
      <c r="W1" s="494" t="s">
        <v>958</v>
      </c>
      <c r="X1" s="494" t="s">
        <v>898</v>
      </c>
      <c r="Y1" s="494" t="s">
        <v>900</v>
      </c>
      <c r="Z1" s="494" t="s">
        <v>939</v>
      </c>
      <c r="AA1" s="494" t="s">
        <v>899</v>
      </c>
      <c r="AB1" s="494" t="s">
        <v>957</v>
      </c>
    </row>
    <row r="2" spans="1:28" ht="15" customHeight="1" x14ac:dyDescent="0.25">
      <c r="A2" s="494" t="s">
        <v>343</v>
      </c>
      <c r="G2" s="494" t="s">
        <v>906</v>
      </c>
      <c r="H2" s="494" t="s">
        <v>589</v>
      </c>
      <c r="I2" s="494" t="s">
        <v>1030</v>
      </c>
      <c r="J2" s="494" t="s">
        <v>977</v>
      </c>
      <c r="K2" s="494" t="s">
        <v>1031</v>
      </c>
      <c r="L2" s="494" t="s">
        <v>1032</v>
      </c>
      <c r="M2" s="494" t="s">
        <v>1033</v>
      </c>
      <c r="O2" s="494" t="s">
        <v>1020</v>
      </c>
      <c r="S2" s="494" t="s">
        <v>1021</v>
      </c>
      <c r="T2" s="494" t="s">
        <v>1022</v>
      </c>
      <c r="U2" s="494" t="s">
        <v>1023</v>
      </c>
      <c r="V2" s="494" t="s">
        <v>1024</v>
      </c>
      <c r="W2" s="494" t="s">
        <v>1025</v>
      </c>
      <c r="X2" s="494" t="s">
        <v>786</v>
      </c>
      <c r="Y2" s="494" t="s">
        <v>901</v>
      </c>
      <c r="Z2" s="494" t="s">
        <v>902</v>
      </c>
      <c r="AA2" s="494" t="s">
        <v>882</v>
      </c>
      <c r="AB2" s="494" t="s">
        <v>960</v>
      </c>
    </row>
    <row r="3" spans="1:28" ht="15" customHeight="1" x14ac:dyDescent="0.25">
      <c r="A3" s="494" t="s">
        <v>349</v>
      </c>
      <c r="G3" s="494" t="s">
        <v>907</v>
      </c>
      <c r="H3" s="494" t="s">
        <v>589</v>
      </c>
      <c r="I3" s="494" t="s">
        <v>1030</v>
      </c>
      <c r="J3" s="494" t="s">
        <v>977</v>
      </c>
      <c r="K3" s="494" t="s">
        <v>1031</v>
      </c>
      <c r="L3" s="494" t="s">
        <v>1032</v>
      </c>
      <c r="M3" s="494" t="s">
        <v>1033</v>
      </c>
      <c r="O3" s="494" t="s">
        <v>1020</v>
      </c>
      <c r="S3" s="494" t="s">
        <v>1021</v>
      </c>
      <c r="T3" s="494" t="s">
        <v>1022</v>
      </c>
      <c r="U3" s="494" t="s">
        <v>1023</v>
      </c>
      <c r="V3" s="494" t="s">
        <v>1024</v>
      </c>
      <c r="W3" s="494" t="s">
        <v>1025</v>
      </c>
      <c r="X3" s="494" t="s">
        <v>786</v>
      </c>
      <c r="Y3" s="494" t="s">
        <v>901</v>
      </c>
      <c r="Z3" s="494" t="s">
        <v>902</v>
      </c>
      <c r="AA3" s="494" t="s">
        <v>882</v>
      </c>
      <c r="AB3" s="494" t="s">
        <v>960</v>
      </c>
    </row>
    <row r="4" spans="1:28" ht="15" customHeight="1" x14ac:dyDescent="0.25">
      <c r="A4" s="494" t="s">
        <v>305</v>
      </c>
      <c r="G4" s="494" t="s">
        <v>908</v>
      </c>
      <c r="H4" s="494" t="s">
        <v>589</v>
      </c>
      <c r="I4" s="494" t="s">
        <v>1030</v>
      </c>
      <c r="J4" s="494" t="s">
        <v>977</v>
      </c>
      <c r="K4" s="494" t="s">
        <v>1031</v>
      </c>
      <c r="L4" s="494" t="s">
        <v>1032</v>
      </c>
      <c r="M4" s="494" t="s">
        <v>1033</v>
      </c>
      <c r="O4" s="494" t="s">
        <v>1020</v>
      </c>
      <c r="S4" s="494" t="s">
        <v>1021</v>
      </c>
      <c r="T4" s="494" t="s">
        <v>1022</v>
      </c>
      <c r="U4" s="494" t="s">
        <v>1023</v>
      </c>
      <c r="V4" s="494" t="s">
        <v>1024</v>
      </c>
      <c r="W4" s="494" t="s">
        <v>1025</v>
      </c>
      <c r="X4" s="494" t="s">
        <v>786</v>
      </c>
      <c r="Y4" s="494" t="s">
        <v>901</v>
      </c>
      <c r="Z4" s="494" t="s">
        <v>902</v>
      </c>
      <c r="AA4" s="494" t="s">
        <v>882</v>
      </c>
      <c r="AB4" s="494" t="s">
        <v>960</v>
      </c>
    </row>
    <row r="5" spans="1:28" ht="15" customHeight="1" x14ac:dyDescent="0.25">
      <c r="A5" s="494" t="s">
        <v>308</v>
      </c>
      <c r="G5" s="494" t="s">
        <v>909</v>
      </c>
      <c r="H5" s="494" t="s">
        <v>589</v>
      </c>
      <c r="I5" s="494" t="s">
        <v>1030</v>
      </c>
      <c r="J5" s="494" t="s">
        <v>977</v>
      </c>
      <c r="K5" s="494" t="s">
        <v>1031</v>
      </c>
      <c r="L5" s="494" t="s">
        <v>1032</v>
      </c>
      <c r="M5" s="494" t="s">
        <v>1033</v>
      </c>
      <c r="O5" s="494" t="s">
        <v>1020</v>
      </c>
      <c r="S5" s="494" t="s">
        <v>1021</v>
      </c>
      <c r="T5" s="494" t="s">
        <v>1022</v>
      </c>
      <c r="U5" s="494" t="s">
        <v>1023</v>
      </c>
      <c r="V5" s="494" t="s">
        <v>1024</v>
      </c>
      <c r="W5" s="494" t="s">
        <v>1025</v>
      </c>
      <c r="X5" s="494" t="s">
        <v>786</v>
      </c>
      <c r="Y5" s="494" t="s">
        <v>901</v>
      </c>
      <c r="Z5" s="494" t="s">
        <v>902</v>
      </c>
      <c r="AA5" s="494" t="s">
        <v>882</v>
      </c>
      <c r="AB5" s="494" t="s">
        <v>960</v>
      </c>
    </row>
    <row r="6" spans="1:28" x14ac:dyDescent="0.25">
      <c r="A6" s="494" t="s">
        <v>310</v>
      </c>
      <c r="G6" s="494" t="s">
        <v>910</v>
      </c>
      <c r="H6" s="494" t="s">
        <v>589</v>
      </c>
      <c r="I6" s="494" t="s">
        <v>1030</v>
      </c>
      <c r="J6" s="494" t="s">
        <v>977</v>
      </c>
      <c r="K6" s="494" t="s">
        <v>1031</v>
      </c>
      <c r="L6" s="494" t="s">
        <v>1032</v>
      </c>
      <c r="M6" s="494" t="s">
        <v>1033</v>
      </c>
      <c r="O6" s="494" t="s">
        <v>1020</v>
      </c>
      <c r="S6" s="494" t="s">
        <v>1021</v>
      </c>
      <c r="T6" s="494" t="s">
        <v>1022</v>
      </c>
      <c r="U6" s="494" t="s">
        <v>1023</v>
      </c>
      <c r="V6" s="494" t="s">
        <v>1024</v>
      </c>
      <c r="W6" s="494" t="s">
        <v>1025</v>
      </c>
      <c r="X6" s="494" t="s">
        <v>786</v>
      </c>
      <c r="Y6" s="494" t="s">
        <v>901</v>
      </c>
      <c r="Z6" s="494" t="s">
        <v>902</v>
      </c>
      <c r="AA6" s="494" t="s">
        <v>882</v>
      </c>
      <c r="AB6" s="494" t="s">
        <v>960</v>
      </c>
    </row>
    <row r="7" spans="1:28" x14ac:dyDescent="0.25">
      <c r="A7" s="494" t="s">
        <v>312</v>
      </c>
      <c r="G7" s="494" t="s">
        <v>911</v>
      </c>
      <c r="H7" s="494" t="s">
        <v>589</v>
      </c>
      <c r="I7" s="494" t="s">
        <v>1030</v>
      </c>
      <c r="J7" s="494" t="s">
        <v>977</v>
      </c>
      <c r="K7" s="494" t="s">
        <v>1031</v>
      </c>
      <c r="L7" s="494" t="s">
        <v>1032</v>
      </c>
      <c r="M7" s="494" t="s">
        <v>1033</v>
      </c>
      <c r="O7" s="494" t="s">
        <v>1020</v>
      </c>
      <c r="S7" s="494" t="s">
        <v>1021</v>
      </c>
      <c r="T7" s="494" t="s">
        <v>1022</v>
      </c>
      <c r="U7" s="494" t="s">
        <v>1023</v>
      </c>
      <c r="V7" s="494" t="s">
        <v>1024</v>
      </c>
      <c r="W7" s="494" t="s">
        <v>1025</v>
      </c>
      <c r="X7" s="494" t="s">
        <v>786</v>
      </c>
      <c r="Y7" s="494" t="s">
        <v>901</v>
      </c>
      <c r="Z7" s="494" t="s">
        <v>902</v>
      </c>
      <c r="AA7" s="494" t="s">
        <v>882</v>
      </c>
      <c r="AB7" s="494" t="s">
        <v>960</v>
      </c>
    </row>
    <row r="8" spans="1:28" x14ac:dyDescent="0.25">
      <c r="A8" s="494" t="s">
        <v>315</v>
      </c>
      <c r="G8" s="494" t="s">
        <v>912</v>
      </c>
      <c r="H8" s="494" t="s">
        <v>589</v>
      </c>
      <c r="I8" s="494" t="s">
        <v>1030</v>
      </c>
      <c r="J8" s="494" t="s">
        <v>977</v>
      </c>
      <c r="K8" s="494" t="s">
        <v>1031</v>
      </c>
      <c r="L8" s="494" t="s">
        <v>1032</v>
      </c>
      <c r="M8" s="494" t="s">
        <v>1033</v>
      </c>
      <c r="O8" s="494" t="s">
        <v>1020</v>
      </c>
      <c r="S8" s="494" t="s">
        <v>1021</v>
      </c>
      <c r="T8" s="494" t="s">
        <v>1022</v>
      </c>
      <c r="U8" s="494" t="s">
        <v>1023</v>
      </c>
      <c r="V8" s="494" t="s">
        <v>1024</v>
      </c>
      <c r="W8" s="494" t="s">
        <v>1025</v>
      </c>
      <c r="X8" s="494" t="s">
        <v>786</v>
      </c>
      <c r="Y8" s="494" t="s">
        <v>901</v>
      </c>
      <c r="Z8" s="494" t="s">
        <v>902</v>
      </c>
      <c r="AA8" s="494" t="s">
        <v>882</v>
      </c>
      <c r="AB8" s="494" t="s">
        <v>960</v>
      </c>
    </row>
    <row r="9" spans="1:28" x14ac:dyDescent="0.25">
      <c r="A9" s="494" t="s">
        <v>352</v>
      </c>
      <c r="G9" s="494" t="s">
        <v>913</v>
      </c>
      <c r="H9" s="494" t="s">
        <v>589</v>
      </c>
      <c r="I9" s="494" t="s">
        <v>1030</v>
      </c>
      <c r="J9" s="494" t="s">
        <v>977</v>
      </c>
      <c r="K9" s="494" t="s">
        <v>1031</v>
      </c>
      <c r="L9" s="494" t="s">
        <v>1032</v>
      </c>
      <c r="M9" s="494" t="s">
        <v>1033</v>
      </c>
      <c r="O9" s="494" t="s">
        <v>1020</v>
      </c>
      <c r="S9" s="494" t="s">
        <v>1021</v>
      </c>
      <c r="T9" s="494" t="s">
        <v>1022</v>
      </c>
      <c r="U9" s="494" t="s">
        <v>1023</v>
      </c>
      <c r="V9" s="494" t="s">
        <v>1024</v>
      </c>
      <c r="W9" s="494" t="s">
        <v>1025</v>
      </c>
      <c r="X9" s="494" t="s">
        <v>786</v>
      </c>
      <c r="Y9" s="494" t="s">
        <v>901</v>
      </c>
      <c r="Z9" s="494" t="s">
        <v>902</v>
      </c>
      <c r="AA9" s="494" t="s">
        <v>882</v>
      </c>
      <c r="AB9" s="494" t="s">
        <v>960</v>
      </c>
    </row>
    <row r="10" spans="1:28" ht="15" customHeight="1" x14ac:dyDescent="0.25">
      <c r="A10" s="494" t="s">
        <v>353</v>
      </c>
      <c r="B10" s="494" t="s">
        <v>354</v>
      </c>
      <c r="G10" s="494" t="s">
        <v>914</v>
      </c>
      <c r="H10" s="494" t="s">
        <v>589</v>
      </c>
      <c r="I10" s="494" t="s">
        <v>1030</v>
      </c>
      <c r="J10" s="494" t="s">
        <v>977</v>
      </c>
      <c r="K10" s="494" t="s">
        <v>1031</v>
      </c>
      <c r="L10" s="494" t="s">
        <v>1032</v>
      </c>
      <c r="M10" s="494" t="s">
        <v>1033</v>
      </c>
      <c r="O10" s="494" t="s">
        <v>1020</v>
      </c>
      <c r="S10" s="494" t="s">
        <v>1021</v>
      </c>
      <c r="T10" s="494" t="s">
        <v>1022</v>
      </c>
      <c r="U10" s="494" t="s">
        <v>1023</v>
      </c>
      <c r="V10" s="494" t="s">
        <v>1024</v>
      </c>
      <c r="W10" s="494" t="s">
        <v>1025</v>
      </c>
      <c r="X10" s="494" t="s">
        <v>786</v>
      </c>
      <c r="Y10" s="494" t="s">
        <v>901</v>
      </c>
      <c r="Z10" s="494" t="s">
        <v>902</v>
      </c>
      <c r="AA10" s="494" t="s">
        <v>882</v>
      </c>
      <c r="AB10" s="494" t="s">
        <v>960</v>
      </c>
    </row>
    <row r="11" spans="1:28" ht="15.75" customHeight="1" x14ac:dyDescent="0.25">
      <c r="A11" s="494" t="s">
        <v>355</v>
      </c>
      <c r="G11" s="494" t="s">
        <v>915</v>
      </c>
      <c r="H11" s="494" t="s">
        <v>589</v>
      </c>
      <c r="I11" s="494" t="s">
        <v>1030</v>
      </c>
      <c r="J11" s="494" t="s">
        <v>977</v>
      </c>
      <c r="K11" s="494" t="s">
        <v>1031</v>
      </c>
      <c r="L11" s="494" t="s">
        <v>1032</v>
      </c>
      <c r="M11" s="494" t="s">
        <v>1033</v>
      </c>
      <c r="O11" s="494" t="s">
        <v>1020</v>
      </c>
      <c r="S11" s="494" t="s">
        <v>1021</v>
      </c>
      <c r="T11" s="494" t="s">
        <v>1022</v>
      </c>
      <c r="U11" s="494" t="s">
        <v>1023</v>
      </c>
      <c r="V11" s="494" t="s">
        <v>1024</v>
      </c>
      <c r="W11" s="494" t="s">
        <v>1025</v>
      </c>
      <c r="X11" s="494" t="s">
        <v>786</v>
      </c>
      <c r="Y11" s="494" t="s">
        <v>901</v>
      </c>
      <c r="Z11" s="494" t="s">
        <v>902</v>
      </c>
      <c r="AA11" s="494" t="s">
        <v>882</v>
      </c>
      <c r="AB11" s="494" t="s">
        <v>960</v>
      </c>
    </row>
    <row r="12" spans="1:28" x14ac:dyDescent="0.25">
      <c r="A12" s="494" t="s">
        <v>318</v>
      </c>
      <c r="F12" s="494" t="s">
        <v>630</v>
      </c>
      <c r="G12" s="494" t="s">
        <v>916</v>
      </c>
      <c r="H12" s="494" t="s">
        <v>589</v>
      </c>
      <c r="I12" s="494" t="s">
        <v>1030</v>
      </c>
      <c r="J12" s="494" t="s">
        <v>977</v>
      </c>
      <c r="K12" s="494" t="s">
        <v>1031</v>
      </c>
      <c r="L12" s="494" t="s">
        <v>1032</v>
      </c>
      <c r="M12" s="494" t="s">
        <v>1033</v>
      </c>
      <c r="O12" s="494" t="s">
        <v>1020</v>
      </c>
      <c r="S12" s="494" t="s">
        <v>1021</v>
      </c>
      <c r="T12" s="494" t="s">
        <v>1022</v>
      </c>
      <c r="U12" s="494" t="s">
        <v>1023</v>
      </c>
      <c r="V12" s="494" t="s">
        <v>1024</v>
      </c>
      <c r="W12" s="494" t="s">
        <v>1025</v>
      </c>
      <c r="X12" s="494" t="s">
        <v>786</v>
      </c>
      <c r="Y12" s="494" t="s">
        <v>901</v>
      </c>
      <c r="Z12" s="494" t="s">
        <v>902</v>
      </c>
      <c r="AA12" s="494" t="s">
        <v>882</v>
      </c>
      <c r="AB12" s="494" t="s">
        <v>960</v>
      </c>
    </row>
    <row r="13" spans="1:28" x14ac:dyDescent="0.25">
      <c r="A13" s="494" t="s">
        <v>321</v>
      </c>
      <c r="F13" s="494" t="s">
        <v>630</v>
      </c>
      <c r="G13" s="494" t="s">
        <v>917</v>
      </c>
      <c r="H13" s="494" t="s">
        <v>589</v>
      </c>
      <c r="I13" s="494" t="s">
        <v>1030</v>
      </c>
      <c r="J13" s="494" t="s">
        <v>977</v>
      </c>
      <c r="K13" s="494" t="s">
        <v>1031</v>
      </c>
      <c r="L13" s="494" t="s">
        <v>1032</v>
      </c>
      <c r="M13" s="494" t="s">
        <v>1033</v>
      </c>
      <c r="O13" s="494" t="s">
        <v>1020</v>
      </c>
      <c r="S13" s="494" t="s">
        <v>1021</v>
      </c>
      <c r="T13" s="494" t="s">
        <v>1022</v>
      </c>
      <c r="U13" s="494" t="s">
        <v>1023</v>
      </c>
      <c r="V13" s="494" t="s">
        <v>1024</v>
      </c>
      <c r="W13" s="494" t="s">
        <v>1025</v>
      </c>
      <c r="X13" s="494" t="s">
        <v>786</v>
      </c>
      <c r="Y13" s="494" t="s">
        <v>901</v>
      </c>
      <c r="Z13" s="494" t="s">
        <v>902</v>
      </c>
      <c r="AA13" s="494" t="s">
        <v>882</v>
      </c>
      <c r="AB13" s="494" t="s">
        <v>960</v>
      </c>
    </row>
    <row r="14" spans="1:28" x14ac:dyDescent="0.25">
      <c r="A14" s="494" t="s">
        <v>324</v>
      </c>
      <c r="F14" s="494" t="s">
        <v>630</v>
      </c>
      <c r="G14" s="494" t="s">
        <v>918</v>
      </c>
      <c r="H14" s="494" t="s">
        <v>589</v>
      </c>
      <c r="I14" s="494" t="s">
        <v>1030</v>
      </c>
      <c r="J14" s="494" t="s">
        <v>977</v>
      </c>
      <c r="K14" s="494" t="s">
        <v>1031</v>
      </c>
      <c r="L14" s="494" t="s">
        <v>1032</v>
      </c>
      <c r="M14" s="494" t="s">
        <v>1033</v>
      </c>
      <c r="O14" s="494" t="s">
        <v>1020</v>
      </c>
      <c r="S14" s="494" t="s">
        <v>1021</v>
      </c>
      <c r="T14" s="494" t="s">
        <v>1022</v>
      </c>
      <c r="U14" s="494" t="s">
        <v>1023</v>
      </c>
      <c r="V14" s="494" t="s">
        <v>1024</v>
      </c>
      <c r="W14" s="494" t="s">
        <v>1025</v>
      </c>
      <c r="X14" s="494" t="s">
        <v>786</v>
      </c>
      <c r="Y14" s="494" t="s">
        <v>901</v>
      </c>
      <c r="Z14" s="494" t="s">
        <v>902</v>
      </c>
      <c r="AA14" s="494" t="s">
        <v>882</v>
      </c>
      <c r="AB14" s="494" t="s">
        <v>960</v>
      </c>
    </row>
    <row r="15" spans="1:28" x14ac:dyDescent="0.25">
      <c r="A15" s="494" t="s">
        <v>325</v>
      </c>
      <c r="F15" s="494" t="s">
        <v>630</v>
      </c>
      <c r="G15" s="494" t="s">
        <v>919</v>
      </c>
      <c r="H15" s="494" t="s">
        <v>589</v>
      </c>
      <c r="I15" s="494" t="s">
        <v>1030</v>
      </c>
      <c r="J15" s="494" t="s">
        <v>977</v>
      </c>
      <c r="K15" s="494" t="s">
        <v>1031</v>
      </c>
      <c r="L15" s="494" t="s">
        <v>1032</v>
      </c>
      <c r="M15" s="494" t="s">
        <v>1033</v>
      </c>
      <c r="O15" s="494" t="s">
        <v>1020</v>
      </c>
      <c r="S15" s="494" t="s">
        <v>1021</v>
      </c>
      <c r="T15" s="494" t="s">
        <v>1022</v>
      </c>
      <c r="U15" s="494" t="s">
        <v>1023</v>
      </c>
      <c r="V15" s="494" t="s">
        <v>1024</v>
      </c>
      <c r="W15" s="494" t="s">
        <v>1025</v>
      </c>
      <c r="X15" s="494" t="s">
        <v>786</v>
      </c>
      <c r="Y15" s="494" t="s">
        <v>901</v>
      </c>
      <c r="Z15" s="494" t="s">
        <v>902</v>
      </c>
      <c r="AA15" s="494" t="s">
        <v>882</v>
      </c>
      <c r="AB15" s="494" t="s">
        <v>960</v>
      </c>
    </row>
    <row r="16" spans="1:28" x14ac:dyDescent="0.25">
      <c r="A16" s="494" t="s">
        <v>357</v>
      </c>
      <c r="G16" s="494" t="s">
        <v>920</v>
      </c>
      <c r="H16" s="494" t="s">
        <v>589</v>
      </c>
      <c r="I16" s="494" t="s">
        <v>1030</v>
      </c>
      <c r="J16" s="494" t="s">
        <v>977</v>
      </c>
      <c r="K16" s="494" t="s">
        <v>1031</v>
      </c>
      <c r="L16" s="494" t="s">
        <v>1032</v>
      </c>
      <c r="M16" s="494" t="s">
        <v>1033</v>
      </c>
      <c r="O16" s="494" t="s">
        <v>1020</v>
      </c>
      <c r="S16" s="494" t="s">
        <v>1021</v>
      </c>
      <c r="T16" s="494" t="s">
        <v>1022</v>
      </c>
      <c r="U16" s="494" t="s">
        <v>1023</v>
      </c>
      <c r="V16" s="494" t="s">
        <v>1024</v>
      </c>
      <c r="W16" s="494" t="s">
        <v>1025</v>
      </c>
      <c r="X16" s="494" t="s">
        <v>786</v>
      </c>
      <c r="Y16" s="494" t="s">
        <v>901</v>
      </c>
      <c r="Z16" s="494" t="s">
        <v>902</v>
      </c>
      <c r="AA16" s="494" t="s">
        <v>882</v>
      </c>
      <c r="AB16" s="494" t="s">
        <v>960</v>
      </c>
    </row>
    <row r="17" spans="1:28" x14ac:dyDescent="0.25">
      <c r="A17" s="494" t="s">
        <v>358</v>
      </c>
      <c r="G17" s="494" t="s">
        <v>921</v>
      </c>
      <c r="H17" s="494" t="s">
        <v>589</v>
      </c>
      <c r="I17" s="494" t="s">
        <v>1030</v>
      </c>
      <c r="J17" s="494" t="s">
        <v>977</v>
      </c>
      <c r="K17" s="494" t="s">
        <v>1031</v>
      </c>
      <c r="L17" s="494" t="s">
        <v>1032</v>
      </c>
      <c r="M17" s="494" t="s">
        <v>1033</v>
      </c>
      <c r="O17" s="494" t="s">
        <v>1020</v>
      </c>
      <c r="S17" s="494" t="s">
        <v>1021</v>
      </c>
      <c r="T17" s="494" t="s">
        <v>1022</v>
      </c>
      <c r="U17" s="494" t="s">
        <v>1023</v>
      </c>
      <c r="V17" s="494" t="s">
        <v>1024</v>
      </c>
      <c r="W17" s="494" t="s">
        <v>1025</v>
      </c>
      <c r="X17" s="494" t="s">
        <v>786</v>
      </c>
      <c r="Y17" s="494" t="s">
        <v>901</v>
      </c>
      <c r="Z17" s="494" t="s">
        <v>902</v>
      </c>
      <c r="AA17" s="494" t="s">
        <v>882</v>
      </c>
      <c r="AB17" s="494" t="s">
        <v>960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C0DC-E21B-465B-B9B5-25D8E7BC03AB}">
  <dimension ref="A1:AB17"/>
  <sheetViews>
    <sheetView workbookViewId="0">
      <selection activeCell="A2" sqref="A2:XFD17"/>
    </sheetView>
  </sheetViews>
  <sheetFormatPr defaultRowHeight="15" x14ac:dyDescent="0.25"/>
  <cols>
    <col min="1" max="1" width="15.5703125" style="494" customWidth="1"/>
    <col min="2" max="2" width="25.85546875" style="494" bestFit="1" customWidth="1"/>
    <col min="3" max="3" width="19.28515625" style="494" customWidth="1"/>
    <col min="4" max="4" width="22.5703125" style="494" customWidth="1"/>
    <col min="5" max="5" width="20" style="494" customWidth="1"/>
    <col min="6" max="7" width="17.42578125" style="494" customWidth="1"/>
    <col min="8" max="8" width="18.85546875" style="494" customWidth="1"/>
    <col min="9" max="10" width="19.42578125" style="494" customWidth="1"/>
    <col min="11" max="11" width="18.140625" style="494" customWidth="1"/>
    <col min="12" max="12" width="22.5703125" style="494" customWidth="1"/>
    <col min="13" max="13" width="22.42578125" style="494" customWidth="1"/>
    <col min="14" max="14" width="17.140625" style="494" customWidth="1"/>
    <col min="15" max="15" width="22.7109375" style="494" bestFit="1" customWidth="1"/>
    <col min="16" max="16" width="17.5703125" style="494" customWidth="1"/>
    <col min="17" max="18" width="15.28515625" style="494" customWidth="1"/>
    <col min="19" max="19" width="18.42578125" style="494" customWidth="1"/>
    <col min="20" max="20" width="22.85546875" style="494" bestFit="1" customWidth="1"/>
    <col min="21" max="21" width="18.85546875" style="494" customWidth="1"/>
    <col min="22" max="23" width="16.5703125" style="494" customWidth="1"/>
    <col min="24" max="24" width="17.140625" style="494" customWidth="1"/>
    <col min="25" max="25" width="21.7109375" style="494" bestFit="1" customWidth="1"/>
    <col min="26" max="27" width="15.42578125" style="494" customWidth="1"/>
    <col min="28" max="28" width="13.7109375" style="494" bestFit="1" customWidth="1"/>
    <col min="29" max="16384" width="9.140625" style="494"/>
  </cols>
  <sheetData>
    <row r="1" spans="1:28" x14ac:dyDescent="0.25">
      <c r="A1" s="494" t="s">
        <v>873</v>
      </c>
      <c r="B1" s="494" t="s">
        <v>874</v>
      </c>
      <c r="C1" s="494" t="s">
        <v>875</v>
      </c>
      <c r="D1" s="494" t="s">
        <v>876</v>
      </c>
      <c r="E1" s="494" t="s">
        <v>877</v>
      </c>
      <c r="F1" s="494" t="s">
        <v>878</v>
      </c>
      <c r="G1" s="494" t="s">
        <v>905</v>
      </c>
      <c r="H1" s="494" t="s">
        <v>872</v>
      </c>
      <c r="I1" s="494" t="s">
        <v>978</v>
      </c>
      <c r="J1" s="494" t="s">
        <v>971</v>
      </c>
      <c r="K1" s="494" t="s">
        <v>885</v>
      </c>
      <c r="L1" s="494" t="s">
        <v>884</v>
      </c>
      <c r="M1" s="494" t="s">
        <v>886</v>
      </c>
      <c r="N1" s="494" t="s">
        <v>888</v>
      </c>
      <c r="O1" s="494" t="s">
        <v>889</v>
      </c>
      <c r="P1" s="494" t="s">
        <v>890</v>
      </c>
      <c r="Q1" s="494" t="s">
        <v>891</v>
      </c>
      <c r="R1" s="494" t="s">
        <v>959</v>
      </c>
      <c r="S1" s="494" t="s">
        <v>892</v>
      </c>
      <c r="T1" s="494" t="s">
        <v>893</v>
      </c>
      <c r="U1" s="494" t="s">
        <v>896</v>
      </c>
      <c r="V1" s="494" t="s">
        <v>897</v>
      </c>
      <c r="W1" s="494" t="s">
        <v>958</v>
      </c>
      <c r="X1" s="494" t="s">
        <v>898</v>
      </c>
      <c r="Y1" s="494" t="s">
        <v>900</v>
      </c>
      <c r="Z1" s="494" t="s">
        <v>939</v>
      </c>
      <c r="AA1" s="494" t="s">
        <v>899</v>
      </c>
      <c r="AB1" s="494" t="s">
        <v>957</v>
      </c>
    </row>
    <row r="2" spans="1:28" ht="15" customHeight="1" x14ac:dyDescent="0.25">
      <c r="A2" s="494" t="s">
        <v>343</v>
      </c>
      <c r="G2" s="494" t="s">
        <v>906</v>
      </c>
      <c r="H2" s="494" t="s">
        <v>589</v>
      </c>
      <c r="I2" s="494" t="s">
        <v>1034</v>
      </c>
      <c r="J2" s="494" t="s">
        <v>979</v>
      </c>
      <c r="K2" s="494" t="s">
        <v>1035</v>
      </c>
      <c r="L2" s="494" t="s">
        <v>1036</v>
      </c>
      <c r="M2" s="494" t="s">
        <v>1037</v>
      </c>
      <c r="O2" s="494" t="s">
        <v>1020</v>
      </c>
      <c r="S2" s="494" t="s">
        <v>1021</v>
      </c>
      <c r="T2" s="494" t="s">
        <v>1022</v>
      </c>
      <c r="U2" s="494" t="s">
        <v>1023</v>
      </c>
      <c r="V2" s="494" t="s">
        <v>1024</v>
      </c>
      <c r="W2" s="494" t="s">
        <v>1025</v>
      </c>
      <c r="X2" s="494" t="s">
        <v>786</v>
      </c>
      <c r="Y2" s="494" t="s">
        <v>901</v>
      </c>
      <c r="Z2" s="494" t="s">
        <v>902</v>
      </c>
      <c r="AA2" s="494" t="s">
        <v>882</v>
      </c>
      <c r="AB2" s="494" t="s">
        <v>960</v>
      </c>
    </row>
    <row r="3" spans="1:28" ht="15" customHeight="1" x14ac:dyDescent="0.25">
      <c r="A3" s="494" t="s">
        <v>349</v>
      </c>
      <c r="G3" s="494" t="s">
        <v>907</v>
      </c>
      <c r="H3" s="494" t="s">
        <v>589</v>
      </c>
      <c r="I3" s="494" t="s">
        <v>1034</v>
      </c>
      <c r="J3" s="494" t="s">
        <v>979</v>
      </c>
      <c r="K3" s="494" t="s">
        <v>1035</v>
      </c>
      <c r="L3" s="494" t="s">
        <v>1036</v>
      </c>
      <c r="M3" s="494" t="s">
        <v>1037</v>
      </c>
      <c r="O3" s="494" t="s">
        <v>1020</v>
      </c>
      <c r="S3" s="494" t="s">
        <v>1021</v>
      </c>
      <c r="T3" s="494" t="s">
        <v>1022</v>
      </c>
      <c r="U3" s="494" t="s">
        <v>1023</v>
      </c>
      <c r="V3" s="494" t="s">
        <v>1024</v>
      </c>
      <c r="W3" s="494" t="s">
        <v>1025</v>
      </c>
      <c r="X3" s="494" t="s">
        <v>786</v>
      </c>
      <c r="Y3" s="494" t="s">
        <v>901</v>
      </c>
      <c r="Z3" s="494" t="s">
        <v>902</v>
      </c>
      <c r="AA3" s="494" t="s">
        <v>882</v>
      </c>
      <c r="AB3" s="494" t="s">
        <v>960</v>
      </c>
    </row>
    <row r="4" spans="1:28" ht="15" customHeight="1" x14ac:dyDescent="0.25">
      <c r="A4" s="494" t="s">
        <v>305</v>
      </c>
      <c r="G4" s="494" t="s">
        <v>908</v>
      </c>
      <c r="H4" s="494" t="s">
        <v>589</v>
      </c>
      <c r="I4" s="494" t="s">
        <v>1034</v>
      </c>
      <c r="J4" s="494" t="s">
        <v>979</v>
      </c>
      <c r="K4" s="494" t="s">
        <v>1035</v>
      </c>
      <c r="L4" s="494" t="s">
        <v>1036</v>
      </c>
      <c r="M4" s="494" t="s">
        <v>1037</v>
      </c>
      <c r="O4" s="494" t="s">
        <v>1020</v>
      </c>
      <c r="S4" s="494" t="s">
        <v>1021</v>
      </c>
      <c r="T4" s="494" t="s">
        <v>1022</v>
      </c>
      <c r="U4" s="494" t="s">
        <v>1023</v>
      </c>
      <c r="V4" s="494" t="s">
        <v>1024</v>
      </c>
      <c r="W4" s="494" t="s">
        <v>1025</v>
      </c>
      <c r="X4" s="494" t="s">
        <v>786</v>
      </c>
      <c r="Y4" s="494" t="s">
        <v>901</v>
      </c>
      <c r="Z4" s="494" t="s">
        <v>902</v>
      </c>
      <c r="AA4" s="494" t="s">
        <v>882</v>
      </c>
      <c r="AB4" s="494" t="s">
        <v>960</v>
      </c>
    </row>
    <row r="5" spans="1:28" ht="15" customHeight="1" x14ac:dyDescent="0.25">
      <c r="A5" s="494" t="s">
        <v>308</v>
      </c>
      <c r="G5" s="494" t="s">
        <v>909</v>
      </c>
      <c r="H5" s="494" t="s">
        <v>589</v>
      </c>
      <c r="I5" s="494" t="s">
        <v>1034</v>
      </c>
      <c r="J5" s="494" t="s">
        <v>979</v>
      </c>
      <c r="K5" s="494" t="s">
        <v>1035</v>
      </c>
      <c r="L5" s="494" t="s">
        <v>1036</v>
      </c>
      <c r="M5" s="494" t="s">
        <v>1037</v>
      </c>
      <c r="O5" s="494" t="s">
        <v>1020</v>
      </c>
      <c r="S5" s="494" t="s">
        <v>1021</v>
      </c>
      <c r="T5" s="494" t="s">
        <v>1022</v>
      </c>
      <c r="U5" s="494" t="s">
        <v>1023</v>
      </c>
      <c r="V5" s="494" t="s">
        <v>1024</v>
      </c>
      <c r="W5" s="494" t="s">
        <v>1025</v>
      </c>
      <c r="X5" s="494" t="s">
        <v>786</v>
      </c>
      <c r="Y5" s="494" t="s">
        <v>901</v>
      </c>
      <c r="Z5" s="494" t="s">
        <v>902</v>
      </c>
      <c r="AA5" s="494" t="s">
        <v>882</v>
      </c>
      <c r="AB5" s="494" t="s">
        <v>960</v>
      </c>
    </row>
    <row r="6" spans="1:28" x14ac:dyDescent="0.25">
      <c r="A6" s="494" t="s">
        <v>310</v>
      </c>
      <c r="G6" s="494" t="s">
        <v>910</v>
      </c>
      <c r="H6" s="494" t="s">
        <v>589</v>
      </c>
      <c r="I6" s="494" t="s">
        <v>1034</v>
      </c>
      <c r="J6" s="494" t="s">
        <v>979</v>
      </c>
      <c r="K6" s="494" t="s">
        <v>1035</v>
      </c>
      <c r="L6" s="494" t="s">
        <v>1036</v>
      </c>
      <c r="M6" s="494" t="s">
        <v>1037</v>
      </c>
      <c r="O6" s="494" t="s">
        <v>1020</v>
      </c>
      <c r="S6" s="494" t="s">
        <v>1021</v>
      </c>
      <c r="T6" s="494" t="s">
        <v>1022</v>
      </c>
      <c r="U6" s="494" t="s">
        <v>1023</v>
      </c>
      <c r="V6" s="494" t="s">
        <v>1024</v>
      </c>
      <c r="W6" s="494" t="s">
        <v>1025</v>
      </c>
      <c r="X6" s="494" t="s">
        <v>786</v>
      </c>
      <c r="Y6" s="494" t="s">
        <v>901</v>
      </c>
      <c r="Z6" s="494" t="s">
        <v>902</v>
      </c>
      <c r="AA6" s="494" t="s">
        <v>882</v>
      </c>
      <c r="AB6" s="494" t="s">
        <v>960</v>
      </c>
    </row>
    <row r="7" spans="1:28" x14ac:dyDescent="0.25">
      <c r="A7" s="494" t="s">
        <v>312</v>
      </c>
      <c r="G7" s="494" t="s">
        <v>911</v>
      </c>
      <c r="H7" s="494" t="s">
        <v>589</v>
      </c>
      <c r="I7" s="494" t="s">
        <v>1034</v>
      </c>
      <c r="J7" s="494" t="s">
        <v>979</v>
      </c>
      <c r="K7" s="494" t="s">
        <v>1035</v>
      </c>
      <c r="L7" s="494" t="s">
        <v>1036</v>
      </c>
      <c r="M7" s="494" t="s">
        <v>1037</v>
      </c>
      <c r="O7" s="494" t="s">
        <v>1020</v>
      </c>
      <c r="S7" s="494" t="s">
        <v>1021</v>
      </c>
      <c r="T7" s="494" t="s">
        <v>1022</v>
      </c>
      <c r="U7" s="494" t="s">
        <v>1023</v>
      </c>
      <c r="V7" s="494" t="s">
        <v>1024</v>
      </c>
      <c r="W7" s="494" t="s">
        <v>1025</v>
      </c>
      <c r="X7" s="494" t="s">
        <v>786</v>
      </c>
      <c r="Y7" s="494" t="s">
        <v>901</v>
      </c>
      <c r="Z7" s="494" t="s">
        <v>902</v>
      </c>
      <c r="AA7" s="494" t="s">
        <v>882</v>
      </c>
      <c r="AB7" s="494" t="s">
        <v>960</v>
      </c>
    </row>
    <row r="8" spans="1:28" x14ac:dyDescent="0.25">
      <c r="A8" s="494" t="s">
        <v>315</v>
      </c>
      <c r="G8" s="494" t="s">
        <v>912</v>
      </c>
      <c r="H8" s="494" t="s">
        <v>589</v>
      </c>
      <c r="I8" s="494" t="s">
        <v>1034</v>
      </c>
      <c r="J8" s="494" t="s">
        <v>979</v>
      </c>
      <c r="K8" s="494" t="s">
        <v>1035</v>
      </c>
      <c r="L8" s="494" t="s">
        <v>1036</v>
      </c>
      <c r="M8" s="494" t="s">
        <v>1037</v>
      </c>
      <c r="O8" s="494" t="s">
        <v>1020</v>
      </c>
      <c r="S8" s="494" t="s">
        <v>1021</v>
      </c>
      <c r="T8" s="494" t="s">
        <v>1022</v>
      </c>
      <c r="U8" s="494" t="s">
        <v>1023</v>
      </c>
      <c r="V8" s="494" t="s">
        <v>1024</v>
      </c>
      <c r="W8" s="494" t="s">
        <v>1025</v>
      </c>
      <c r="X8" s="494" t="s">
        <v>786</v>
      </c>
      <c r="Y8" s="494" t="s">
        <v>901</v>
      </c>
      <c r="Z8" s="494" t="s">
        <v>902</v>
      </c>
      <c r="AA8" s="494" t="s">
        <v>882</v>
      </c>
      <c r="AB8" s="494" t="s">
        <v>960</v>
      </c>
    </row>
    <row r="9" spans="1:28" x14ac:dyDescent="0.25">
      <c r="A9" s="494" t="s">
        <v>352</v>
      </c>
      <c r="G9" s="494" t="s">
        <v>913</v>
      </c>
      <c r="H9" s="494" t="s">
        <v>589</v>
      </c>
      <c r="I9" s="494" t="s">
        <v>1034</v>
      </c>
      <c r="J9" s="494" t="s">
        <v>979</v>
      </c>
      <c r="K9" s="494" t="s">
        <v>1035</v>
      </c>
      <c r="L9" s="494" t="s">
        <v>1036</v>
      </c>
      <c r="M9" s="494" t="s">
        <v>1037</v>
      </c>
      <c r="O9" s="494" t="s">
        <v>1020</v>
      </c>
      <c r="S9" s="494" t="s">
        <v>1021</v>
      </c>
      <c r="T9" s="494" t="s">
        <v>1022</v>
      </c>
      <c r="U9" s="494" t="s">
        <v>1023</v>
      </c>
      <c r="V9" s="494" t="s">
        <v>1024</v>
      </c>
      <c r="W9" s="494" t="s">
        <v>1025</v>
      </c>
      <c r="X9" s="494" t="s">
        <v>786</v>
      </c>
      <c r="Y9" s="494" t="s">
        <v>901</v>
      </c>
      <c r="Z9" s="494" t="s">
        <v>902</v>
      </c>
      <c r="AA9" s="494" t="s">
        <v>882</v>
      </c>
      <c r="AB9" s="494" t="s">
        <v>960</v>
      </c>
    </row>
    <row r="10" spans="1:28" ht="15" customHeight="1" x14ac:dyDescent="0.25">
      <c r="A10" s="494" t="s">
        <v>353</v>
      </c>
      <c r="B10" s="494" t="s">
        <v>354</v>
      </c>
      <c r="G10" s="494" t="s">
        <v>914</v>
      </c>
      <c r="H10" s="494" t="s">
        <v>589</v>
      </c>
      <c r="I10" s="494" t="s">
        <v>1034</v>
      </c>
      <c r="J10" s="494" t="s">
        <v>979</v>
      </c>
      <c r="K10" s="494" t="s">
        <v>1035</v>
      </c>
      <c r="L10" s="494" t="s">
        <v>1036</v>
      </c>
      <c r="M10" s="494" t="s">
        <v>1037</v>
      </c>
      <c r="O10" s="494" t="s">
        <v>1020</v>
      </c>
      <c r="S10" s="494" t="s">
        <v>1021</v>
      </c>
      <c r="T10" s="494" t="s">
        <v>1022</v>
      </c>
      <c r="U10" s="494" t="s">
        <v>1023</v>
      </c>
      <c r="V10" s="494" t="s">
        <v>1024</v>
      </c>
      <c r="W10" s="494" t="s">
        <v>1025</v>
      </c>
      <c r="X10" s="494" t="s">
        <v>786</v>
      </c>
      <c r="Y10" s="494" t="s">
        <v>901</v>
      </c>
      <c r="Z10" s="494" t="s">
        <v>902</v>
      </c>
      <c r="AA10" s="494" t="s">
        <v>882</v>
      </c>
      <c r="AB10" s="494" t="s">
        <v>960</v>
      </c>
    </row>
    <row r="11" spans="1:28" ht="15.75" customHeight="1" x14ac:dyDescent="0.25">
      <c r="A11" s="494" t="s">
        <v>355</v>
      </c>
      <c r="G11" s="494" t="s">
        <v>915</v>
      </c>
      <c r="H11" s="494" t="s">
        <v>589</v>
      </c>
      <c r="I11" s="494" t="s">
        <v>1034</v>
      </c>
      <c r="J11" s="494" t="s">
        <v>979</v>
      </c>
      <c r="K11" s="494" t="s">
        <v>1035</v>
      </c>
      <c r="L11" s="494" t="s">
        <v>1036</v>
      </c>
      <c r="M11" s="494" t="s">
        <v>1037</v>
      </c>
      <c r="O11" s="494" t="s">
        <v>1020</v>
      </c>
      <c r="S11" s="494" t="s">
        <v>1021</v>
      </c>
      <c r="T11" s="494" t="s">
        <v>1022</v>
      </c>
      <c r="U11" s="494" t="s">
        <v>1023</v>
      </c>
      <c r="V11" s="494" t="s">
        <v>1024</v>
      </c>
      <c r="W11" s="494" t="s">
        <v>1025</v>
      </c>
      <c r="X11" s="494" t="s">
        <v>786</v>
      </c>
      <c r="Y11" s="494" t="s">
        <v>901</v>
      </c>
      <c r="Z11" s="494" t="s">
        <v>902</v>
      </c>
      <c r="AA11" s="494" t="s">
        <v>882</v>
      </c>
      <c r="AB11" s="494" t="s">
        <v>960</v>
      </c>
    </row>
    <row r="12" spans="1:28" x14ac:dyDescent="0.25">
      <c r="A12" s="494" t="s">
        <v>318</v>
      </c>
      <c r="G12" s="494" t="s">
        <v>916</v>
      </c>
      <c r="H12" s="494" t="s">
        <v>589</v>
      </c>
      <c r="I12" s="494" t="s">
        <v>1034</v>
      </c>
      <c r="J12" s="494" t="s">
        <v>979</v>
      </c>
      <c r="K12" s="494" t="s">
        <v>1035</v>
      </c>
      <c r="L12" s="494" t="s">
        <v>1036</v>
      </c>
      <c r="M12" s="494" t="s">
        <v>1037</v>
      </c>
      <c r="O12" s="494" t="s">
        <v>1020</v>
      </c>
      <c r="S12" s="494" t="s">
        <v>1021</v>
      </c>
      <c r="T12" s="494" t="s">
        <v>1022</v>
      </c>
      <c r="U12" s="494" t="s">
        <v>1023</v>
      </c>
      <c r="V12" s="494" t="s">
        <v>1024</v>
      </c>
      <c r="W12" s="494" t="s">
        <v>1025</v>
      </c>
      <c r="X12" s="494" t="s">
        <v>786</v>
      </c>
      <c r="Y12" s="494" t="s">
        <v>901</v>
      </c>
      <c r="Z12" s="494" t="s">
        <v>902</v>
      </c>
      <c r="AA12" s="494" t="s">
        <v>882</v>
      </c>
      <c r="AB12" s="494" t="s">
        <v>960</v>
      </c>
    </row>
    <row r="13" spans="1:28" x14ac:dyDescent="0.25">
      <c r="A13" s="494" t="s">
        <v>321</v>
      </c>
      <c r="G13" s="494" t="s">
        <v>917</v>
      </c>
      <c r="H13" s="494" t="s">
        <v>589</v>
      </c>
      <c r="I13" s="494" t="s">
        <v>1034</v>
      </c>
      <c r="J13" s="494" t="s">
        <v>979</v>
      </c>
      <c r="K13" s="494" t="s">
        <v>1035</v>
      </c>
      <c r="L13" s="494" t="s">
        <v>1036</v>
      </c>
      <c r="M13" s="494" t="s">
        <v>1037</v>
      </c>
      <c r="O13" s="494" t="s">
        <v>1020</v>
      </c>
      <c r="S13" s="494" t="s">
        <v>1021</v>
      </c>
      <c r="T13" s="494" t="s">
        <v>1022</v>
      </c>
      <c r="U13" s="494" t="s">
        <v>1023</v>
      </c>
      <c r="V13" s="494" t="s">
        <v>1024</v>
      </c>
      <c r="W13" s="494" t="s">
        <v>1025</v>
      </c>
      <c r="X13" s="494" t="s">
        <v>786</v>
      </c>
      <c r="Y13" s="494" t="s">
        <v>901</v>
      </c>
      <c r="Z13" s="494" t="s">
        <v>902</v>
      </c>
      <c r="AA13" s="494" t="s">
        <v>882</v>
      </c>
      <c r="AB13" s="494" t="s">
        <v>960</v>
      </c>
    </row>
    <row r="14" spans="1:28" x14ac:dyDescent="0.25">
      <c r="A14" s="494" t="s">
        <v>324</v>
      </c>
      <c r="G14" s="494" t="s">
        <v>918</v>
      </c>
      <c r="H14" s="494" t="s">
        <v>589</v>
      </c>
      <c r="I14" s="494" t="s">
        <v>1034</v>
      </c>
      <c r="J14" s="494" t="s">
        <v>979</v>
      </c>
      <c r="K14" s="494" t="s">
        <v>1035</v>
      </c>
      <c r="L14" s="494" t="s">
        <v>1036</v>
      </c>
      <c r="M14" s="494" t="s">
        <v>1037</v>
      </c>
      <c r="O14" s="494" t="s">
        <v>1020</v>
      </c>
      <c r="S14" s="494" t="s">
        <v>1021</v>
      </c>
      <c r="T14" s="494" t="s">
        <v>1022</v>
      </c>
      <c r="U14" s="494" t="s">
        <v>1023</v>
      </c>
      <c r="V14" s="494" t="s">
        <v>1024</v>
      </c>
      <c r="W14" s="494" t="s">
        <v>1025</v>
      </c>
      <c r="X14" s="494" t="s">
        <v>786</v>
      </c>
      <c r="Y14" s="494" t="s">
        <v>901</v>
      </c>
      <c r="Z14" s="494" t="s">
        <v>902</v>
      </c>
      <c r="AA14" s="494" t="s">
        <v>882</v>
      </c>
      <c r="AB14" s="494" t="s">
        <v>960</v>
      </c>
    </row>
    <row r="15" spans="1:28" x14ac:dyDescent="0.25">
      <c r="A15" s="494" t="s">
        <v>325</v>
      </c>
      <c r="G15" s="494" t="s">
        <v>919</v>
      </c>
      <c r="H15" s="494" t="s">
        <v>589</v>
      </c>
      <c r="I15" s="494" t="s">
        <v>1034</v>
      </c>
      <c r="J15" s="494" t="s">
        <v>979</v>
      </c>
      <c r="K15" s="494" t="s">
        <v>1035</v>
      </c>
      <c r="L15" s="494" t="s">
        <v>1036</v>
      </c>
      <c r="M15" s="494" t="s">
        <v>1037</v>
      </c>
      <c r="O15" s="494" t="s">
        <v>1020</v>
      </c>
      <c r="S15" s="494" t="s">
        <v>1021</v>
      </c>
      <c r="T15" s="494" t="s">
        <v>1022</v>
      </c>
      <c r="U15" s="494" t="s">
        <v>1023</v>
      </c>
      <c r="V15" s="494" t="s">
        <v>1024</v>
      </c>
      <c r="W15" s="494" t="s">
        <v>1025</v>
      </c>
      <c r="X15" s="494" t="s">
        <v>786</v>
      </c>
      <c r="Y15" s="494" t="s">
        <v>901</v>
      </c>
      <c r="Z15" s="494" t="s">
        <v>902</v>
      </c>
      <c r="AA15" s="494" t="s">
        <v>882</v>
      </c>
      <c r="AB15" s="494" t="s">
        <v>960</v>
      </c>
    </row>
    <row r="16" spans="1:28" x14ac:dyDescent="0.25">
      <c r="A16" s="494" t="s">
        <v>357</v>
      </c>
      <c r="G16" s="494" t="s">
        <v>920</v>
      </c>
      <c r="H16" s="494" t="s">
        <v>589</v>
      </c>
      <c r="I16" s="494" t="s">
        <v>1034</v>
      </c>
      <c r="J16" s="494" t="s">
        <v>979</v>
      </c>
      <c r="K16" s="494" t="s">
        <v>1035</v>
      </c>
      <c r="L16" s="494" t="s">
        <v>1036</v>
      </c>
      <c r="M16" s="494" t="s">
        <v>1037</v>
      </c>
      <c r="O16" s="494" t="s">
        <v>1020</v>
      </c>
      <c r="S16" s="494" t="s">
        <v>1021</v>
      </c>
      <c r="T16" s="494" t="s">
        <v>1022</v>
      </c>
      <c r="U16" s="494" t="s">
        <v>1023</v>
      </c>
      <c r="V16" s="494" t="s">
        <v>1024</v>
      </c>
      <c r="W16" s="494" t="s">
        <v>1025</v>
      </c>
      <c r="X16" s="494" t="s">
        <v>786</v>
      </c>
      <c r="Y16" s="494" t="s">
        <v>901</v>
      </c>
      <c r="Z16" s="494" t="s">
        <v>902</v>
      </c>
      <c r="AA16" s="494" t="s">
        <v>882</v>
      </c>
      <c r="AB16" s="494" t="s">
        <v>960</v>
      </c>
    </row>
    <row r="17" spans="1:28" x14ac:dyDescent="0.25">
      <c r="A17" s="494" t="s">
        <v>358</v>
      </c>
      <c r="G17" s="494" t="s">
        <v>921</v>
      </c>
      <c r="H17" s="494" t="s">
        <v>589</v>
      </c>
      <c r="I17" s="494" t="s">
        <v>1034</v>
      </c>
      <c r="J17" s="494" t="s">
        <v>979</v>
      </c>
      <c r="K17" s="494" t="s">
        <v>1035</v>
      </c>
      <c r="L17" s="494" t="s">
        <v>1036</v>
      </c>
      <c r="M17" s="494" t="s">
        <v>1037</v>
      </c>
      <c r="O17" s="494" t="s">
        <v>1020</v>
      </c>
      <c r="S17" s="494" t="s">
        <v>1021</v>
      </c>
      <c r="T17" s="494" t="s">
        <v>1022</v>
      </c>
      <c r="U17" s="494" t="s">
        <v>1023</v>
      </c>
      <c r="V17" s="494" t="s">
        <v>1024</v>
      </c>
      <c r="W17" s="494" t="s">
        <v>1025</v>
      </c>
      <c r="X17" s="494" t="s">
        <v>786</v>
      </c>
      <c r="Y17" s="494" t="s">
        <v>901</v>
      </c>
      <c r="Z17" s="494" t="s">
        <v>902</v>
      </c>
      <c r="AA17" s="494" t="s">
        <v>882</v>
      </c>
      <c r="AB17" s="494" t="s">
        <v>960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66469-99BC-456A-BAA9-4AC629114B75}">
  <dimension ref="A1:AB17"/>
  <sheetViews>
    <sheetView workbookViewId="0">
      <selection activeCell="A2" sqref="A2:XFD17"/>
    </sheetView>
  </sheetViews>
  <sheetFormatPr defaultRowHeight="15" x14ac:dyDescent="0.25"/>
  <cols>
    <col min="1" max="1" width="15.5703125" style="494" customWidth="1"/>
    <col min="2" max="2" width="25.85546875" style="494" bestFit="1" customWidth="1"/>
    <col min="3" max="3" width="19.28515625" style="494" customWidth="1"/>
    <col min="4" max="4" width="22.5703125" style="494" customWidth="1"/>
    <col min="5" max="5" width="20" style="494" customWidth="1"/>
    <col min="6" max="7" width="17.42578125" style="494" customWidth="1"/>
    <col min="8" max="8" width="18.85546875" style="494" customWidth="1"/>
    <col min="9" max="10" width="19.42578125" style="494" customWidth="1"/>
    <col min="11" max="11" width="18.140625" style="494" customWidth="1"/>
    <col min="12" max="12" width="22.5703125" style="494" customWidth="1"/>
    <col min="13" max="13" width="22.42578125" style="494" customWidth="1"/>
    <col min="14" max="14" width="17.140625" style="494" customWidth="1"/>
    <col min="15" max="15" width="22.7109375" style="494" bestFit="1" customWidth="1"/>
    <col min="16" max="16" width="17.5703125" style="494" customWidth="1"/>
    <col min="17" max="18" width="15.28515625" style="494" customWidth="1"/>
    <col min="19" max="19" width="18.42578125" style="494" customWidth="1"/>
    <col min="20" max="20" width="22.85546875" style="494" bestFit="1" customWidth="1"/>
    <col min="21" max="21" width="18.85546875" style="494" customWidth="1"/>
    <col min="22" max="23" width="16.5703125" style="494" customWidth="1"/>
    <col min="24" max="24" width="17.140625" style="494" customWidth="1"/>
    <col min="25" max="25" width="21.7109375" style="494" bestFit="1" customWidth="1"/>
    <col min="26" max="27" width="15.42578125" style="494" customWidth="1"/>
    <col min="28" max="28" width="13.7109375" style="494" bestFit="1" customWidth="1"/>
    <col min="29" max="16384" width="9.140625" style="494"/>
  </cols>
  <sheetData>
    <row r="1" spans="1:28" x14ac:dyDescent="0.25">
      <c r="A1" s="494" t="s">
        <v>873</v>
      </c>
      <c r="B1" s="494" t="s">
        <v>874</v>
      </c>
      <c r="C1" s="494" t="s">
        <v>875</v>
      </c>
      <c r="D1" s="494" t="s">
        <v>876</v>
      </c>
      <c r="E1" s="494" t="s">
        <v>877</v>
      </c>
      <c r="F1" s="494" t="s">
        <v>878</v>
      </c>
      <c r="G1" s="494" t="s">
        <v>905</v>
      </c>
      <c r="H1" s="494" t="s">
        <v>872</v>
      </c>
      <c r="I1" s="494" t="s">
        <v>978</v>
      </c>
      <c r="J1" s="494" t="s">
        <v>971</v>
      </c>
      <c r="K1" s="494" t="s">
        <v>885</v>
      </c>
      <c r="L1" s="494" t="s">
        <v>884</v>
      </c>
      <c r="M1" s="494" t="s">
        <v>886</v>
      </c>
      <c r="N1" s="494" t="s">
        <v>888</v>
      </c>
      <c r="O1" s="494" t="s">
        <v>889</v>
      </c>
      <c r="P1" s="494" t="s">
        <v>890</v>
      </c>
      <c r="Q1" s="494" t="s">
        <v>891</v>
      </c>
      <c r="R1" s="494" t="s">
        <v>959</v>
      </c>
      <c r="S1" s="494" t="s">
        <v>892</v>
      </c>
      <c r="T1" s="494" t="s">
        <v>893</v>
      </c>
      <c r="U1" s="494" t="s">
        <v>896</v>
      </c>
      <c r="V1" s="494" t="s">
        <v>897</v>
      </c>
      <c r="W1" s="494" t="s">
        <v>958</v>
      </c>
      <c r="X1" s="494" t="s">
        <v>898</v>
      </c>
      <c r="Y1" s="494" t="s">
        <v>900</v>
      </c>
      <c r="Z1" s="494" t="s">
        <v>939</v>
      </c>
      <c r="AA1" s="494" t="s">
        <v>899</v>
      </c>
      <c r="AB1" s="494" t="s">
        <v>957</v>
      </c>
    </row>
    <row r="2" spans="1:28" ht="15" customHeight="1" x14ac:dyDescent="0.25">
      <c r="A2" s="494" t="s">
        <v>343</v>
      </c>
      <c r="G2" s="494" t="s">
        <v>906</v>
      </c>
      <c r="H2" s="494" t="s">
        <v>589</v>
      </c>
      <c r="I2" s="494" t="s">
        <v>1038</v>
      </c>
      <c r="J2" s="494" t="s">
        <v>1039</v>
      </c>
      <c r="L2" s="494" t="s">
        <v>1019</v>
      </c>
      <c r="O2" s="494" t="s">
        <v>1020</v>
      </c>
      <c r="S2" s="494" t="s">
        <v>1021</v>
      </c>
      <c r="T2" s="494" t="s">
        <v>1022</v>
      </c>
      <c r="U2" s="494" t="s">
        <v>1023</v>
      </c>
      <c r="V2" s="494" t="s">
        <v>1024</v>
      </c>
      <c r="W2" s="494" t="s">
        <v>1025</v>
      </c>
      <c r="X2" s="494" t="s">
        <v>786</v>
      </c>
      <c r="Y2" s="494" t="s">
        <v>901</v>
      </c>
      <c r="Z2" s="494" t="s">
        <v>902</v>
      </c>
      <c r="AA2" s="494" t="s">
        <v>882</v>
      </c>
      <c r="AB2" s="494" t="s">
        <v>960</v>
      </c>
    </row>
    <row r="3" spans="1:28" ht="15" customHeight="1" x14ac:dyDescent="0.25">
      <c r="A3" s="494" t="s">
        <v>349</v>
      </c>
      <c r="G3" s="494" t="s">
        <v>907</v>
      </c>
      <c r="H3" s="494" t="s">
        <v>589</v>
      </c>
      <c r="I3" s="494" t="s">
        <v>1038</v>
      </c>
      <c r="J3" s="494" t="s">
        <v>1039</v>
      </c>
      <c r="L3" s="494" t="s">
        <v>1019</v>
      </c>
      <c r="O3" s="494" t="s">
        <v>1020</v>
      </c>
      <c r="S3" s="494" t="s">
        <v>1021</v>
      </c>
      <c r="T3" s="494" t="s">
        <v>1022</v>
      </c>
      <c r="U3" s="494" t="s">
        <v>1023</v>
      </c>
      <c r="V3" s="494" t="s">
        <v>1024</v>
      </c>
      <c r="W3" s="494" t="s">
        <v>1025</v>
      </c>
      <c r="X3" s="494" t="s">
        <v>786</v>
      </c>
      <c r="Y3" s="494" t="s">
        <v>901</v>
      </c>
      <c r="Z3" s="494" t="s">
        <v>902</v>
      </c>
      <c r="AA3" s="494" t="s">
        <v>882</v>
      </c>
      <c r="AB3" s="494" t="s">
        <v>960</v>
      </c>
    </row>
    <row r="4" spans="1:28" ht="15" customHeight="1" x14ac:dyDescent="0.25">
      <c r="A4" s="494" t="s">
        <v>305</v>
      </c>
      <c r="G4" s="494" t="s">
        <v>908</v>
      </c>
      <c r="H4" s="494" t="s">
        <v>589</v>
      </c>
      <c r="I4" s="494" t="s">
        <v>1038</v>
      </c>
      <c r="J4" s="494" t="s">
        <v>1039</v>
      </c>
      <c r="L4" s="494" t="s">
        <v>1019</v>
      </c>
      <c r="O4" s="494" t="s">
        <v>1020</v>
      </c>
      <c r="S4" s="494" t="s">
        <v>1021</v>
      </c>
      <c r="T4" s="494" t="s">
        <v>1022</v>
      </c>
      <c r="U4" s="494" t="s">
        <v>1023</v>
      </c>
      <c r="V4" s="494" t="s">
        <v>1024</v>
      </c>
      <c r="W4" s="494" t="s">
        <v>1025</v>
      </c>
      <c r="X4" s="494" t="s">
        <v>786</v>
      </c>
      <c r="Y4" s="494" t="s">
        <v>901</v>
      </c>
      <c r="Z4" s="494" t="s">
        <v>902</v>
      </c>
      <c r="AA4" s="494" t="s">
        <v>882</v>
      </c>
      <c r="AB4" s="494" t="s">
        <v>960</v>
      </c>
    </row>
    <row r="5" spans="1:28" ht="15" customHeight="1" x14ac:dyDescent="0.25">
      <c r="A5" s="494" t="s">
        <v>308</v>
      </c>
      <c r="G5" s="494" t="s">
        <v>909</v>
      </c>
      <c r="H5" s="494" t="s">
        <v>589</v>
      </c>
      <c r="I5" s="494" t="s">
        <v>1038</v>
      </c>
      <c r="J5" s="494" t="s">
        <v>1039</v>
      </c>
      <c r="L5" s="494" t="s">
        <v>1019</v>
      </c>
      <c r="O5" s="494" t="s">
        <v>1020</v>
      </c>
      <c r="S5" s="494" t="s">
        <v>1021</v>
      </c>
      <c r="T5" s="494" t="s">
        <v>1022</v>
      </c>
      <c r="U5" s="494" t="s">
        <v>1023</v>
      </c>
      <c r="V5" s="494" t="s">
        <v>1024</v>
      </c>
      <c r="W5" s="494" t="s">
        <v>1025</v>
      </c>
      <c r="X5" s="494" t="s">
        <v>786</v>
      </c>
      <c r="Y5" s="494" t="s">
        <v>901</v>
      </c>
      <c r="Z5" s="494" t="s">
        <v>902</v>
      </c>
      <c r="AA5" s="494" t="s">
        <v>882</v>
      </c>
      <c r="AB5" s="494" t="s">
        <v>960</v>
      </c>
    </row>
    <row r="6" spans="1:28" x14ac:dyDescent="0.25">
      <c r="A6" s="494" t="s">
        <v>310</v>
      </c>
      <c r="G6" s="494" t="s">
        <v>910</v>
      </c>
      <c r="H6" s="494" t="s">
        <v>589</v>
      </c>
      <c r="I6" s="494" t="s">
        <v>1038</v>
      </c>
      <c r="J6" s="494" t="s">
        <v>1039</v>
      </c>
      <c r="L6" s="494" t="s">
        <v>1019</v>
      </c>
      <c r="O6" s="494" t="s">
        <v>1020</v>
      </c>
      <c r="S6" s="494" t="s">
        <v>1021</v>
      </c>
      <c r="T6" s="494" t="s">
        <v>1022</v>
      </c>
      <c r="U6" s="494" t="s">
        <v>1023</v>
      </c>
      <c r="V6" s="494" t="s">
        <v>1024</v>
      </c>
      <c r="W6" s="494" t="s">
        <v>1025</v>
      </c>
      <c r="X6" s="494" t="s">
        <v>786</v>
      </c>
      <c r="Y6" s="494" t="s">
        <v>901</v>
      </c>
      <c r="Z6" s="494" t="s">
        <v>902</v>
      </c>
      <c r="AA6" s="494" t="s">
        <v>882</v>
      </c>
      <c r="AB6" s="494" t="s">
        <v>960</v>
      </c>
    </row>
    <row r="7" spans="1:28" x14ac:dyDescent="0.25">
      <c r="A7" s="494" t="s">
        <v>312</v>
      </c>
      <c r="G7" s="494" t="s">
        <v>911</v>
      </c>
      <c r="H7" s="494" t="s">
        <v>589</v>
      </c>
      <c r="I7" s="494" t="s">
        <v>1038</v>
      </c>
      <c r="J7" s="494" t="s">
        <v>1039</v>
      </c>
      <c r="L7" s="494" t="s">
        <v>1019</v>
      </c>
      <c r="O7" s="494" t="s">
        <v>1020</v>
      </c>
      <c r="S7" s="494" t="s">
        <v>1021</v>
      </c>
      <c r="T7" s="494" t="s">
        <v>1022</v>
      </c>
      <c r="U7" s="494" t="s">
        <v>1023</v>
      </c>
      <c r="V7" s="494" t="s">
        <v>1024</v>
      </c>
      <c r="W7" s="494" t="s">
        <v>1025</v>
      </c>
      <c r="X7" s="494" t="s">
        <v>786</v>
      </c>
      <c r="Y7" s="494" t="s">
        <v>901</v>
      </c>
      <c r="Z7" s="494" t="s">
        <v>902</v>
      </c>
      <c r="AA7" s="494" t="s">
        <v>882</v>
      </c>
      <c r="AB7" s="494" t="s">
        <v>960</v>
      </c>
    </row>
    <row r="8" spans="1:28" x14ac:dyDescent="0.25">
      <c r="A8" s="494" t="s">
        <v>315</v>
      </c>
      <c r="G8" s="494" t="s">
        <v>912</v>
      </c>
      <c r="H8" s="494" t="s">
        <v>589</v>
      </c>
      <c r="I8" s="494" t="s">
        <v>1038</v>
      </c>
      <c r="J8" s="494" t="s">
        <v>1039</v>
      </c>
      <c r="L8" s="494" t="s">
        <v>1019</v>
      </c>
      <c r="O8" s="494" t="s">
        <v>1020</v>
      </c>
      <c r="S8" s="494" t="s">
        <v>1021</v>
      </c>
      <c r="T8" s="494" t="s">
        <v>1022</v>
      </c>
      <c r="U8" s="494" t="s">
        <v>1023</v>
      </c>
      <c r="V8" s="494" t="s">
        <v>1024</v>
      </c>
      <c r="W8" s="494" t="s">
        <v>1025</v>
      </c>
      <c r="X8" s="494" t="s">
        <v>786</v>
      </c>
      <c r="Y8" s="494" t="s">
        <v>901</v>
      </c>
      <c r="Z8" s="494" t="s">
        <v>902</v>
      </c>
      <c r="AA8" s="494" t="s">
        <v>882</v>
      </c>
      <c r="AB8" s="494" t="s">
        <v>960</v>
      </c>
    </row>
    <row r="9" spans="1:28" x14ac:dyDescent="0.25">
      <c r="A9" s="494" t="s">
        <v>352</v>
      </c>
      <c r="G9" s="494" t="s">
        <v>913</v>
      </c>
      <c r="H9" s="494" t="s">
        <v>589</v>
      </c>
      <c r="I9" s="494" t="s">
        <v>1038</v>
      </c>
      <c r="J9" s="494" t="s">
        <v>1039</v>
      </c>
      <c r="L9" s="494" t="s">
        <v>1019</v>
      </c>
      <c r="O9" s="494" t="s">
        <v>1020</v>
      </c>
      <c r="S9" s="494" t="s">
        <v>1021</v>
      </c>
      <c r="T9" s="494" t="s">
        <v>1022</v>
      </c>
      <c r="U9" s="494" t="s">
        <v>1023</v>
      </c>
      <c r="V9" s="494" t="s">
        <v>1024</v>
      </c>
      <c r="W9" s="494" t="s">
        <v>1025</v>
      </c>
      <c r="X9" s="494" t="s">
        <v>786</v>
      </c>
      <c r="Y9" s="494" t="s">
        <v>901</v>
      </c>
      <c r="Z9" s="494" t="s">
        <v>902</v>
      </c>
      <c r="AA9" s="494" t="s">
        <v>882</v>
      </c>
      <c r="AB9" s="494" t="s">
        <v>960</v>
      </c>
    </row>
    <row r="10" spans="1:28" ht="15" customHeight="1" x14ac:dyDescent="0.25">
      <c r="A10" s="494" t="s">
        <v>353</v>
      </c>
      <c r="B10" s="494" t="s">
        <v>354</v>
      </c>
      <c r="G10" s="494" t="s">
        <v>914</v>
      </c>
      <c r="H10" s="494" t="s">
        <v>589</v>
      </c>
      <c r="I10" s="494" t="s">
        <v>1038</v>
      </c>
      <c r="J10" s="494" t="s">
        <v>1039</v>
      </c>
      <c r="L10" s="494" t="s">
        <v>1019</v>
      </c>
      <c r="O10" s="494" t="s">
        <v>1020</v>
      </c>
      <c r="S10" s="494" t="s">
        <v>1021</v>
      </c>
      <c r="T10" s="494" t="s">
        <v>1022</v>
      </c>
      <c r="U10" s="494" t="s">
        <v>1023</v>
      </c>
      <c r="V10" s="494" t="s">
        <v>1024</v>
      </c>
      <c r="W10" s="494" t="s">
        <v>1025</v>
      </c>
      <c r="X10" s="494" t="s">
        <v>786</v>
      </c>
      <c r="Y10" s="494" t="s">
        <v>901</v>
      </c>
      <c r="Z10" s="494" t="s">
        <v>902</v>
      </c>
      <c r="AA10" s="494" t="s">
        <v>882</v>
      </c>
      <c r="AB10" s="494" t="s">
        <v>960</v>
      </c>
    </row>
    <row r="11" spans="1:28" ht="15.75" customHeight="1" x14ac:dyDescent="0.25">
      <c r="A11" s="494" t="s">
        <v>355</v>
      </c>
      <c r="G11" s="494" t="s">
        <v>915</v>
      </c>
      <c r="H11" s="494" t="s">
        <v>589</v>
      </c>
      <c r="I11" s="494" t="s">
        <v>1038</v>
      </c>
      <c r="J11" s="494" t="s">
        <v>1039</v>
      </c>
      <c r="L11" s="494" t="s">
        <v>1019</v>
      </c>
      <c r="O11" s="494" t="s">
        <v>1020</v>
      </c>
      <c r="S11" s="494" t="s">
        <v>1021</v>
      </c>
      <c r="T11" s="494" t="s">
        <v>1022</v>
      </c>
      <c r="U11" s="494" t="s">
        <v>1023</v>
      </c>
      <c r="V11" s="494" t="s">
        <v>1024</v>
      </c>
      <c r="W11" s="494" t="s">
        <v>1025</v>
      </c>
      <c r="X11" s="494" t="s">
        <v>786</v>
      </c>
      <c r="Y11" s="494" t="s">
        <v>901</v>
      </c>
      <c r="Z11" s="494" t="s">
        <v>902</v>
      </c>
      <c r="AA11" s="494" t="s">
        <v>882</v>
      </c>
      <c r="AB11" s="494" t="s">
        <v>960</v>
      </c>
    </row>
    <row r="12" spans="1:28" x14ac:dyDescent="0.25">
      <c r="A12" s="494" t="s">
        <v>318</v>
      </c>
      <c r="G12" s="494" t="s">
        <v>916</v>
      </c>
      <c r="H12" s="494" t="s">
        <v>589</v>
      </c>
      <c r="I12" s="494" t="s">
        <v>1038</v>
      </c>
      <c r="J12" s="494" t="s">
        <v>1039</v>
      </c>
      <c r="L12" s="494" t="s">
        <v>1019</v>
      </c>
      <c r="O12" s="494" t="s">
        <v>1020</v>
      </c>
      <c r="S12" s="494" t="s">
        <v>1021</v>
      </c>
      <c r="T12" s="494" t="s">
        <v>1022</v>
      </c>
      <c r="U12" s="494" t="s">
        <v>1023</v>
      </c>
      <c r="V12" s="494" t="s">
        <v>1024</v>
      </c>
      <c r="W12" s="494" t="s">
        <v>1025</v>
      </c>
      <c r="X12" s="494" t="s">
        <v>786</v>
      </c>
      <c r="Y12" s="494" t="s">
        <v>901</v>
      </c>
      <c r="Z12" s="494" t="s">
        <v>902</v>
      </c>
      <c r="AA12" s="494" t="s">
        <v>882</v>
      </c>
      <c r="AB12" s="494" t="s">
        <v>960</v>
      </c>
    </row>
    <row r="13" spans="1:28" x14ac:dyDescent="0.25">
      <c r="A13" s="494" t="s">
        <v>321</v>
      </c>
      <c r="G13" s="494" t="s">
        <v>917</v>
      </c>
      <c r="H13" s="494" t="s">
        <v>589</v>
      </c>
      <c r="I13" s="494" t="s">
        <v>1038</v>
      </c>
      <c r="J13" s="494" t="s">
        <v>1039</v>
      </c>
      <c r="L13" s="494" t="s">
        <v>1019</v>
      </c>
      <c r="O13" s="494" t="s">
        <v>1020</v>
      </c>
      <c r="S13" s="494" t="s">
        <v>1021</v>
      </c>
      <c r="T13" s="494" t="s">
        <v>1022</v>
      </c>
      <c r="U13" s="494" t="s">
        <v>1023</v>
      </c>
      <c r="V13" s="494" t="s">
        <v>1024</v>
      </c>
      <c r="W13" s="494" t="s">
        <v>1025</v>
      </c>
      <c r="X13" s="494" t="s">
        <v>786</v>
      </c>
      <c r="Y13" s="494" t="s">
        <v>901</v>
      </c>
      <c r="Z13" s="494" t="s">
        <v>902</v>
      </c>
      <c r="AA13" s="494" t="s">
        <v>882</v>
      </c>
      <c r="AB13" s="494" t="s">
        <v>960</v>
      </c>
    </row>
    <row r="14" spans="1:28" x14ac:dyDescent="0.25">
      <c r="A14" s="494" t="s">
        <v>324</v>
      </c>
      <c r="G14" s="494" t="s">
        <v>918</v>
      </c>
      <c r="H14" s="494" t="s">
        <v>589</v>
      </c>
      <c r="I14" s="494" t="s">
        <v>1038</v>
      </c>
      <c r="J14" s="494" t="s">
        <v>1039</v>
      </c>
      <c r="L14" s="494" t="s">
        <v>1019</v>
      </c>
      <c r="O14" s="494" t="s">
        <v>1020</v>
      </c>
      <c r="S14" s="494" t="s">
        <v>1021</v>
      </c>
      <c r="T14" s="494" t="s">
        <v>1022</v>
      </c>
      <c r="U14" s="494" t="s">
        <v>1023</v>
      </c>
      <c r="V14" s="494" t="s">
        <v>1024</v>
      </c>
      <c r="W14" s="494" t="s">
        <v>1025</v>
      </c>
      <c r="X14" s="494" t="s">
        <v>786</v>
      </c>
      <c r="Y14" s="494" t="s">
        <v>901</v>
      </c>
      <c r="Z14" s="494" t="s">
        <v>902</v>
      </c>
      <c r="AA14" s="494" t="s">
        <v>882</v>
      </c>
      <c r="AB14" s="494" t="s">
        <v>960</v>
      </c>
    </row>
    <row r="15" spans="1:28" x14ac:dyDescent="0.25">
      <c r="A15" s="494" t="s">
        <v>325</v>
      </c>
      <c r="G15" s="494" t="s">
        <v>919</v>
      </c>
      <c r="H15" s="494" t="s">
        <v>589</v>
      </c>
      <c r="I15" s="494" t="s">
        <v>1038</v>
      </c>
      <c r="J15" s="494" t="s">
        <v>1039</v>
      </c>
      <c r="L15" s="494" t="s">
        <v>1019</v>
      </c>
      <c r="O15" s="494" t="s">
        <v>1020</v>
      </c>
      <c r="S15" s="494" t="s">
        <v>1021</v>
      </c>
      <c r="T15" s="494" t="s">
        <v>1022</v>
      </c>
      <c r="U15" s="494" t="s">
        <v>1023</v>
      </c>
      <c r="V15" s="494" t="s">
        <v>1024</v>
      </c>
      <c r="W15" s="494" t="s">
        <v>1025</v>
      </c>
      <c r="X15" s="494" t="s">
        <v>786</v>
      </c>
      <c r="Y15" s="494" t="s">
        <v>901</v>
      </c>
      <c r="Z15" s="494" t="s">
        <v>902</v>
      </c>
      <c r="AA15" s="494" t="s">
        <v>882</v>
      </c>
      <c r="AB15" s="494" t="s">
        <v>960</v>
      </c>
    </row>
    <row r="16" spans="1:28" x14ac:dyDescent="0.25">
      <c r="A16" s="494" t="s">
        <v>357</v>
      </c>
      <c r="G16" s="494" t="s">
        <v>920</v>
      </c>
      <c r="H16" s="494" t="s">
        <v>589</v>
      </c>
      <c r="I16" s="494" t="s">
        <v>1038</v>
      </c>
      <c r="J16" s="494" t="s">
        <v>1039</v>
      </c>
      <c r="L16" s="494" t="s">
        <v>1019</v>
      </c>
      <c r="O16" s="494" t="s">
        <v>1020</v>
      </c>
      <c r="S16" s="494" t="s">
        <v>1021</v>
      </c>
      <c r="T16" s="494" t="s">
        <v>1022</v>
      </c>
      <c r="U16" s="494" t="s">
        <v>1023</v>
      </c>
      <c r="V16" s="494" t="s">
        <v>1024</v>
      </c>
      <c r="W16" s="494" t="s">
        <v>1025</v>
      </c>
      <c r="X16" s="494" t="s">
        <v>786</v>
      </c>
      <c r="Y16" s="494" t="s">
        <v>901</v>
      </c>
      <c r="Z16" s="494" t="s">
        <v>902</v>
      </c>
      <c r="AA16" s="494" t="s">
        <v>882</v>
      </c>
      <c r="AB16" s="494" t="s">
        <v>960</v>
      </c>
    </row>
    <row r="17" spans="1:28" x14ac:dyDescent="0.25">
      <c r="A17" s="494" t="s">
        <v>358</v>
      </c>
      <c r="G17" s="494" t="s">
        <v>921</v>
      </c>
      <c r="H17" s="494" t="s">
        <v>589</v>
      </c>
      <c r="I17" s="494" t="s">
        <v>1038</v>
      </c>
      <c r="J17" s="494" t="s">
        <v>1039</v>
      </c>
      <c r="L17" s="494" t="s">
        <v>1019</v>
      </c>
      <c r="O17" s="494" t="s">
        <v>1020</v>
      </c>
      <c r="S17" s="494" t="s">
        <v>1021</v>
      </c>
      <c r="T17" s="494" t="s">
        <v>1022</v>
      </c>
      <c r="U17" s="494" t="s">
        <v>1023</v>
      </c>
      <c r="V17" s="494" t="s">
        <v>1024</v>
      </c>
      <c r="W17" s="494" t="s">
        <v>1025</v>
      </c>
      <c r="X17" s="494" t="s">
        <v>786</v>
      </c>
      <c r="Y17" s="494" t="s">
        <v>901</v>
      </c>
      <c r="Z17" s="494" t="s">
        <v>902</v>
      </c>
      <c r="AA17" s="494" t="s">
        <v>882</v>
      </c>
      <c r="AB17" s="494" t="s">
        <v>960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F4C5-3BB5-49EE-9512-DBEE6A732018}">
  <dimension ref="A1:AB17"/>
  <sheetViews>
    <sheetView workbookViewId="0">
      <selection activeCell="A2" sqref="A2:XFD17"/>
    </sheetView>
  </sheetViews>
  <sheetFormatPr defaultRowHeight="15" x14ac:dyDescent="0.25"/>
  <cols>
    <col min="1" max="1" width="15.5703125" style="494" customWidth="1"/>
    <col min="2" max="2" width="25.85546875" style="494" bestFit="1" customWidth="1"/>
    <col min="3" max="3" width="19.28515625" style="494" customWidth="1"/>
    <col min="4" max="4" width="22.5703125" style="494" customWidth="1"/>
    <col min="5" max="5" width="20" style="494" customWidth="1"/>
    <col min="6" max="7" width="17.42578125" style="494" customWidth="1"/>
    <col min="8" max="8" width="18.85546875" style="494" customWidth="1"/>
    <col min="9" max="10" width="19.42578125" style="494" customWidth="1"/>
    <col min="11" max="11" width="18.140625" style="494" customWidth="1"/>
    <col min="12" max="12" width="22.5703125" style="494" customWidth="1"/>
    <col min="13" max="13" width="22.42578125" style="494" customWidth="1"/>
    <col min="14" max="14" width="17.140625" style="494" customWidth="1"/>
    <col min="15" max="15" width="22.7109375" style="494" bestFit="1" customWidth="1"/>
    <col min="16" max="16" width="17.5703125" style="494" customWidth="1"/>
    <col min="17" max="18" width="15.28515625" style="494" customWidth="1"/>
    <col min="19" max="19" width="18.42578125" style="494" customWidth="1"/>
    <col min="20" max="20" width="22.85546875" style="494" bestFit="1" customWidth="1"/>
    <col min="21" max="21" width="18.85546875" style="494" customWidth="1"/>
    <col min="22" max="23" width="16.5703125" style="494" customWidth="1"/>
    <col min="24" max="24" width="17.140625" style="494" customWidth="1"/>
    <col min="25" max="25" width="21.7109375" style="494" bestFit="1" customWidth="1"/>
    <col min="26" max="27" width="15.42578125" style="494" customWidth="1"/>
    <col min="28" max="28" width="13.7109375" style="494" bestFit="1" customWidth="1"/>
    <col min="29" max="16384" width="9.140625" style="494"/>
  </cols>
  <sheetData>
    <row r="1" spans="1:28" x14ac:dyDescent="0.25">
      <c r="A1" s="494" t="s">
        <v>873</v>
      </c>
      <c r="B1" s="494" t="s">
        <v>874</v>
      </c>
      <c r="C1" s="494" t="s">
        <v>875</v>
      </c>
      <c r="D1" s="494" t="s">
        <v>876</v>
      </c>
      <c r="E1" s="494" t="s">
        <v>877</v>
      </c>
      <c r="F1" s="494" t="s">
        <v>878</v>
      </c>
      <c r="G1" s="494" t="s">
        <v>905</v>
      </c>
      <c r="H1" s="494" t="s">
        <v>872</v>
      </c>
      <c r="I1" s="494" t="s">
        <v>978</v>
      </c>
      <c r="J1" s="494" t="s">
        <v>971</v>
      </c>
      <c r="K1" s="494" t="s">
        <v>885</v>
      </c>
      <c r="L1" s="494" t="s">
        <v>884</v>
      </c>
      <c r="M1" s="494" t="s">
        <v>886</v>
      </c>
      <c r="N1" s="494" t="s">
        <v>888</v>
      </c>
      <c r="O1" s="494" t="s">
        <v>889</v>
      </c>
      <c r="P1" s="494" t="s">
        <v>890</v>
      </c>
      <c r="Q1" s="494" t="s">
        <v>891</v>
      </c>
      <c r="R1" s="494" t="s">
        <v>959</v>
      </c>
      <c r="S1" s="494" t="s">
        <v>892</v>
      </c>
      <c r="T1" s="494" t="s">
        <v>893</v>
      </c>
      <c r="U1" s="494" t="s">
        <v>896</v>
      </c>
      <c r="V1" s="494" t="s">
        <v>897</v>
      </c>
      <c r="W1" s="494" t="s">
        <v>958</v>
      </c>
      <c r="X1" s="494" t="s">
        <v>898</v>
      </c>
      <c r="Y1" s="494" t="s">
        <v>900</v>
      </c>
      <c r="Z1" s="494" t="s">
        <v>939</v>
      </c>
      <c r="AA1" s="494" t="s">
        <v>899</v>
      </c>
      <c r="AB1" s="494" t="s">
        <v>957</v>
      </c>
    </row>
    <row r="2" spans="1:28" ht="15" customHeight="1" x14ac:dyDescent="0.25">
      <c r="A2" s="494" t="s">
        <v>343</v>
      </c>
      <c r="E2" s="494" t="s">
        <v>380</v>
      </c>
      <c r="G2" s="494" t="s">
        <v>906</v>
      </c>
      <c r="H2" s="494" t="s">
        <v>686</v>
      </c>
      <c r="I2" s="494" t="s">
        <v>1040</v>
      </c>
      <c r="J2" s="494" t="s">
        <v>1041</v>
      </c>
      <c r="K2" s="494" t="s">
        <v>1042</v>
      </c>
      <c r="L2" s="494" t="s">
        <v>1043</v>
      </c>
      <c r="M2" s="494" t="s">
        <v>1044</v>
      </c>
      <c r="N2" s="494" t="s">
        <v>1045</v>
      </c>
      <c r="O2" s="494" t="s">
        <v>1046</v>
      </c>
      <c r="P2" s="494" t="s">
        <v>1047</v>
      </c>
      <c r="Q2" s="494" t="s">
        <v>1048</v>
      </c>
      <c r="R2" s="494" t="s">
        <v>1049</v>
      </c>
      <c r="S2" s="494" t="s">
        <v>1050</v>
      </c>
      <c r="T2" s="494" t="s">
        <v>1051</v>
      </c>
      <c r="V2" s="494" t="s">
        <v>1052</v>
      </c>
      <c r="W2" s="494" t="s">
        <v>1053</v>
      </c>
      <c r="X2" s="494" t="s">
        <v>786</v>
      </c>
      <c r="Y2" s="494" t="s">
        <v>901</v>
      </c>
      <c r="Z2" s="494" t="s">
        <v>902</v>
      </c>
      <c r="AA2" s="494" t="s">
        <v>882</v>
      </c>
      <c r="AB2" s="494" t="s">
        <v>960</v>
      </c>
    </row>
    <row r="3" spans="1:28" ht="15" customHeight="1" x14ac:dyDescent="0.25">
      <c r="A3" s="494" t="s">
        <v>349</v>
      </c>
      <c r="G3" s="494" t="s">
        <v>907</v>
      </c>
      <c r="H3" s="494" t="s">
        <v>686</v>
      </c>
      <c r="I3" s="494" t="s">
        <v>1040</v>
      </c>
      <c r="J3" s="494" t="s">
        <v>1041</v>
      </c>
      <c r="K3" s="494" t="s">
        <v>1042</v>
      </c>
      <c r="L3" s="494" t="s">
        <v>1043</v>
      </c>
      <c r="M3" s="494" t="s">
        <v>1044</v>
      </c>
      <c r="N3" s="494" t="s">
        <v>1045</v>
      </c>
      <c r="O3" s="494" t="s">
        <v>1046</v>
      </c>
      <c r="P3" s="494" t="s">
        <v>1047</v>
      </c>
      <c r="Q3" s="494" t="s">
        <v>1048</v>
      </c>
      <c r="R3" s="494" t="s">
        <v>1049</v>
      </c>
      <c r="S3" s="494" t="s">
        <v>1050</v>
      </c>
      <c r="T3" s="494" t="s">
        <v>1051</v>
      </c>
      <c r="V3" s="494" t="s">
        <v>1052</v>
      </c>
      <c r="W3" s="494" t="s">
        <v>1053</v>
      </c>
      <c r="X3" s="494" t="s">
        <v>786</v>
      </c>
      <c r="Y3" s="494" t="s">
        <v>901</v>
      </c>
      <c r="Z3" s="494" t="s">
        <v>902</v>
      </c>
      <c r="AA3" s="494" t="s">
        <v>882</v>
      </c>
      <c r="AB3" s="494" t="s">
        <v>960</v>
      </c>
    </row>
    <row r="4" spans="1:28" ht="15" customHeight="1" x14ac:dyDescent="0.25">
      <c r="A4" s="494" t="s">
        <v>305</v>
      </c>
      <c r="D4" s="494" t="s">
        <v>707</v>
      </c>
      <c r="G4" s="494" t="s">
        <v>908</v>
      </c>
      <c r="H4" s="494" t="s">
        <v>686</v>
      </c>
      <c r="I4" s="494" t="s">
        <v>1040</v>
      </c>
      <c r="J4" s="494" t="s">
        <v>1041</v>
      </c>
      <c r="K4" s="494" t="s">
        <v>1042</v>
      </c>
      <c r="L4" s="494" t="s">
        <v>1043</v>
      </c>
      <c r="M4" s="494" t="s">
        <v>1044</v>
      </c>
      <c r="N4" s="494" t="s">
        <v>1045</v>
      </c>
      <c r="O4" s="494" t="s">
        <v>1046</v>
      </c>
      <c r="P4" s="494" t="s">
        <v>1047</v>
      </c>
      <c r="Q4" s="494" t="s">
        <v>1048</v>
      </c>
      <c r="R4" s="494" t="s">
        <v>1049</v>
      </c>
      <c r="S4" s="494" t="s">
        <v>1050</v>
      </c>
      <c r="T4" s="494" t="s">
        <v>1051</v>
      </c>
      <c r="V4" s="494" t="s">
        <v>1052</v>
      </c>
      <c r="W4" s="494" t="s">
        <v>1053</v>
      </c>
      <c r="X4" s="494" t="s">
        <v>786</v>
      </c>
      <c r="Y4" s="494" t="s">
        <v>901</v>
      </c>
      <c r="Z4" s="494" t="s">
        <v>902</v>
      </c>
      <c r="AA4" s="494" t="s">
        <v>882</v>
      </c>
      <c r="AB4" s="494" t="s">
        <v>960</v>
      </c>
    </row>
    <row r="5" spans="1:28" ht="15" customHeight="1" x14ac:dyDescent="0.25">
      <c r="A5" s="494" t="s">
        <v>308</v>
      </c>
      <c r="D5" s="494" t="s">
        <v>707</v>
      </c>
      <c r="G5" s="494" t="s">
        <v>909</v>
      </c>
      <c r="H5" s="494" t="s">
        <v>686</v>
      </c>
      <c r="I5" s="494" t="s">
        <v>1040</v>
      </c>
      <c r="J5" s="494" t="s">
        <v>1041</v>
      </c>
      <c r="K5" s="494" t="s">
        <v>1042</v>
      </c>
      <c r="L5" s="494" t="s">
        <v>1043</v>
      </c>
      <c r="M5" s="494" t="s">
        <v>1044</v>
      </c>
      <c r="N5" s="494" t="s">
        <v>1045</v>
      </c>
      <c r="O5" s="494" t="s">
        <v>1046</v>
      </c>
      <c r="P5" s="494" t="s">
        <v>1047</v>
      </c>
      <c r="Q5" s="494" t="s">
        <v>1048</v>
      </c>
      <c r="R5" s="494" t="s">
        <v>1049</v>
      </c>
      <c r="S5" s="494" t="s">
        <v>1050</v>
      </c>
      <c r="T5" s="494" t="s">
        <v>1051</v>
      </c>
      <c r="V5" s="494" t="s">
        <v>1052</v>
      </c>
      <c r="W5" s="494" t="s">
        <v>1053</v>
      </c>
      <c r="X5" s="494" t="s">
        <v>786</v>
      </c>
      <c r="Y5" s="494" t="s">
        <v>901</v>
      </c>
      <c r="Z5" s="494" t="s">
        <v>902</v>
      </c>
      <c r="AA5" s="494" t="s">
        <v>882</v>
      </c>
      <c r="AB5" s="494" t="s">
        <v>960</v>
      </c>
    </row>
    <row r="6" spans="1:28" x14ac:dyDescent="0.25">
      <c r="A6" s="494" t="s">
        <v>310</v>
      </c>
      <c r="D6" s="494" t="s">
        <v>707</v>
      </c>
      <c r="G6" s="494" t="s">
        <v>910</v>
      </c>
      <c r="H6" s="494" t="s">
        <v>686</v>
      </c>
      <c r="I6" s="494" t="s">
        <v>1040</v>
      </c>
      <c r="J6" s="494" t="s">
        <v>1041</v>
      </c>
      <c r="K6" s="494" t="s">
        <v>1042</v>
      </c>
      <c r="L6" s="494" t="s">
        <v>1043</v>
      </c>
      <c r="M6" s="494" t="s">
        <v>1044</v>
      </c>
      <c r="N6" s="494" t="s">
        <v>1045</v>
      </c>
      <c r="O6" s="494" t="s">
        <v>1046</v>
      </c>
      <c r="P6" s="494" t="s">
        <v>1047</v>
      </c>
      <c r="Q6" s="494" t="s">
        <v>1048</v>
      </c>
      <c r="R6" s="494" t="s">
        <v>1049</v>
      </c>
      <c r="S6" s="494" t="s">
        <v>1050</v>
      </c>
      <c r="T6" s="494" t="s">
        <v>1051</v>
      </c>
      <c r="V6" s="494" t="s">
        <v>1052</v>
      </c>
      <c r="W6" s="494" t="s">
        <v>1053</v>
      </c>
      <c r="X6" s="494" t="s">
        <v>786</v>
      </c>
      <c r="Y6" s="494" t="s">
        <v>901</v>
      </c>
      <c r="Z6" s="494" t="s">
        <v>902</v>
      </c>
      <c r="AA6" s="494" t="s">
        <v>882</v>
      </c>
      <c r="AB6" s="494" t="s">
        <v>960</v>
      </c>
    </row>
    <row r="7" spans="1:28" x14ac:dyDescent="0.25">
      <c r="A7" s="494" t="s">
        <v>312</v>
      </c>
      <c r="D7" s="494" t="s">
        <v>707</v>
      </c>
      <c r="G7" s="494" t="s">
        <v>911</v>
      </c>
      <c r="H7" s="494" t="s">
        <v>686</v>
      </c>
      <c r="I7" s="494" t="s">
        <v>1040</v>
      </c>
      <c r="J7" s="494" t="s">
        <v>1041</v>
      </c>
      <c r="K7" s="494" t="s">
        <v>1042</v>
      </c>
      <c r="L7" s="494" t="s">
        <v>1043</v>
      </c>
      <c r="M7" s="494" t="s">
        <v>1044</v>
      </c>
      <c r="N7" s="494" t="s">
        <v>1045</v>
      </c>
      <c r="O7" s="494" t="s">
        <v>1046</v>
      </c>
      <c r="P7" s="494" t="s">
        <v>1047</v>
      </c>
      <c r="Q7" s="494" t="s">
        <v>1048</v>
      </c>
      <c r="R7" s="494" t="s">
        <v>1049</v>
      </c>
      <c r="S7" s="494" t="s">
        <v>1050</v>
      </c>
      <c r="T7" s="494" t="s">
        <v>1051</v>
      </c>
      <c r="V7" s="494" t="s">
        <v>1052</v>
      </c>
      <c r="W7" s="494" t="s">
        <v>1053</v>
      </c>
      <c r="X7" s="494" t="s">
        <v>786</v>
      </c>
      <c r="Y7" s="494" t="s">
        <v>901</v>
      </c>
      <c r="Z7" s="494" t="s">
        <v>902</v>
      </c>
      <c r="AA7" s="494" t="s">
        <v>882</v>
      </c>
      <c r="AB7" s="494" t="s">
        <v>960</v>
      </c>
    </row>
    <row r="8" spans="1:28" x14ac:dyDescent="0.25">
      <c r="A8" s="494" t="s">
        <v>315</v>
      </c>
      <c r="C8" s="494" t="s">
        <v>380</v>
      </c>
      <c r="G8" s="494" t="s">
        <v>912</v>
      </c>
      <c r="H8" s="494" t="s">
        <v>686</v>
      </c>
      <c r="I8" s="494" t="s">
        <v>1040</v>
      </c>
      <c r="J8" s="494" t="s">
        <v>1041</v>
      </c>
      <c r="K8" s="494" t="s">
        <v>1042</v>
      </c>
      <c r="L8" s="494" t="s">
        <v>1043</v>
      </c>
      <c r="M8" s="494" t="s">
        <v>1044</v>
      </c>
      <c r="N8" s="494" t="s">
        <v>1045</v>
      </c>
      <c r="O8" s="494" t="s">
        <v>1046</v>
      </c>
      <c r="P8" s="494" t="s">
        <v>1047</v>
      </c>
      <c r="Q8" s="494" t="s">
        <v>1048</v>
      </c>
      <c r="R8" s="494" t="s">
        <v>1049</v>
      </c>
      <c r="S8" s="494" t="s">
        <v>1050</v>
      </c>
      <c r="T8" s="494" t="s">
        <v>1051</v>
      </c>
      <c r="V8" s="494" t="s">
        <v>1052</v>
      </c>
      <c r="W8" s="494" t="s">
        <v>1053</v>
      </c>
      <c r="X8" s="494" t="s">
        <v>786</v>
      </c>
      <c r="Y8" s="494" t="s">
        <v>901</v>
      </c>
      <c r="Z8" s="494" t="s">
        <v>902</v>
      </c>
      <c r="AA8" s="494" t="s">
        <v>882</v>
      </c>
      <c r="AB8" s="494" t="s">
        <v>960</v>
      </c>
    </row>
    <row r="9" spans="1:28" x14ac:dyDescent="0.25">
      <c r="A9" s="494" t="s">
        <v>352</v>
      </c>
      <c r="C9" s="494" t="s">
        <v>707</v>
      </c>
      <c r="G9" s="494" t="s">
        <v>913</v>
      </c>
      <c r="H9" s="494" t="s">
        <v>686</v>
      </c>
      <c r="I9" s="494" t="s">
        <v>1040</v>
      </c>
      <c r="J9" s="494" t="s">
        <v>1041</v>
      </c>
      <c r="K9" s="494" t="s">
        <v>1042</v>
      </c>
      <c r="L9" s="494" t="s">
        <v>1043</v>
      </c>
      <c r="M9" s="494" t="s">
        <v>1044</v>
      </c>
      <c r="N9" s="494" t="s">
        <v>1045</v>
      </c>
      <c r="O9" s="494" t="s">
        <v>1046</v>
      </c>
      <c r="P9" s="494" t="s">
        <v>1047</v>
      </c>
      <c r="Q9" s="494" t="s">
        <v>1048</v>
      </c>
      <c r="R9" s="494" t="s">
        <v>1049</v>
      </c>
      <c r="S9" s="494" t="s">
        <v>1050</v>
      </c>
      <c r="T9" s="494" t="s">
        <v>1051</v>
      </c>
      <c r="V9" s="494" t="s">
        <v>1052</v>
      </c>
      <c r="W9" s="494" t="s">
        <v>1053</v>
      </c>
      <c r="X9" s="494" t="s">
        <v>786</v>
      </c>
      <c r="Y9" s="494" t="s">
        <v>901</v>
      </c>
      <c r="Z9" s="494" t="s">
        <v>902</v>
      </c>
      <c r="AA9" s="494" t="s">
        <v>882</v>
      </c>
      <c r="AB9" s="494" t="s">
        <v>960</v>
      </c>
    </row>
    <row r="10" spans="1:28" ht="15" customHeight="1" x14ac:dyDescent="0.25">
      <c r="A10" s="494" t="s">
        <v>353</v>
      </c>
      <c r="B10" s="494" t="s">
        <v>354</v>
      </c>
      <c r="G10" s="494" t="s">
        <v>914</v>
      </c>
      <c r="H10" s="494" t="s">
        <v>686</v>
      </c>
      <c r="I10" s="494" t="s">
        <v>1040</v>
      </c>
      <c r="J10" s="494" t="s">
        <v>1041</v>
      </c>
      <c r="K10" s="494" t="s">
        <v>1042</v>
      </c>
      <c r="L10" s="494" t="s">
        <v>1043</v>
      </c>
      <c r="M10" s="494" t="s">
        <v>1044</v>
      </c>
      <c r="N10" s="494" t="s">
        <v>1045</v>
      </c>
      <c r="O10" s="494" t="s">
        <v>1046</v>
      </c>
      <c r="P10" s="494" t="s">
        <v>1047</v>
      </c>
      <c r="Q10" s="494" t="s">
        <v>1048</v>
      </c>
      <c r="R10" s="494" t="s">
        <v>1049</v>
      </c>
      <c r="S10" s="494" t="s">
        <v>1050</v>
      </c>
      <c r="T10" s="494" t="s">
        <v>1051</v>
      </c>
      <c r="V10" s="494" t="s">
        <v>1052</v>
      </c>
      <c r="W10" s="494" t="s">
        <v>1053</v>
      </c>
      <c r="X10" s="494" t="s">
        <v>786</v>
      </c>
      <c r="Y10" s="494" t="s">
        <v>901</v>
      </c>
      <c r="Z10" s="494" t="s">
        <v>902</v>
      </c>
      <c r="AA10" s="494" t="s">
        <v>882</v>
      </c>
      <c r="AB10" s="494" t="s">
        <v>960</v>
      </c>
    </row>
    <row r="11" spans="1:28" ht="15.75" customHeight="1" x14ac:dyDescent="0.25">
      <c r="A11" s="494" t="s">
        <v>355</v>
      </c>
      <c r="G11" s="494" t="s">
        <v>915</v>
      </c>
      <c r="H11" s="494" t="s">
        <v>686</v>
      </c>
      <c r="I11" s="494" t="s">
        <v>1040</v>
      </c>
      <c r="J11" s="494" t="s">
        <v>1041</v>
      </c>
      <c r="K11" s="494" t="s">
        <v>1042</v>
      </c>
      <c r="L11" s="494" t="s">
        <v>1043</v>
      </c>
      <c r="M11" s="494" t="s">
        <v>1044</v>
      </c>
      <c r="N11" s="494" t="s">
        <v>1045</v>
      </c>
      <c r="O11" s="494" t="s">
        <v>1046</v>
      </c>
      <c r="P11" s="494" t="s">
        <v>1047</v>
      </c>
      <c r="Q11" s="494" t="s">
        <v>1048</v>
      </c>
      <c r="R11" s="494" t="s">
        <v>1049</v>
      </c>
      <c r="S11" s="494" t="s">
        <v>1050</v>
      </c>
      <c r="T11" s="494" t="s">
        <v>1051</v>
      </c>
      <c r="V11" s="494" t="s">
        <v>1052</v>
      </c>
      <c r="W11" s="494" t="s">
        <v>1053</v>
      </c>
      <c r="X11" s="494" t="s">
        <v>786</v>
      </c>
      <c r="Y11" s="494" t="s">
        <v>901</v>
      </c>
      <c r="Z11" s="494" t="s">
        <v>902</v>
      </c>
      <c r="AA11" s="494" t="s">
        <v>882</v>
      </c>
      <c r="AB11" s="494" t="s">
        <v>960</v>
      </c>
    </row>
    <row r="12" spans="1:28" x14ac:dyDescent="0.25">
      <c r="A12" s="494" t="s">
        <v>318</v>
      </c>
      <c r="B12" s="494" t="s">
        <v>380</v>
      </c>
      <c r="C12" s="494" t="s">
        <v>707</v>
      </c>
      <c r="D12" s="494" t="s">
        <v>707</v>
      </c>
      <c r="G12" s="494" t="s">
        <v>916</v>
      </c>
      <c r="H12" s="494" t="s">
        <v>686</v>
      </c>
      <c r="I12" s="494" t="s">
        <v>1040</v>
      </c>
      <c r="J12" s="494" t="s">
        <v>1041</v>
      </c>
      <c r="K12" s="494" t="s">
        <v>1042</v>
      </c>
      <c r="L12" s="494" t="s">
        <v>1043</v>
      </c>
      <c r="M12" s="494" t="s">
        <v>1044</v>
      </c>
      <c r="N12" s="494" t="s">
        <v>1045</v>
      </c>
      <c r="O12" s="494" t="s">
        <v>1046</v>
      </c>
      <c r="P12" s="494" t="s">
        <v>1047</v>
      </c>
      <c r="Q12" s="494" t="s">
        <v>1048</v>
      </c>
      <c r="R12" s="494" t="s">
        <v>1049</v>
      </c>
      <c r="S12" s="494" t="s">
        <v>1050</v>
      </c>
      <c r="T12" s="494" t="s">
        <v>1051</v>
      </c>
      <c r="V12" s="494" t="s">
        <v>1052</v>
      </c>
      <c r="W12" s="494" t="s">
        <v>1053</v>
      </c>
      <c r="X12" s="494" t="s">
        <v>786</v>
      </c>
      <c r="Y12" s="494" t="s">
        <v>901</v>
      </c>
      <c r="Z12" s="494" t="s">
        <v>902</v>
      </c>
      <c r="AA12" s="494" t="s">
        <v>882</v>
      </c>
      <c r="AB12" s="494" t="s">
        <v>960</v>
      </c>
    </row>
    <row r="13" spans="1:28" x14ac:dyDescent="0.25">
      <c r="A13" s="494" t="s">
        <v>321</v>
      </c>
      <c r="B13" s="494" t="s">
        <v>380</v>
      </c>
      <c r="C13" s="494" t="s">
        <v>707</v>
      </c>
      <c r="D13" s="494" t="s">
        <v>707</v>
      </c>
      <c r="F13" s="494" t="s">
        <v>707</v>
      </c>
      <c r="G13" s="494" t="s">
        <v>917</v>
      </c>
      <c r="H13" s="494" t="s">
        <v>686</v>
      </c>
      <c r="I13" s="494" t="s">
        <v>1040</v>
      </c>
      <c r="J13" s="494" t="s">
        <v>1041</v>
      </c>
      <c r="K13" s="494" t="s">
        <v>1042</v>
      </c>
      <c r="L13" s="494" t="s">
        <v>1043</v>
      </c>
      <c r="M13" s="494" t="s">
        <v>1044</v>
      </c>
      <c r="N13" s="494" t="s">
        <v>1045</v>
      </c>
      <c r="O13" s="494" t="s">
        <v>1046</v>
      </c>
      <c r="P13" s="494" t="s">
        <v>1047</v>
      </c>
      <c r="Q13" s="494" t="s">
        <v>1048</v>
      </c>
      <c r="R13" s="494" t="s">
        <v>1049</v>
      </c>
      <c r="S13" s="494" t="s">
        <v>1050</v>
      </c>
      <c r="T13" s="494" t="s">
        <v>1051</v>
      </c>
      <c r="V13" s="494" t="s">
        <v>1052</v>
      </c>
      <c r="W13" s="494" t="s">
        <v>1053</v>
      </c>
      <c r="X13" s="494" t="s">
        <v>786</v>
      </c>
      <c r="Y13" s="494" t="s">
        <v>901</v>
      </c>
      <c r="Z13" s="494" t="s">
        <v>902</v>
      </c>
      <c r="AA13" s="494" t="s">
        <v>882</v>
      </c>
      <c r="AB13" s="494" t="s">
        <v>960</v>
      </c>
    </row>
    <row r="14" spans="1:28" x14ac:dyDescent="0.25">
      <c r="A14" s="494" t="s">
        <v>324</v>
      </c>
      <c r="B14" s="494" t="s">
        <v>380</v>
      </c>
      <c r="C14" s="494" t="s">
        <v>707</v>
      </c>
      <c r="D14" s="494" t="s">
        <v>707</v>
      </c>
      <c r="F14" s="494" t="s">
        <v>707</v>
      </c>
      <c r="G14" s="494" t="s">
        <v>918</v>
      </c>
      <c r="H14" s="494" t="s">
        <v>686</v>
      </c>
      <c r="I14" s="494" t="s">
        <v>1040</v>
      </c>
      <c r="J14" s="494" t="s">
        <v>1041</v>
      </c>
      <c r="K14" s="494" t="s">
        <v>1042</v>
      </c>
      <c r="L14" s="494" t="s">
        <v>1043</v>
      </c>
      <c r="M14" s="494" t="s">
        <v>1044</v>
      </c>
      <c r="N14" s="494" t="s">
        <v>1045</v>
      </c>
      <c r="O14" s="494" t="s">
        <v>1046</v>
      </c>
      <c r="P14" s="494" t="s">
        <v>1047</v>
      </c>
      <c r="Q14" s="494" t="s">
        <v>1048</v>
      </c>
      <c r="R14" s="494" t="s">
        <v>1049</v>
      </c>
      <c r="S14" s="494" t="s">
        <v>1050</v>
      </c>
      <c r="T14" s="494" t="s">
        <v>1051</v>
      </c>
      <c r="V14" s="494" t="s">
        <v>1052</v>
      </c>
      <c r="W14" s="494" t="s">
        <v>1053</v>
      </c>
      <c r="X14" s="494" t="s">
        <v>786</v>
      </c>
      <c r="Y14" s="494" t="s">
        <v>901</v>
      </c>
      <c r="Z14" s="494" t="s">
        <v>902</v>
      </c>
      <c r="AA14" s="494" t="s">
        <v>882</v>
      </c>
      <c r="AB14" s="494" t="s">
        <v>960</v>
      </c>
    </row>
    <row r="15" spans="1:28" x14ac:dyDescent="0.25">
      <c r="A15" s="494" t="s">
        <v>325</v>
      </c>
      <c r="B15" s="494" t="s">
        <v>380</v>
      </c>
      <c r="C15" s="494" t="s">
        <v>707</v>
      </c>
      <c r="D15" s="494" t="s">
        <v>707</v>
      </c>
      <c r="F15" s="494" t="s">
        <v>707</v>
      </c>
      <c r="G15" s="494" t="s">
        <v>919</v>
      </c>
      <c r="H15" s="494" t="s">
        <v>686</v>
      </c>
      <c r="I15" s="494" t="s">
        <v>1040</v>
      </c>
      <c r="J15" s="494" t="s">
        <v>1041</v>
      </c>
      <c r="K15" s="494" t="s">
        <v>1042</v>
      </c>
      <c r="L15" s="494" t="s">
        <v>1043</v>
      </c>
      <c r="M15" s="494" t="s">
        <v>1044</v>
      </c>
      <c r="N15" s="494" t="s">
        <v>1045</v>
      </c>
      <c r="O15" s="494" t="s">
        <v>1046</v>
      </c>
      <c r="P15" s="494" t="s">
        <v>1047</v>
      </c>
      <c r="Q15" s="494" t="s">
        <v>1048</v>
      </c>
      <c r="R15" s="494" t="s">
        <v>1049</v>
      </c>
      <c r="S15" s="494" t="s">
        <v>1050</v>
      </c>
      <c r="T15" s="494" t="s">
        <v>1051</v>
      </c>
      <c r="V15" s="494" t="s">
        <v>1052</v>
      </c>
      <c r="W15" s="494" t="s">
        <v>1053</v>
      </c>
      <c r="X15" s="494" t="s">
        <v>786</v>
      </c>
      <c r="Y15" s="494" t="s">
        <v>901</v>
      </c>
      <c r="Z15" s="494" t="s">
        <v>902</v>
      </c>
      <c r="AA15" s="494" t="s">
        <v>882</v>
      </c>
      <c r="AB15" s="494" t="s">
        <v>960</v>
      </c>
    </row>
    <row r="16" spans="1:28" x14ac:dyDescent="0.25">
      <c r="A16" s="494" t="s">
        <v>357</v>
      </c>
      <c r="C16" s="494" t="s">
        <v>707</v>
      </c>
      <c r="D16" s="494" t="s">
        <v>707</v>
      </c>
      <c r="F16" s="494" t="s">
        <v>707</v>
      </c>
      <c r="G16" s="494" t="s">
        <v>920</v>
      </c>
      <c r="H16" s="494" t="s">
        <v>686</v>
      </c>
      <c r="I16" s="494" t="s">
        <v>1040</v>
      </c>
      <c r="J16" s="494" t="s">
        <v>1041</v>
      </c>
      <c r="K16" s="494" t="s">
        <v>1042</v>
      </c>
      <c r="L16" s="494" t="s">
        <v>1043</v>
      </c>
      <c r="M16" s="494" t="s">
        <v>1044</v>
      </c>
      <c r="N16" s="494" t="s">
        <v>1045</v>
      </c>
      <c r="O16" s="494" t="s">
        <v>1046</v>
      </c>
      <c r="P16" s="494" t="s">
        <v>1047</v>
      </c>
      <c r="Q16" s="494" t="s">
        <v>1048</v>
      </c>
      <c r="R16" s="494" t="s">
        <v>1049</v>
      </c>
      <c r="S16" s="494" t="s">
        <v>1050</v>
      </c>
      <c r="T16" s="494" t="s">
        <v>1051</v>
      </c>
      <c r="V16" s="494" t="s">
        <v>1052</v>
      </c>
      <c r="W16" s="494" t="s">
        <v>1053</v>
      </c>
      <c r="X16" s="494" t="s">
        <v>786</v>
      </c>
      <c r="Y16" s="494" t="s">
        <v>901</v>
      </c>
      <c r="Z16" s="494" t="s">
        <v>902</v>
      </c>
      <c r="AA16" s="494" t="s">
        <v>882</v>
      </c>
      <c r="AB16" s="494" t="s">
        <v>960</v>
      </c>
    </row>
    <row r="17" spans="1:28" x14ac:dyDescent="0.25">
      <c r="A17" s="494" t="s">
        <v>358</v>
      </c>
      <c r="C17" s="494" t="s">
        <v>707</v>
      </c>
      <c r="D17" s="494" t="s">
        <v>707</v>
      </c>
      <c r="F17" s="494" t="s">
        <v>707</v>
      </c>
      <c r="G17" s="494" t="s">
        <v>921</v>
      </c>
      <c r="H17" s="494" t="s">
        <v>686</v>
      </c>
      <c r="I17" s="494" t="s">
        <v>1040</v>
      </c>
      <c r="J17" s="494" t="s">
        <v>1041</v>
      </c>
      <c r="K17" s="494" t="s">
        <v>1042</v>
      </c>
      <c r="L17" s="494" t="s">
        <v>1043</v>
      </c>
      <c r="M17" s="494" t="s">
        <v>1044</v>
      </c>
      <c r="N17" s="494" t="s">
        <v>1045</v>
      </c>
      <c r="O17" s="494" t="s">
        <v>1046</v>
      </c>
      <c r="P17" s="494" t="s">
        <v>1047</v>
      </c>
      <c r="Q17" s="494" t="s">
        <v>1048</v>
      </c>
      <c r="R17" s="494" t="s">
        <v>1049</v>
      </c>
      <c r="S17" s="494" t="s">
        <v>1050</v>
      </c>
      <c r="T17" s="494" t="s">
        <v>1051</v>
      </c>
      <c r="V17" s="494" t="s">
        <v>1052</v>
      </c>
      <c r="W17" s="494" t="s">
        <v>1053</v>
      </c>
      <c r="X17" s="494" t="s">
        <v>786</v>
      </c>
      <c r="Y17" s="494" t="s">
        <v>901</v>
      </c>
      <c r="Z17" s="494" t="s">
        <v>902</v>
      </c>
      <c r="AA17" s="494" t="s">
        <v>882</v>
      </c>
      <c r="AB17" s="494" t="s">
        <v>960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277A7-0080-4866-A1A2-659E440D271B}">
  <dimension ref="A1:AB17"/>
  <sheetViews>
    <sheetView workbookViewId="0">
      <selection activeCell="A2" sqref="A2:XFD17"/>
    </sheetView>
  </sheetViews>
  <sheetFormatPr defaultRowHeight="15" x14ac:dyDescent="0.25"/>
  <cols>
    <col min="1" max="1" width="15.5703125" style="494" customWidth="1"/>
    <col min="2" max="2" width="25.85546875" style="494" bestFit="1" customWidth="1"/>
    <col min="3" max="3" width="19.28515625" style="494" customWidth="1"/>
    <col min="4" max="4" width="22.5703125" style="494" customWidth="1"/>
    <col min="5" max="5" width="20" style="494" customWidth="1"/>
    <col min="6" max="7" width="17.42578125" style="494" customWidth="1"/>
    <col min="8" max="8" width="18.85546875" style="494" customWidth="1"/>
    <col min="9" max="10" width="19.42578125" style="494" customWidth="1"/>
    <col min="11" max="11" width="18.140625" style="494" customWidth="1"/>
    <col min="12" max="12" width="22.5703125" style="494" customWidth="1"/>
    <col min="13" max="13" width="22.42578125" style="494" customWidth="1"/>
    <col min="14" max="14" width="17.140625" style="494" customWidth="1"/>
    <col min="15" max="15" width="22.7109375" style="494" bestFit="1" customWidth="1"/>
    <col min="16" max="16" width="17.5703125" style="494" customWidth="1"/>
    <col min="17" max="18" width="15.28515625" style="494" customWidth="1"/>
    <col min="19" max="19" width="18.42578125" style="494" customWidth="1"/>
    <col min="20" max="20" width="22.85546875" style="494" bestFit="1" customWidth="1"/>
    <col min="21" max="21" width="18.85546875" style="494" customWidth="1"/>
    <col min="22" max="23" width="16.5703125" style="494" customWidth="1"/>
    <col min="24" max="24" width="17.140625" style="494" customWidth="1"/>
    <col min="25" max="25" width="21.7109375" style="494" bestFit="1" customWidth="1"/>
    <col min="26" max="27" width="15.42578125" style="494" customWidth="1"/>
    <col min="28" max="28" width="13.7109375" style="494" bestFit="1" customWidth="1"/>
    <col min="29" max="16384" width="9.140625" style="494"/>
  </cols>
  <sheetData>
    <row r="1" spans="1:28" x14ac:dyDescent="0.25">
      <c r="A1" s="494" t="s">
        <v>873</v>
      </c>
      <c r="B1" s="494" t="s">
        <v>874</v>
      </c>
      <c r="C1" s="494" t="s">
        <v>875</v>
      </c>
      <c r="D1" s="494" t="s">
        <v>876</v>
      </c>
      <c r="E1" s="494" t="s">
        <v>877</v>
      </c>
      <c r="F1" s="494" t="s">
        <v>878</v>
      </c>
      <c r="G1" s="494" t="s">
        <v>905</v>
      </c>
      <c r="H1" s="494" t="s">
        <v>872</v>
      </c>
      <c r="I1" s="494" t="s">
        <v>978</v>
      </c>
      <c r="J1" s="494" t="s">
        <v>971</v>
      </c>
      <c r="K1" s="494" t="s">
        <v>885</v>
      </c>
      <c r="L1" s="494" t="s">
        <v>884</v>
      </c>
      <c r="M1" s="494" t="s">
        <v>886</v>
      </c>
      <c r="N1" s="494" t="s">
        <v>888</v>
      </c>
      <c r="O1" s="494" t="s">
        <v>889</v>
      </c>
      <c r="P1" s="494" t="s">
        <v>890</v>
      </c>
      <c r="Q1" s="494" t="s">
        <v>891</v>
      </c>
      <c r="R1" s="494" t="s">
        <v>959</v>
      </c>
      <c r="S1" s="494" t="s">
        <v>892</v>
      </c>
      <c r="T1" s="494" t="s">
        <v>893</v>
      </c>
      <c r="U1" s="494" t="s">
        <v>896</v>
      </c>
      <c r="V1" s="494" t="s">
        <v>897</v>
      </c>
      <c r="W1" s="494" t="s">
        <v>958</v>
      </c>
      <c r="X1" s="494" t="s">
        <v>898</v>
      </c>
      <c r="Y1" s="494" t="s">
        <v>900</v>
      </c>
      <c r="Z1" s="494" t="s">
        <v>939</v>
      </c>
      <c r="AA1" s="494" t="s">
        <v>899</v>
      </c>
      <c r="AB1" s="494" t="s">
        <v>957</v>
      </c>
    </row>
    <row r="2" spans="1:28" ht="15" customHeight="1" x14ac:dyDescent="0.25">
      <c r="A2" s="494" t="s">
        <v>343</v>
      </c>
      <c r="G2" s="494" t="s">
        <v>906</v>
      </c>
      <c r="H2" s="494" t="s">
        <v>686</v>
      </c>
      <c r="I2" s="494" t="s">
        <v>1054</v>
      </c>
      <c r="J2" s="494" t="s">
        <v>1055</v>
      </c>
      <c r="K2" s="494" t="s">
        <v>1056</v>
      </c>
      <c r="L2" s="494" t="s">
        <v>1057</v>
      </c>
      <c r="M2" s="494" t="s">
        <v>1058</v>
      </c>
      <c r="N2" s="494" t="s">
        <v>1045</v>
      </c>
      <c r="O2" s="494" t="s">
        <v>1046</v>
      </c>
      <c r="P2" s="494" t="s">
        <v>1047</v>
      </c>
      <c r="Q2" s="494" t="s">
        <v>1048</v>
      </c>
      <c r="R2" s="494" t="s">
        <v>1049</v>
      </c>
      <c r="S2" s="494" t="s">
        <v>1050</v>
      </c>
      <c r="T2" s="494" t="s">
        <v>1051</v>
      </c>
      <c r="V2" s="494" t="s">
        <v>1052</v>
      </c>
      <c r="W2" s="494" t="s">
        <v>1053</v>
      </c>
      <c r="X2" s="494" t="s">
        <v>786</v>
      </c>
      <c r="Y2" s="494" t="s">
        <v>901</v>
      </c>
      <c r="Z2" s="494" t="s">
        <v>902</v>
      </c>
      <c r="AA2" s="494" t="s">
        <v>882</v>
      </c>
      <c r="AB2" s="494" t="s">
        <v>960</v>
      </c>
    </row>
    <row r="3" spans="1:28" ht="15" customHeight="1" x14ac:dyDescent="0.25">
      <c r="A3" s="494" t="s">
        <v>349</v>
      </c>
      <c r="F3" s="494" t="s">
        <v>709</v>
      </c>
      <c r="G3" s="494" t="s">
        <v>907</v>
      </c>
      <c r="H3" s="494" t="s">
        <v>686</v>
      </c>
      <c r="I3" s="494" t="s">
        <v>1054</v>
      </c>
      <c r="J3" s="494" t="s">
        <v>1055</v>
      </c>
      <c r="K3" s="494" t="s">
        <v>1056</v>
      </c>
      <c r="L3" s="494" t="s">
        <v>1057</v>
      </c>
      <c r="M3" s="494" t="s">
        <v>1058</v>
      </c>
      <c r="N3" s="494" t="s">
        <v>1045</v>
      </c>
      <c r="O3" s="494" t="s">
        <v>1046</v>
      </c>
      <c r="P3" s="494" t="s">
        <v>1047</v>
      </c>
      <c r="Q3" s="494" t="s">
        <v>1048</v>
      </c>
      <c r="R3" s="494" t="s">
        <v>1049</v>
      </c>
      <c r="S3" s="494" t="s">
        <v>1050</v>
      </c>
      <c r="T3" s="494" t="s">
        <v>1051</v>
      </c>
      <c r="V3" s="494" t="s">
        <v>1052</v>
      </c>
      <c r="W3" s="494" t="s">
        <v>1053</v>
      </c>
      <c r="X3" s="494" t="s">
        <v>786</v>
      </c>
      <c r="Y3" s="494" t="s">
        <v>901</v>
      </c>
      <c r="Z3" s="494" t="s">
        <v>902</v>
      </c>
      <c r="AA3" s="494" t="s">
        <v>882</v>
      </c>
      <c r="AB3" s="494" t="s">
        <v>960</v>
      </c>
    </row>
    <row r="4" spans="1:28" ht="15" customHeight="1" x14ac:dyDescent="0.25">
      <c r="A4" s="494" t="s">
        <v>305</v>
      </c>
      <c r="F4" s="494" t="s">
        <v>709</v>
      </c>
      <c r="G4" s="494" t="s">
        <v>908</v>
      </c>
      <c r="H4" s="494" t="s">
        <v>686</v>
      </c>
      <c r="I4" s="494" t="s">
        <v>1054</v>
      </c>
      <c r="J4" s="494" t="s">
        <v>1055</v>
      </c>
      <c r="K4" s="494" t="s">
        <v>1056</v>
      </c>
      <c r="L4" s="494" t="s">
        <v>1057</v>
      </c>
      <c r="M4" s="494" t="s">
        <v>1058</v>
      </c>
      <c r="N4" s="494" t="s">
        <v>1045</v>
      </c>
      <c r="O4" s="494" t="s">
        <v>1046</v>
      </c>
      <c r="P4" s="494" t="s">
        <v>1047</v>
      </c>
      <c r="Q4" s="494" t="s">
        <v>1048</v>
      </c>
      <c r="R4" s="494" t="s">
        <v>1049</v>
      </c>
      <c r="S4" s="494" t="s">
        <v>1050</v>
      </c>
      <c r="T4" s="494" t="s">
        <v>1051</v>
      </c>
      <c r="V4" s="494" t="s">
        <v>1052</v>
      </c>
      <c r="W4" s="494" t="s">
        <v>1053</v>
      </c>
      <c r="X4" s="494" t="s">
        <v>786</v>
      </c>
      <c r="Y4" s="494" t="s">
        <v>901</v>
      </c>
      <c r="Z4" s="494" t="s">
        <v>902</v>
      </c>
      <c r="AA4" s="494" t="s">
        <v>882</v>
      </c>
      <c r="AB4" s="494" t="s">
        <v>960</v>
      </c>
    </row>
    <row r="5" spans="1:28" ht="15" customHeight="1" x14ac:dyDescent="0.25">
      <c r="A5" s="494" t="s">
        <v>308</v>
      </c>
      <c r="G5" s="494" t="s">
        <v>909</v>
      </c>
      <c r="H5" s="494" t="s">
        <v>686</v>
      </c>
      <c r="I5" s="494" t="s">
        <v>1054</v>
      </c>
      <c r="J5" s="494" t="s">
        <v>1055</v>
      </c>
      <c r="K5" s="494" t="s">
        <v>1056</v>
      </c>
      <c r="L5" s="494" t="s">
        <v>1057</v>
      </c>
      <c r="M5" s="494" t="s">
        <v>1058</v>
      </c>
      <c r="N5" s="494" t="s">
        <v>1045</v>
      </c>
      <c r="O5" s="494" t="s">
        <v>1046</v>
      </c>
      <c r="P5" s="494" t="s">
        <v>1047</v>
      </c>
      <c r="Q5" s="494" t="s">
        <v>1048</v>
      </c>
      <c r="R5" s="494" t="s">
        <v>1049</v>
      </c>
      <c r="S5" s="494" t="s">
        <v>1050</v>
      </c>
      <c r="T5" s="494" t="s">
        <v>1051</v>
      </c>
      <c r="V5" s="494" t="s">
        <v>1052</v>
      </c>
      <c r="W5" s="494" t="s">
        <v>1053</v>
      </c>
      <c r="X5" s="494" t="s">
        <v>786</v>
      </c>
      <c r="Y5" s="494" t="s">
        <v>901</v>
      </c>
      <c r="Z5" s="494" t="s">
        <v>902</v>
      </c>
      <c r="AA5" s="494" t="s">
        <v>882</v>
      </c>
      <c r="AB5" s="494" t="s">
        <v>960</v>
      </c>
    </row>
    <row r="6" spans="1:28" x14ac:dyDescent="0.25">
      <c r="A6" s="494" t="s">
        <v>310</v>
      </c>
      <c r="C6" s="494" t="s">
        <v>713</v>
      </c>
      <c r="G6" s="494" t="s">
        <v>910</v>
      </c>
      <c r="H6" s="494" t="s">
        <v>686</v>
      </c>
      <c r="I6" s="494" t="s">
        <v>1054</v>
      </c>
      <c r="J6" s="494" t="s">
        <v>1055</v>
      </c>
      <c r="K6" s="494" t="s">
        <v>1056</v>
      </c>
      <c r="L6" s="494" t="s">
        <v>1057</v>
      </c>
      <c r="M6" s="494" t="s">
        <v>1058</v>
      </c>
      <c r="N6" s="494" t="s">
        <v>1045</v>
      </c>
      <c r="O6" s="494" t="s">
        <v>1046</v>
      </c>
      <c r="P6" s="494" t="s">
        <v>1047</v>
      </c>
      <c r="Q6" s="494" t="s">
        <v>1048</v>
      </c>
      <c r="R6" s="494" t="s">
        <v>1049</v>
      </c>
      <c r="S6" s="494" t="s">
        <v>1050</v>
      </c>
      <c r="T6" s="494" t="s">
        <v>1051</v>
      </c>
      <c r="V6" s="494" t="s">
        <v>1052</v>
      </c>
      <c r="W6" s="494" t="s">
        <v>1053</v>
      </c>
      <c r="X6" s="494" t="s">
        <v>786</v>
      </c>
      <c r="Y6" s="494" t="s">
        <v>901</v>
      </c>
      <c r="Z6" s="494" t="s">
        <v>902</v>
      </c>
      <c r="AA6" s="494" t="s">
        <v>882</v>
      </c>
      <c r="AB6" s="494" t="s">
        <v>960</v>
      </c>
    </row>
    <row r="7" spans="1:28" x14ac:dyDescent="0.25">
      <c r="A7" s="494" t="s">
        <v>312</v>
      </c>
      <c r="C7" s="494" t="s">
        <v>713</v>
      </c>
      <c r="D7" s="494" t="s">
        <v>713</v>
      </c>
      <c r="F7" s="494" t="s">
        <v>709</v>
      </c>
      <c r="G7" s="494" t="s">
        <v>911</v>
      </c>
      <c r="H7" s="494" t="s">
        <v>686</v>
      </c>
      <c r="I7" s="494" t="s">
        <v>1054</v>
      </c>
      <c r="J7" s="494" t="s">
        <v>1055</v>
      </c>
      <c r="K7" s="494" t="s">
        <v>1056</v>
      </c>
      <c r="L7" s="494" t="s">
        <v>1057</v>
      </c>
      <c r="M7" s="494" t="s">
        <v>1058</v>
      </c>
      <c r="N7" s="494" t="s">
        <v>1045</v>
      </c>
      <c r="O7" s="494" t="s">
        <v>1046</v>
      </c>
      <c r="P7" s="494" t="s">
        <v>1047</v>
      </c>
      <c r="Q7" s="494" t="s">
        <v>1048</v>
      </c>
      <c r="R7" s="494" t="s">
        <v>1049</v>
      </c>
      <c r="S7" s="494" t="s">
        <v>1050</v>
      </c>
      <c r="T7" s="494" t="s">
        <v>1051</v>
      </c>
      <c r="V7" s="494" t="s">
        <v>1052</v>
      </c>
      <c r="W7" s="494" t="s">
        <v>1053</v>
      </c>
      <c r="X7" s="494" t="s">
        <v>786</v>
      </c>
      <c r="Y7" s="494" t="s">
        <v>901</v>
      </c>
      <c r="Z7" s="494" t="s">
        <v>902</v>
      </c>
      <c r="AA7" s="494" t="s">
        <v>882</v>
      </c>
      <c r="AB7" s="494" t="s">
        <v>960</v>
      </c>
    </row>
    <row r="8" spans="1:28" x14ac:dyDescent="0.25">
      <c r="A8" s="494" t="s">
        <v>315</v>
      </c>
      <c r="D8" s="494" t="s">
        <v>713</v>
      </c>
      <c r="F8" s="494" t="s">
        <v>709</v>
      </c>
      <c r="G8" s="494" t="s">
        <v>912</v>
      </c>
      <c r="H8" s="494" t="s">
        <v>686</v>
      </c>
      <c r="I8" s="494" t="s">
        <v>1054</v>
      </c>
      <c r="J8" s="494" t="s">
        <v>1055</v>
      </c>
      <c r="K8" s="494" t="s">
        <v>1056</v>
      </c>
      <c r="L8" s="494" t="s">
        <v>1057</v>
      </c>
      <c r="M8" s="494" t="s">
        <v>1058</v>
      </c>
      <c r="N8" s="494" t="s">
        <v>1045</v>
      </c>
      <c r="O8" s="494" t="s">
        <v>1046</v>
      </c>
      <c r="P8" s="494" t="s">
        <v>1047</v>
      </c>
      <c r="Q8" s="494" t="s">
        <v>1048</v>
      </c>
      <c r="R8" s="494" t="s">
        <v>1049</v>
      </c>
      <c r="S8" s="494" t="s">
        <v>1050</v>
      </c>
      <c r="T8" s="494" t="s">
        <v>1051</v>
      </c>
      <c r="V8" s="494" t="s">
        <v>1052</v>
      </c>
      <c r="W8" s="494" t="s">
        <v>1053</v>
      </c>
      <c r="X8" s="494" t="s">
        <v>786</v>
      </c>
      <c r="Y8" s="494" t="s">
        <v>901</v>
      </c>
      <c r="Z8" s="494" t="s">
        <v>902</v>
      </c>
      <c r="AA8" s="494" t="s">
        <v>882</v>
      </c>
      <c r="AB8" s="494" t="s">
        <v>960</v>
      </c>
    </row>
    <row r="9" spans="1:28" x14ac:dyDescent="0.25">
      <c r="A9" s="494" t="s">
        <v>352</v>
      </c>
      <c r="E9" s="494" t="s">
        <v>713</v>
      </c>
      <c r="F9" s="494" t="s">
        <v>709</v>
      </c>
      <c r="G9" s="494" t="s">
        <v>913</v>
      </c>
      <c r="H9" s="494" t="s">
        <v>686</v>
      </c>
      <c r="I9" s="494" t="s">
        <v>1054</v>
      </c>
      <c r="J9" s="494" t="s">
        <v>1055</v>
      </c>
      <c r="K9" s="494" t="s">
        <v>1056</v>
      </c>
      <c r="L9" s="494" t="s">
        <v>1057</v>
      </c>
      <c r="M9" s="494" t="s">
        <v>1058</v>
      </c>
      <c r="N9" s="494" t="s">
        <v>1045</v>
      </c>
      <c r="O9" s="494" t="s">
        <v>1046</v>
      </c>
      <c r="P9" s="494" t="s">
        <v>1047</v>
      </c>
      <c r="Q9" s="494" t="s">
        <v>1048</v>
      </c>
      <c r="R9" s="494" t="s">
        <v>1049</v>
      </c>
      <c r="S9" s="494" t="s">
        <v>1050</v>
      </c>
      <c r="T9" s="494" t="s">
        <v>1051</v>
      </c>
      <c r="V9" s="494" t="s">
        <v>1052</v>
      </c>
      <c r="W9" s="494" t="s">
        <v>1053</v>
      </c>
      <c r="X9" s="494" t="s">
        <v>786</v>
      </c>
      <c r="Y9" s="494" t="s">
        <v>901</v>
      </c>
      <c r="Z9" s="494" t="s">
        <v>902</v>
      </c>
      <c r="AA9" s="494" t="s">
        <v>882</v>
      </c>
      <c r="AB9" s="494" t="s">
        <v>960</v>
      </c>
    </row>
    <row r="10" spans="1:28" ht="15" customHeight="1" x14ac:dyDescent="0.25">
      <c r="A10" s="494" t="s">
        <v>353</v>
      </c>
      <c r="B10" s="494" t="s">
        <v>354</v>
      </c>
      <c r="G10" s="494" t="s">
        <v>914</v>
      </c>
      <c r="H10" s="494" t="s">
        <v>686</v>
      </c>
      <c r="I10" s="494" t="s">
        <v>1054</v>
      </c>
      <c r="J10" s="494" t="s">
        <v>1055</v>
      </c>
      <c r="K10" s="494" t="s">
        <v>1056</v>
      </c>
      <c r="L10" s="494" t="s">
        <v>1057</v>
      </c>
      <c r="M10" s="494" t="s">
        <v>1058</v>
      </c>
      <c r="N10" s="494" t="s">
        <v>1045</v>
      </c>
      <c r="O10" s="494" t="s">
        <v>1046</v>
      </c>
      <c r="P10" s="494" t="s">
        <v>1047</v>
      </c>
      <c r="Q10" s="494" t="s">
        <v>1048</v>
      </c>
      <c r="R10" s="494" t="s">
        <v>1049</v>
      </c>
      <c r="S10" s="494" t="s">
        <v>1050</v>
      </c>
      <c r="T10" s="494" t="s">
        <v>1051</v>
      </c>
      <c r="V10" s="494" t="s">
        <v>1052</v>
      </c>
      <c r="W10" s="494" t="s">
        <v>1053</v>
      </c>
      <c r="X10" s="494" t="s">
        <v>786</v>
      </c>
      <c r="Y10" s="494" t="s">
        <v>901</v>
      </c>
      <c r="Z10" s="494" t="s">
        <v>902</v>
      </c>
      <c r="AA10" s="494" t="s">
        <v>882</v>
      </c>
      <c r="AB10" s="494" t="s">
        <v>960</v>
      </c>
    </row>
    <row r="11" spans="1:28" ht="15.75" customHeight="1" x14ac:dyDescent="0.25">
      <c r="A11" s="494" t="s">
        <v>355</v>
      </c>
      <c r="G11" s="494" t="s">
        <v>915</v>
      </c>
      <c r="H11" s="494" t="s">
        <v>686</v>
      </c>
      <c r="I11" s="494" t="s">
        <v>1054</v>
      </c>
      <c r="J11" s="494" t="s">
        <v>1055</v>
      </c>
      <c r="K11" s="494" t="s">
        <v>1056</v>
      </c>
      <c r="L11" s="494" t="s">
        <v>1057</v>
      </c>
      <c r="M11" s="494" t="s">
        <v>1058</v>
      </c>
      <c r="N11" s="494" t="s">
        <v>1045</v>
      </c>
      <c r="O11" s="494" t="s">
        <v>1046</v>
      </c>
      <c r="P11" s="494" t="s">
        <v>1047</v>
      </c>
      <c r="Q11" s="494" t="s">
        <v>1048</v>
      </c>
      <c r="R11" s="494" t="s">
        <v>1049</v>
      </c>
      <c r="S11" s="494" t="s">
        <v>1050</v>
      </c>
      <c r="T11" s="494" t="s">
        <v>1051</v>
      </c>
      <c r="V11" s="494" t="s">
        <v>1052</v>
      </c>
      <c r="W11" s="494" t="s">
        <v>1053</v>
      </c>
      <c r="X11" s="494" t="s">
        <v>786</v>
      </c>
      <c r="Y11" s="494" t="s">
        <v>901</v>
      </c>
      <c r="Z11" s="494" t="s">
        <v>902</v>
      </c>
      <c r="AA11" s="494" t="s">
        <v>882</v>
      </c>
      <c r="AB11" s="494" t="s">
        <v>960</v>
      </c>
    </row>
    <row r="12" spans="1:28" x14ac:dyDescent="0.25">
      <c r="A12" s="494" t="s">
        <v>318</v>
      </c>
      <c r="D12" s="494" t="s">
        <v>380</v>
      </c>
      <c r="F12" s="494" t="s">
        <v>709</v>
      </c>
      <c r="G12" s="494" t="s">
        <v>916</v>
      </c>
      <c r="H12" s="494" t="s">
        <v>686</v>
      </c>
      <c r="I12" s="494" t="s">
        <v>1054</v>
      </c>
      <c r="J12" s="494" t="s">
        <v>1055</v>
      </c>
      <c r="K12" s="494" t="s">
        <v>1056</v>
      </c>
      <c r="L12" s="494" t="s">
        <v>1057</v>
      </c>
      <c r="M12" s="494" t="s">
        <v>1058</v>
      </c>
      <c r="N12" s="494" t="s">
        <v>1045</v>
      </c>
      <c r="O12" s="494" t="s">
        <v>1046</v>
      </c>
      <c r="P12" s="494" t="s">
        <v>1047</v>
      </c>
      <c r="Q12" s="494" t="s">
        <v>1048</v>
      </c>
      <c r="R12" s="494" t="s">
        <v>1049</v>
      </c>
      <c r="S12" s="494" t="s">
        <v>1050</v>
      </c>
      <c r="T12" s="494" t="s">
        <v>1051</v>
      </c>
      <c r="V12" s="494" t="s">
        <v>1052</v>
      </c>
      <c r="W12" s="494" t="s">
        <v>1053</v>
      </c>
      <c r="X12" s="494" t="s">
        <v>786</v>
      </c>
      <c r="Y12" s="494" t="s">
        <v>901</v>
      </c>
      <c r="Z12" s="494" t="s">
        <v>902</v>
      </c>
      <c r="AA12" s="494" t="s">
        <v>882</v>
      </c>
      <c r="AB12" s="494" t="s">
        <v>960</v>
      </c>
    </row>
    <row r="13" spans="1:28" x14ac:dyDescent="0.25">
      <c r="A13" s="494" t="s">
        <v>321</v>
      </c>
      <c r="F13" s="494" t="s">
        <v>709</v>
      </c>
      <c r="G13" s="494" t="s">
        <v>917</v>
      </c>
      <c r="H13" s="494" t="s">
        <v>686</v>
      </c>
      <c r="I13" s="494" t="s">
        <v>1054</v>
      </c>
      <c r="J13" s="494" t="s">
        <v>1055</v>
      </c>
      <c r="K13" s="494" t="s">
        <v>1056</v>
      </c>
      <c r="L13" s="494" t="s">
        <v>1057</v>
      </c>
      <c r="M13" s="494" t="s">
        <v>1058</v>
      </c>
      <c r="N13" s="494" t="s">
        <v>1045</v>
      </c>
      <c r="O13" s="494" t="s">
        <v>1046</v>
      </c>
      <c r="P13" s="494" t="s">
        <v>1047</v>
      </c>
      <c r="Q13" s="494" t="s">
        <v>1048</v>
      </c>
      <c r="R13" s="494" t="s">
        <v>1049</v>
      </c>
      <c r="S13" s="494" t="s">
        <v>1050</v>
      </c>
      <c r="T13" s="494" t="s">
        <v>1051</v>
      </c>
      <c r="V13" s="494" t="s">
        <v>1052</v>
      </c>
      <c r="W13" s="494" t="s">
        <v>1053</v>
      </c>
      <c r="X13" s="494" t="s">
        <v>786</v>
      </c>
      <c r="Y13" s="494" t="s">
        <v>901</v>
      </c>
      <c r="Z13" s="494" t="s">
        <v>902</v>
      </c>
      <c r="AA13" s="494" t="s">
        <v>882</v>
      </c>
      <c r="AB13" s="494" t="s">
        <v>960</v>
      </c>
    </row>
    <row r="14" spans="1:28" x14ac:dyDescent="0.25">
      <c r="A14" s="494" t="s">
        <v>324</v>
      </c>
      <c r="F14" s="494" t="s">
        <v>709</v>
      </c>
      <c r="G14" s="494" t="s">
        <v>918</v>
      </c>
      <c r="H14" s="494" t="s">
        <v>686</v>
      </c>
      <c r="I14" s="494" t="s">
        <v>1054</v>
      </c>
      <c r="J14" s="494" t="s">
        <v>1055</v>
      </c>
      <c r="K14" s="494" t="s">
        <v>1056</v>
      </c>
      <c r="L14" s="494" t="s">
        <v>1057</v>
      </c>
      <c r="M14" s="494" t="s">
        <v>1058</v>
      </c>
      <c r="N14" s="494" t="s">
        <v>1045</v>
      </c>
      <c r="O14" s="494" t="s">
        <v>1046</v>
      </c>
      <c r="P14" s="494" t="s">
        <v>1047</v>
      </c>
      <c r="Q14" s="494" t="s">
        <v>1048</v>
      </c>
      <c r="R14" s="494" t="s">
        <v>1049</v>
      </c>
      <c r="S14" s="494" t="s">
        <v>1050</v>
      </c>
      <c r="T14" s="494" t="s">
        <v>1051</v>
      </c>
      <c r="V14" s="494" t="s">
        <v>1052</v>
      </c>
      <c r="W14" s="494" t="s">
        <v>1053</v>
      </c>
      <c r="X14" s="494" t="s">
        <v>786</v>
      </c>
      <c r="Y14" s="494" t="s">
        <v>901</v>
      </c>
      <c r="Z14" s="494" t="s">
        <v>902</v>
      </c>
      <c r="AA14" s="494" t="s">
        <v>882</v>
      </c>
      <c r="AB14" s="494" t="s">
        <v>960</v>
      </c>
    </row>
    <row r="15" spans="1:28" x14ac:dyDescent="0.25">
      <c r="A15" s="494" t="s">
        <v>325</v>
      </c>
      <c r="F15" s="494" t="s">
        <v>709</v>
      </c>
      <c r="G15" s="494" t="s">
        <v>919</v>
      </c>
      <c r="H15" s="494" t="s">
        <v>686</v>
      </c>
      <c r="I15" s="494" t="s">
        <v>1054</v>
      </c>
      <c r="J15" s="494" t="s">
        <v>1055</v>
      </c>
      <c r="K15" s="494" t="s">
        <v>1056</v>
      </c>
      <c r="L15" s="494" t="s">
        <v>1057</v>
      </c>
      <c r="M15" s="494" t="s">
        <v>1058</v>
      </c>
      <c r="N15" s="494" t="s">
        <v>1045</v>
      </c>
      <c r="O15" s="494" t="s">
        <v>1046</v>
      </c>
      <c r="P15" s="494" t="s">
        <v>1047</v>
      </c>
      <c r="Q15" s="494" t="s">
        <v>1048</v>
      </c>
      <c r="R15" s="494" t="s">
        <v>1049</v>
      </c>
      <c r="S15" s="494" t="s">
        <v>1050</v>
      </c>
      <c r="T15" s="494" t="s">
        <v>1051</v>
      </c>
      <c r="V15" s="494" t="s">
        <v>1052</v>
      </c>
      <c r="W15" s="494" t="s">
        <v>1053</v>
      </c>
      <c r="X15" s="494" t="s">
        <v>786</v>
      </c>
      <c r="Y15" s="494" t="s">
        <v>901</v>
      </c>
      <c r="Z15" s="494" t="s">
        <v>902</v>
      </c>
      <c r="AA15" s="494" t="s">
        <v>882</v>
      </c>
      <c r="AB15" s="494" t="s">
        <v>960</v>
      </c>
    </row>
    <row r="16" spans="1:28" x14ac:dyDescent="0.25">
      <c r="A16" s="494" t="s">
        <v>357</v>
      </c>
      <c r="D16" s="494" t="s">
        <v>713</v>
      </c>
      <c r="F16" s="494" t="s">
        <v>709</v>
      </c>
      <c r="G16" s="494" t="s">
        <v>920</v>
      </c>
      <c r="H16" s="494" t="s">
        <v>686</v>
      </c>
      <c r="I16" s="494" t="s">
        <v>1054</v>
      </c>
      <c r="J16" s="494" t="s">
        <v>1055</v>
      </c>
      <c r="K16" s="494" t="s">
        <v>1056</v>
      </c>
      <c r="L16" s="494" t="s">
        <v>1057</v>
      </c>
      <c r="M16" s="494" t="s">
        <v>1058</v>
      </c>
      <c r="N16" s="494" t="s">
        <v>1045</v>
      </c>
      <c r="O16" s="494" t="s">
        <v>1046</v>
      </c>
      <c r="P16" s="494" t="s">
        <v>1047</v>
      </c>
      <c r="Q16" s="494" t="s">
        <v>1048</v>
      </c>
      <c r="R16" s="494" t="s">
        <v>1049</v>
      </c>
      <c r="S16" s="494" t="s">
        <v>1050</v>
      </c>
      <c r="T16" s="494" t="s">
        <v>1051</v>
      </c>
      <c r="V16" s="494" t="s">
        <v>1052</v>
      </c>
      <c r="W16" s="494" t="s">
        <v>1053</v>
      </c>
      <c r="X16" s="494" t="s">
        <v>786</v>
      </c>
      <c r="Y16" s="494" t="s">
        <v>901</v>
      </c>
      <c r="Z16" s="494" t="s">
        <v>902</v>
      </c>
      <c r="AA16" s="494" t="s">
        <v>882</v>
      </c>
      <c r="AB16" s="494" t="s">
        <v>960</v>
      </c>
    </row>
    <row r="17" spans="1:28" x14ac:dyDescent="0.25">
      <c r="A17" s="494" t="s">
        <v>358</v>
      </c>
      <c r="D17" s="494" t="s">
        <v>713</v>
      </c>
      <c r="G17" s="494" t="s">
        <v>921</v>
      </c>
      <c r="H17" s="494" t="s">
        <v>686</v>
      </c>
      <c r="I17" s="494" t="s">
        <v>1054</v>
      </c>
      <c r="J17" s="494" t="s">
        <v>1055</v>
      </c>
      <c r="K17" s="494" t="s">
        <v>1056</v>
      </c>
      <c r="L17" s="494" t="s">
        <v>1057</v>
      </c>
      <c r="M17" s="494" t="s">
        <v>1058</v>
      </c>
      <c r="N17" s="494" t="s">
        <v>1045</v>
      </c>
      <c r="O17" s="494" t="s">
        <v>1046</v>
      </c>
      <c r="P17" s="494" t="s">
        <v>1047</v>
      </c>
      <c r="Q17" s="494" t="s">
        <v>1048</v>
      </c>
      <c r="R17" s="494" t="s">
        <v>1049</v>
      </c>
      <c r="S17" s="494" t="s">
        <v>1050</v>
      </c>
      <c r="T17" s="494" t="s">
        <v>1051</v>
      </c>
      <c r="V17" s="494" t="s">
        <v>1052</v>
      </c>
      <c r="W17" s="494" t="s">
        <v>1053</v>
      </c>
      <c r="X17" s="494" t="s">
        <v>786</v>
      </c>
      <c r="Y17" s="494" t="s">
        <v>901</v>
      </c>
      <c r="Z17" s="494" t="s">
        <v>902</v>
      </c>
      <c r="AA17" s="494" t="s">
        <v>882</v>
      </c>
      <c r="AB17" s="494" t="s">
        <v>960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895E3-3C02-452C-A03F-1D304B90ADB7}">
  <dimension ref="A1:AB17"/>
  <sheetViews>
    <sheetView workbookViewId="0">
      <selection activeCell="A2" sqref="A2:XFD17"/>
    </sheetView>
  </sheetViews>
  <sheetFormatPr defaultRowHeight="15" x14ac:dyDescent="0.25"/>
  <cols>
    <col min="1" max="1" width="15.5703125" style="494" customWidth="1"/>
    <col min="2" max="2" width="25.85546875" style="494" bestFit="1" customWidth="1"/>
    <col min="3" max="3" width="19.28515625" style="494" customWidth="1"/>
    <col min="4" max="4" width="22.5703125" style="494" customWidth="1"/>
    <col min="5" max="5" width="20" style="494" customWidth="1"/>
    <col min="6" max="7" width="17.42578125" style="494" customWidth="1"/>
    <col min="8" max="8" width="18.85546875" style="494" customWidth="1"/>
    <col min="9" max="10" width="19.42578125" style="494" customWidth="1"/>
    <col min="11" max="11" width="18.140625" style="494" customWidth="1"/>
    <col min="12" max="12" width="22.5703125" style="494" customWidth="1"/>
    <col min="13" max="13" width="22.42578125" style="494" customWidth="1"/>
    <col min="14" max="14" width="17.140625" style="494" customWidth="1"/>
    <col min="15" max="15" width="22.7109375" style="494" bestFit="1" customWidth="1"/>
    <col min="16" max="16" width="17.5703125" style="494" customWidth="1"/>
    <col min="17" max="18" width="15.28515625" style="494" customWidth="1"/>
    <col min="19" max="19" width="18.42578125" style="494" customWidth="1"/>
    <col min="20" max="20" width="22.85546875" style="494" bestFit="1" customWidth="1"/>
    <col min="21" max="21" width="18.85546875" style="494" customWidth="1"/>
    <col min="22" max="23" width="16.5703125" style="494" customWidth="1"/>
    <col min="24" max="24" width="17.140625" style="494" customWidth="1"/>
    <col min="25" max="25" width="21.7109375" style="494" bestFit="1" customWidth="1"/>
    <col min="26" max="27" width="15.42578125" style="494" customWidth="1"/>
    <col min="28" max="28" width="13.7109375" style="494" bestFit="1" customWidth="1"/>
    <col min="29" max="16384" width="9.140625" style="494"/>
  </cols>
  <sheetData>
    <row r="1" spans="1:28" x14ac:dyDescent="0.25">
      <c r="A1" s="494" t="s">
        <v>873</v>
      </c>
      <c r="B1" s="494" t="s">
        <v>874</v>
      </c>
      <c r="C1" s="494" t="s">
        <v>875</v>
      </c>
      <c r="D1" s="494" t="s">
        <v>876</v>
      </c>
      <c r="E1" s="494" t="s">
        <v>877</v>
      </c>
      <c r="F1" s="494" t="s">
        <v>878</v>
      </c>
      <c r="G1" s="494" t="s">
        <v>905</v>
      </c>
      <c r="H1" s="494" t="s">
        <v>872</v>
      </c>
      <c r="I1" s="494" t="s">
        <v>978</v>
      </c>
      <c r="J1" s="494" t="s">
        <v>971</v>
      </c>
      <c r="K1" s="494" t="s">
        <v>885</v>
      </c>
      <c r="L1" s="494" t="s">
        <v>884</v>
      </c>
      <c r="M1" s="494" t="s">
        <v>886</v>
      </c>
      <c r="N1" s="494" t="s">
        <v>888</v>
      </c>
      <c r="O1" s="494" t="s">
        <v>889</v>
      </c>
      <c r="P1" s="494" t="s">
        <v>890</v>
      </c>
      <c r="Q1" s="494" t="s">
        <v>891</v>
      </c>
      <c r="R1" s="494" t="s">
        <v>959</v>
      </c>
      <c r="S1" s="494" t="s">
        <v>892</v>
      </c>
      <c r="T1" s="494" t="s">
        <v>893</v>
      </c>
      <c r="U1" s="494" t="s">
        <v>896</v>
      </c>
      <c r="V1" s="494" t="s">
        <v>897</v>
      </c>
      <c r="W1" s="494" t="s">
        <v>958</v>
      </c>
      <c r="X1" s="494" t="s">
        <v>898</v>
      </c>
      <c r="Y1" s="494" t="s">
        <v>900</v>
      </c>
      <c r="Z1" s="494" t="s">
        <v>939</v>
      </c>
      <c r="AA1" s="494" t="s">
        <v>899</v>
      </c>
      <c r="AB1" s="494" t="s">
        <v>957</v>
      </c>
    </row>
    <row r="2" spans="1:28" ht="15" customHeight="1" x14ac:dyDescent="0.25">
      <c r="A2" s="494" t="s">
        <v>343</v>
      </c>
      <c r="C2" s="494" t="s">
        <v>381</v>
      </c>
      <c r="G2" s="494" t="s">
        <v>906</v>
      </c>
      <c r="H2" s="494" t="s">
        <v>686</v>
      </c>
      <c r="I2" s="494" t="s">
        <v>1059</v>
      </c>
      <c r="J2" s="494" t="s">
        <v>1060</v>
      </c>
      <c r="K2" s="494" t="s">
        <v>1061</v>
      </c>
      <c r="L2" s="494" t="s">
        <v>1062</v>
      </c>
      <c r="M2" s="494" t="s">
        <v>1063</v>
      </c>
      <c r="N2" s="494" t="s">
        <v>1045</v>
      </c>
      <c r="O2" s="494" t="s">
        <v>1046</v>
      </c>
      <c r="P2" s="494" t="s">
        <v>1047</v>
      </c>
      <c r="Q2" s="494" t="s">
        <v>1048</v>
      </c>
      <c r="R2" s="494" t="s">
        <v>1049</v>
      </c>
      <c r="S2" s="494" t="s">
        <v>1050</v>
      </c>
      <c r="T2" s="494" t="s">
        <v>1051</v>
      </c>
      <c r="V2" s="494" t="s">
        <v>1052</v>
      </c>
      <c r="W2" s="494" t="s">
        <v>1053</v>
      </c>
      <c r="X2" s="494" t="s">
        <v>786</v>
      </c>
      <c r="Y2" s="494" t="s">
        <v>901</v>
      </c>
      <c r="Z2" s="494" t="s">
        <v>902</v>
      </c>
      <c r="AA2" s="494" t="s">
        <v>882</v>
      </c>
      <c r="AB2" s="494" t="s">
        <v>960</v>
      </c>
    </row>
    <row r="3" spans="1:28" ht="15" customHeight="1" x14ac:dyDescent="0.25">
      <c r="A3" s="494" t="s">
        <v>349</v>
      </c>
      <c r="G3" s="494" t="s">
        <v>907</v>
      </c>
      <c r="H3" s="494" t="s">
        <v>686</v>
      </c>
      <c r="I3" s="494" t="s">
        <v>1059</v>
      </c>
      <c r="J3" s="494" t="s">
        <v>1060</v>
      </c>
      <c r="K3" s="494" t="s">
        <v>1061</v>
      </c>
      <c r="L3" s="494" t="s">
        <v>1062</v>
      </c>
      <c r="M3" s="494" t="s">
        <v>1063</v>
      </c>
      <c r="N3" s="494" t="s">
        <v>1045</v>
      </c>
      <c r="O3" s="494" t="s">
        <v>1046</v>
      </c>
      <c r="P3" s="494" t="s">
        <v>1047</v>
      </c>
      <c r="Q3" s="494" t="s">
        <v>1048</v>
      </c>
      <c r="R3" s="494" t="s">
        <v>1049</v>
      </c>
      <c r="S3" s="494" t="s">
        <v>1050</v>
      </c>
      <c r="T3" s="494" t="s">
        <v>1051</v>
      </c>
      <c r="V3" s="494" t="s">
        <v>1052</v>
      </c>
      <c r="W3" s="494" t="s">
        <v>1053</v>
      </c>
      <c r="X3" s="494" t="s">
        <v>786</v>
      </c>
      <c r="Y3" s="494" t="s">
        <v>901</v>
      </c>
      <c r="Z3" s="494" t="s">
        <v>902</v>
      </c>
      <c r="AA3" s="494" t="s">
        <v>882</v>
      </c>
      <c r="AB3" s="494" t="s">
        <v>960</v>
      </c>
    </row>
    <row r="4" spans="1:28" ht="15" customHeight="1" x14ac:dyDescent="0.25">
      <c r="A4" s="494" t="s">
        <v>305</v>
      </c>
      <c r="G4" s="494" t="s">
        <v>908</v>
      </c>
      <c r="H4" s="494" t="s">
        <v>686</v>
      </c>
      <c r="I4" s="494" t="s">
        <v>1059</v>
      </c>
      <c r="J4" s="494" t="s">
        <v>1060</v>
      </c>
      <c r="K4" s="494" t="s">
        <v>1061</v>
      </c>
      <c r="L4" s="494" t="s">
        <v>1062</v>
      </c>
      <c r="M4" s="494" t="s">
        <v>1063</v>
      </c>
      <c r="N4" s="494" t="s">
        <v>1045</v>
      </c>
      <c r="O4" s="494" t="s">
        <v>1046</v>
      </c>
      <c r="P4" s="494" t="s">
        <v>1047</v>
      </c>
      <c r="Q4" s="494" t="s">
        <v>1048</v>
      </c>
      <c r="R4" s="494" t="s">
        <v>1049</v>
      </c>
      <c r="S4" s="494" t="s">
        <v>1050</v>
      </c>
      <c r="T4" s="494" t="s">
        <v>1051</v>
      </c>
      <c r="V4" s="494" t="s">
        <v>1052</v>
      </c>
      <c r="W4" s="494" t="s">
        <v>1053</v>
      </c>
      <c r="X4" s="494" t="s">
        <v>786</v>
      </c>
      <c r="Y4" s="494" t="s">
        <v>901</v>
      </c>
      <c r="Z4" s="494" t="s">
        <v>902</v>
      </c>
      <c r="AA4" s="494" t="s">
        <v>882</v>
      </c>
      <c r="AB4" s="494" t="s">
        <v>960</v>
      </c>
    </row>
    <row r="5" spans="1:28" ht="15" customHeight="1" x14ac:dyDescent="0.25">
      <c r="A5" s="494" t="s">
        <v>308</v>
      </c>
      <c r="G5" s="494" t="s">
        <v>909</v>
      </c>
      <c r="H5" s="494" t="s">
        <v>686</v>
      </c>
      <c r="I5" s="494" t="s">
        <v>1059</v>
      </c>
      <c r="J5" s="494" t="s">
        <v>1060</v>
      </c>
      <c r="K5" s="494" t="s">
        <v>1061</v>
      </c>
      <c r="L5" s="494" t="s">
        <v>1062</v>
      </c>
      <c r="M5" s="494" t="s">
        <v>1063</v>
      </c>
      <c r="N5" s="494" t="s">
        <v>1045</v>
      </c>
      <c r="O5" s="494" t="s">
        <v>1046</v>
      </c>
      <c r="P5" s="494" t="s">
        <v>1047</v>
      </c>
      <c r="Q5" s="494" t="s">
        <v>1048</v>
      </c>
      <c r="R5" s="494" t="s">
        <v>1049</v>
      </c>
      <c r="S5" s="494" t="s">
        <v>1050</v>
      </c>
      <c r="T5" s="494" t="s">
        <v>1051</v>
      </c>
      <c r="V5" s="494" t="s">
        <v>1052</v>
      </c>
      <c r="W5" s="494" t="s">
        <v>1053</v>
      </c>
      <c r="X5" s="494" t="s">
        <v>786</v>
      </c>
      <c r="Y5" s="494" t="s">
        <v>901</v>
      </c>
      <c r="Z5" s="494" t="s">
        <v>902</v>
      </c>
      <c r="AA5" s="494" t="s">
        <v>882</v>
      </c>
      <c r="AB5" s="494" t="s">
        <v>960</v>
      </c>
    </row>
    <row r="6" spans="1:28" x14ac:dyDescent="0.25">
      <c r="A6" s="494" t="s">
        <v>310</v>
      </c>
      <c r="E6" s="494" t="s">
        <v>381</v>
      </c>
      <c r="G6" s="494" t="s">
        <v>910</v>
      </c>
      <c r="H6" s="494" t="s">
        <v>686</v>
      </c>
      <c r="I6" s="494" t="s">
        <v>1059</v>
      </c>
      <c r="J6" s="494" t="s">
        <v>1060</v>
      </c>
      <c r="K6" s="494" t="s">
        <v>1061</v>
      </c>
      <c r="L6" s="494" t="s">
        <v>1062</v>
      </c>
      <c r="M6" s="494" t="s">
        <v>1063</v>
      </c>
      <c r="N6" s="494" t="s">
        <v>1045</v>
      </c>
      <c r="O6" s="494" t="s">
        <v>1046</v>
      </c>
      <c r="P6" s="494" t="s">
        <v>1047</v>
      </c>
      <c r="Q6" s="494" t="s">
        <v>1048</v>
      </c>
      <c r="R6" s="494" t="s">
        <v>1049</v>
      </c>
      <c r="S6" s="494" t="s">
        <v>1050</v>
      </c>
      <c r="T6" s="494" t="s">
        <v>1051</v>
      </c>
      <c r="V6" s="494" t="s">
        <v>1052</v>
      </c>
      <c r="W6" s="494" t="s">
        <v>1053</v>
      </c>
      <c r="X6" s="494" t="s">
        <v>786</v>
      </c>
      <c r="Y6" s="494" t="s">
        <v>901</v>
      </c>
      <c r="Z6" s="494" t="s">
        <v>902</v>
      </c>
      <c r="AA6" s="494" t="s">
        <v>882</v>
      </c>
      <c r="AB6" s="494" t="s">
        <v>960</v>
      </c>
    </row>
    <row r="7" spans="1:28" x14ac:dyDescent="0.25">
      <c r="A7" s="494" t="s">
        <v>312</v>
      </c>
      <c r="G7" s="494" t="s">
        <v>911</v>
      </c>
      <c r="H7" s="494" t="s">
        <v>686</v>
      </c>
      <c r="I7" s="494" t="s">
        <v>1059</v>
      </c>
      <c r="J7" s="494" t="s">
        <v>1060</v>
      </c>
      <c r="K7" s="494" t="s">
        <v>1061</v>
      </c>
      <c r="L7" s="494" t="s">
        <v>1062</v>
      </c>
      <c r="M7" s="494" t="s">
        <v>1063</v>
      </c>
      <c r="N7" s="494" t="s">
        <v>1045</v>
      </c>
      <c r="O7" s="494" t="s">
        <v>1046</v>
      </c>
      <c r="P7" s="494" t="s">
        <v>1047</v>
      </c>
      <c r="Q7" s="494" t="s">
        <v>1048</v>
      </c>
      <c r="R7" s="494" t="s">
        <v>1049</v>
      </c>
      <c r="S7" s="494" t="s">
        <v>1050</v>
      </c>
      <c r="T7" s="494" t="s">
        <v>1051</v>
      </c>
      <c r="V7" s="494" t="s">
        <v>1052</v>
      </c>
      <c r="W7" s="494" t="s">
        <v>1053</v>
      </c>
      <c r="X7" s="494" t="s">
        <v>786</v>
      </c>
      <c r="Y7" s="494" t="s">
        <v>901</v>
      </c>
      <c r="Z7" s="494" t="s">
        <v>902</v>
      </c>
      <c r="AA7" s="494" t="s">
        <v>882</v>
      </c>
      <c r="AB7" s="494" t="s">
        <v>960</v>
      </c>
    </row>
    <row r="8" spans="1:28" x14ac:dyDescent="0.25">
      <c r="A8" s="494" t="s">
        <v>315</v>
      </c>
      <c r="G8" s="494" t="s">
        <v>912</v>
      </c>
      <c r="H8" s="494" t="s">
        <v>686</v>
      </c>
      <c r="I8" s="494" t="s">
        <v>1059</v>
      </c>
      <c r="J8" s="494" t="s">
        <v>1060</v>
      </c>
      <c r="K8" s="494" t="s">
        <v>1061</v>
      </c>
      <c r="L8" s="494" t="s">
        <v>1062</v>
      </c>
      <c r="M8" s="494" t="s">
        <v>1063</v>
      </c>
      <c r="N8" s="494" t="s">
        <v>1045</v>
      </c>
      <c r="O8" s="494" t="s">
        <v>1046</v>
      </c>
      <c r="P8" s="494" t="s">
        <v>1047</v>
      </c>
      <c r="Q8" s="494" t="s">
        <v>1048</v>
      </c>
      <c r="R8" s="494" t="s">
        <v>1049</v>
      </c>
      <c r="S8" s="494" t="s">
        <v>1050</v>
      </c>
      <c r="T8" s="494" t="s">
        <v>1051</v>
      </c>
      <c r="V8" s="494" t="s">
        <v>1052</v>
      </c>
      <c r="W8" s="494" t="s">
        <v>1053</v>
      </c>
      <c r="X8" s="494" t="s">
        <v>786</v>
      </c>
      <c r="Y8" s="494" t="s">
        <v>901</v>
      </c>
      <c r="Z8" s="494" t="s">
        <v>902</v>
      </c>
      <c r="AA8" s="494" t="s">
        <v>882</v>
      </c>
      <c r="AB8" s="494" t="s">
        <v>960</v>
      </c>
    </row>
    <row r="9" spans="1:28" x14ac:dyDescent="0.25">
      <c r="A9" s="494" t="s">
        <v>352</v>
      </c>
      <c r="G9" s="494" t="s">
        <v>913</v>
      </c>
      <c r="H9" s="494" t="s">
        <v>686</v>
      </c>
      <c r="I9" s="494" t="s">
        <v>1059</v>
      </c>
      <c r="J9" s="494" t="s">
        <v>1060</v>
      </c>
      <c r="K9" s="494" t="s">
        <v>1061</v>
      </c>
      <c r="L9" s="494" t="s">
        <v>1062</v>
      </c>
      <c r="M9" s="494" t="s">
        <v>1063</v>
      </c>
      <c r="N9" s="494" t="s">
        <v>1045</v>
      </c>
      <c r="O9" s="494" t="s">
        <v>1046</v>
      </c>
      <c r="P9" s="494" t="s">
        <v>1047</v>
      </c>
      <c r="Q9" s="494" t="s">
        <v>1048</v>
      </c>
      <c r="R9" s="494" t="s">
        <v>1049</v>
      </c>
      <c r="S9" s="494" t="s">
        <v>1050</v>
      </c>
      <c r="T9" s="494" t="s">
        <v>1051</v>
      </c>
      <c r="V9" s="494" t="s">
        <v>1052</v>
      </c>
      <c r="W9" s="494" t="s">
        <v>1053</v>
      </c>
      <c r="X9" s="494" t="s">
        <v>786</v>
      </c>
      <c r="Y9" s="494" t="s">
        <v>901</v>
      </c>
      <c r="Z9" s="494" t="s">
        <v>902</v>
      </c>
      <c r="AA9" s="494" t="s">
        <v>882</v>
      </c>
      <c r="AB9" s="494" t="s">
        <v>960</v>
      </c>
    </row>
    <row r="10" spans="1:28" ht="15" customHeight="1" x14ac:dyDescent="0.25">
      <c r="A10" s="494" t="s">
        <v>353</v>
      </c>
      <c r="B10" s="494" t="s">
        <v>354</v>
      </c>
      <c r="G10" s="494" t="s">
        <v>914</v>
      </c>
      <c r="H10" s="494" t="s">
        <v>686</v>
      </c>
      <c r="I10" s="494" t="s">
        <v>1059</v>
      </c>
      <c r="J10" s="494" t="s">
        <v>1060</v>
      </c>
      <c r="K10" s="494" t="s">
        <v>1061</v>
      </c>
      <c r="L10" s="494" t="s">
        <v>1062</v>
      </c>
      <c r="M10" s="494" t="s">
        <v>1063</v>
      </c>
      <c r="N10" s="494" t="s">
        <v>1045</v>
      </c>
      <c r="O10" s="494" t="s">
        <v>1046</v>
      </c>
      <c r="P10" s="494" t="s">
        <v>1047</v>
      </c>
      <c r="Q10" s="494" t="s">
        <v>1048</v>
      </c>
      <c r="R10" s="494" t="s">
        <v>1049</v>
      </c>
      <c r="S10" s="494" t="s">
        <v>1050</v>
      </c>
      <c r="T10" s="494" t="s">
        <v>1051</v>
      </c>
      <c r="V10" s="494" t="s">
        <v>1052</v>
      </c>
      <c r="W10" s="494" t="s">
        <v>1053</v>
      </c>
      <c r="X10" s="494" t="s">
        <v>786</v>
      </c>
      <c r="Y10" s="494" t="s">
        <v>901</v>
      </c>
      <c r="Z10" s="494" t="s">
        <v>902</v>
      </c>
      <c r="AA10" s="494" t="s">
        <v>882</v>
      </c>
      <c r="AB10" s="494" t="s">
        <v>960</v>
      </c>
    </row>
    <row r="11" spans="1:28" ht="15.75" customHeight="1" x14ac:dyDescent="0.25">
      <c r="A11" s="494" t="s">
        <v>355</v>
      </c>
      <c r="G11" s="494" t="s">
        <v>915</v>
      </c>
      <c r="H11" s="494" t="s">
        <v>686</v>
      </c>
      <c r="I11" s="494" t="s">
        <v>1059</v>
      </c>
      <c r="J11" s="494" t="s">
        <v>1060</v>
      </c>
      <c r="K11" s="494" t="s">
        <v>1061</v>
      </c>
      <c r="L11" s="494" t="s">
        <v>1062</v>
      </c>
      <c r="M11" s="494" t="s">
        <v>1063</v>
      </c>
      <c r="N11" s="494" t="s">
        <v>1045</v>
      </c>
      <c r="O11" s="494" t="s">
        <v>1046</v>
      </c>
      <c r="P11" s="494" t="s">
        <v>1047</v>
      </c>
      <c r="Q11" s="494" t="s">
        <v>1048</v>
      </c>
      <c r="R11" s="494" t="s">
        <v>1049</v>
      </c>
      <c r="S11" s="494" t="s">
        <v>1050</v>
      </c>
      <c r="T11" s="494" t="s">
        <v>1051</v>
      </c>
      <c r="V11" s="494" t="s">
        <v>1052</v>
      </c>
      <c r="W11" s="494" t="s">
        <v>1053</v>
      </c>
      <c r="X11" s="494" t="s">
        <v>786</v>
      </c>
      <c r="Y11" s="494" t="s">
        <v>901</v>
      </c>
      <c r="Z11" s="494" t="s">
        <v>902</v>
      </c>
      <c r="AA11" s="494" t="s">
        <v>882</v>
      </c>
      <c r="AB11" s="494" t="s">
        <v>960</v>
      </c>
    </row>
    <row r="12" spans="1:28" x14ac:dyDescent="0.25">
      <c r="A12" s="494" t="s">
        <v>318</v>
      </c>
      <c r="B12" s="494" t="s">
        <v>717</v>
      </c>
      <c r="D12" s="494" t="s">
        <v>381</v>
      </c>
      <c r="G12" s="494" t="s">
        <v>916</v>
      </c>
      <c r="H12" s="494" t="s">
        <v>686</v>
      </c>
      <c r="I12" s="494" t="s">
        <v>1059</v>
      </c>
      <c r="J12" s="494" t="s">
        <v>1060</v>
      </c>
      <c r="K12" s="494" t="s">
        <v>1061</v>
      </c>
      <c r="L12" s="494" t="s">
        <v>1062</v>
      </c>
      <c r="M12" s="494" t="s">
        <v>1063</v>
      </c>
      <c r="N12" s="494" t="s">
        <v>1045</v>
      </c>
      <c r="O12" s="494" t="s">
        <v>1046</v>
      </c>
      <c r="P12" s="494" t="s">
        <v>1047</v>
      </c>
      <c r="Q12" s="494" t="s">
        <v>1048</v>
      </c>
      <c r="R12" s="494" t="s">
        <v>1049</v>
      </c>
      <c r="S12" s="494" t="s">
        <v>1050</v>
      </c>
      <c r="T12" s="494" t="s">
        <v>1051</v>
      </c>
      <c r="V12" s="494" t="s">
        <v>1052</v>
      </c>
      <c r="W12" s="494" t="s">
        <v>1053</v>
      </c>
      <c r="X12" s="494" t="s">
        <v>786</v>
      </c>
      <c r="Y12" s="494" t="s">
        <v>901</v>
      </c>
      <c r="Z12" s="494" t="s">
        <v>902</v>
      </c>
      <c r="AA12" s="494" t="s">
        <v>882</v>
      </c>
      <c r="AB12" s="494" t="s">
        <v>960</v>
      </c>
    </row>
    <row r="13" spans="1:28" x14ac:dyDescent="0.25">
      <c r="A13" s="494" t="s">
        <v>321</v>
      </c>
      <c r="B13" s="494" t="s">
        <v>717</v>
      </c>
      <c r="G13" s="494" t="s">
        <v>917</v>
      </c>
      <c r="H13" s="494" t="s">
        <v>686</v>
      </c>
      <c r="I13" s="494" t="s">
        <v>1059</v>
      </c>
      <c r="J13" s="494" t="s">
        <v>1060</v>
      </c>
      <c r="K13" s="494" t="s">
        <v>1061</v>
      </c>
      <c r="L13" s="494" t="s">
        <v>1062</v>
      </c>
      <c r="M13" s="494" t="s">
        <v>1063</v>
      </c>
      <c r="N13" s="494" t="s">
        <v>1045</v>
      </c>
      <c r="O13" s="494" t="s">
        <v>1046</v>
      </c>
      <c r="P13" s="494" t="s">
        <v>1047</v>
      </c>
      <c r="Q13" s="494" t="s">
        <v>1048</v>
      </c>
      <c r="R13" s="494" t="s">
        <v>1049</v>
      </c>
      <c r="S13" s="494" t="s">
        <v>1050</v>
      </c>
      <c r="T13" s="494" t="s">
        <v>1051</v>
      </c>
      <c r="V13" s="494" t="s">
        <v>1052</v>
      </c>
      <c r="W13" s="494" t="s">
        <v>1053</v>
      </c>
      <c r="X13" s="494" t="s">
        <v>786</v>
      </c>
      <c r="Y13" s="494" t="s">
        <v>901</v>
      </c>
      <c r="Z13" s="494" t="s">
        <v>902</v>
      </c>
      <c r="AA13" s="494" t="s">
        <v>882</v>
      </c>
      <c r="AB13" s="494" t="s">
        <v>960</v>
      </c>
    </row>
    <row r="14" spans="1:28" x14ac:dyDescent="0.25">
      <c r="A14" s="494" t="s">
        <v>324</v>
      </c>
      <c r="B14" s="494" t="s">
        <v>717</v>
      </c>
      <c r="C14" s="494" t="s">
        <v>381</v>
      </c>
      <c r="G14" s="494" t="s">
        <v>918</v>
      </c>
      <c r="H14" s="494" t="s">
        <v>686</v>
      </c>
      <c r="I14" s="494" t="s">
        <v>1059</v>
      </c>
      <c r="J14" s="494" t="s">
        <v>1060</v>
      </c>
      <c r="K14" s="494" t="s">
        <v>1061</v>
      </c>
      <c r="L14" s="494" t="s">
        <v>1062</v>
      </c>
      <c r="M14" s="494" t="s">
        <v>1063</v>
      </c>
      <c r="N14" s="494" t="s">
        <v>1045</v>
      </c>
      <c r="O14" s="494" t="s">
        <v>1046</v>
      </c>
      <c r="P14" s="494" t="s">
        <v>1047</v>
      </c>
      <c r="Q14" s="494" t="s">
        <v>1048</v>
      </c>
      <c r="R14" s="494" t="s">
        <v>1049</v>
      </c>
      <c r="S14" s="494" t="s">
        <v>1050</v>
      </c>
      <c r="T14" s="494" t="s">
        <v>1051</v>
      </c>
      <c r="V14" s="494" t="s">
        <v>1052</v>
      </c>
      <c r="W14" s="494" t="s">
        <v>1053</v>
      </c>
      <c r="X14" s="494" t="s">
        <v>786</v>
      </c>
      <c r="Y14" s="494" t="s">
        <v>901</v>
      </c>
      <c r="Z14" s="494" t="s">
        <v>902</v>
      </c>
      <c r="AA14" s="494" t="s">
        <v>882</v>
      </c>
      <c r="AB14" s="494" t="s">
        <v>960</v>
      </c>
    </row>
    <row r="15" spans="1:28" x14ac:dyDescent="0.25">
      <c r="A15" s="494" t="s">
        <v>325</v>
      </c>
      <c r="B15" s="494" t="s">
        <v>717</v>
      </c>
      <c r="G15" s="494" t="s">
        <v>919</v>
      </c>
      <c r="H15" s="494" t="s">
        <v>686</v>
      </c>
      <c r="I15" s="494" t="s">
        <v>1059</v>
      </c>
      <c r="J15" s="494" t="s">
        <v>1060</v>
      </c>
      <c r="K15" s="494" t="s">
        <v>1061</v>
      </c>
      <c r="L15" s="494" t="s">
        <v>1062</v>
      </c>
      <c r="M15" s="494" t="s">
        <v>1063</v>
      </c>
      <c r="N15" s="494" t="s">
        <v>1045</v>
      </c>
      <c r="O15" s="494" t="s">
        <v>1046</v>
      </c>
      <c r="P15" s="494" t="s">
        <v>1047</v>
      </c>
      <c r="Q15" s="494" t="s">
        <v>1048</v>
      </c>
      <c r="R15" s="494" t="s">
        <v>1049</v>
      </c>
      <c r="S15" s="494" t="s">
        <v>1050</v>
      </c>
      <c r="T15" s="494" t="s">
        <v>1051</v>
      </c>
      <c r="V15" s="494" t="s">
        <v>1052</v>
      </c>
      <c r="W15" s="494" t="s">
        <v>1053</v>
      </c>
      <c r="X15" s="494" t="s">
        <v>786</v>
      </c>
      <c r="Y15" s="494" t="s">
        <v>901</v>
      </c>
      <c r="Z15" s="494" t="s">
        <v>902</v>
      </c>
      <c r="AA15" s="494" t="s">
        <v>882</v>
      </c>
      <c r="AB15" s="494" t="s">
        <v>960</v>
      </c>
    </row>
    <row r="16" spans="1:28" x14ac:dyDescent="0.25">
      <c r="A16" s="494" t="s">
        <v>357</v>
      </c>
      <c r="B16" s="494" t="s">
        <v>717</v>
      </c>
      <c r="G16" s="494" t="s">
        <v>920</v>
      </c>
      <c r="H16" s="494" t="s">
        <v>686</v>
      </c>
      <c r="I16" s="494" t="s">
        <v>1059</v>
      </c>
      <c r="J16" s="494" t="s">
        <v>1060</v>
      </c>
      <c r="K16" s="494" t="s">
        <v>1061</v>
      </c>
      <c r="L16" s="494" t="s">
        <v>1062</v>
      </c>
      <c r="M16" s="494" t="s">
        <v>1063</v>
      </c>
      <c r="N16" s="494" t="s">
        <v>1045</v>
      </c>
      <c r="O16" s="494" t="s">
        <v>1046</v>
      </c>
      <c r="P16" s="494" t="s">
        <v>1047</v>
      </c>
      <c r="Q16" s="494" t="s">
        <v>1048</v>
      </c>
      <c r="R16" s="494" t="s">
        <v>1049</v>
      </c>
      <c r="S16" s="494" t="s">
        <v>1050</v>
      </c>
      <c r="T16" s="494" t="s">
        <v>1051</v>
      </c>
      <c r="V16" s="494" t="s">
        <v>1052</v>
      </c>
      <c r="W16" s="494" t="s">
        <v>1053</v>
      </c>
      <c r="X16" s="494" t="s">
        <v>786</v>
      </c>
      <c r="Y16" s="494" t="s">
        <v>901</v>
      </c>
      <c r="Z16" s="494" t="s">
        <v>902</v>
      </c>
      <c r="AA16" s="494" t="s">
        <v>882</v>
      </c>
      <c r="AB16" s="494" t="s">
        <v>960</v>
      </c>
    </row>
    <row r="17" spans="1:28" x14ac:dyDescent="0.25">
      <c r="A17" s="494" t="s">
        <v>358</v>
      </c>
      <c r="G17" s="494" t="s">
        <v>921</v>
      </c>
      <c r="H17" s="494" t="s">
        <v>686</v>
      </c>
      <c r="I17" s="494" t="s">
        <v>1059</v>
      </c>
      <c r="J17" s="494" t="s">
        <v>1060</v>
      </c>
      <c r="K17" s="494" t="s">
        <v>1061</v>
      </c>
      <c r="L17" s="494" t="s">
        <v>1062</v>
      </c>
      <c r="M17" s="494" t="s">
        <v>1063</v>
      </c>
      <c r="N17" s="494" t="s">
        <v>1045</v>
      </c>
      <c r="O17" s="494" t="s">
        <v>1046</v>
      </c>
      <c r="P17" s="494" t="s">
        <v>1047</v>
      </c>
      <c r="Q17" s="494" t="s">
        <v>1048</v>
      </c>
      <c r="R17" s="494" t="s">
        <v>1049</v>
      </c>
      <c r="S17" s="494" t="s">
        <v>1050</v>
      </c>
      <c r="T17" s="494" t="s">
        <v>1051</v>
      </c>
      <c r="V17" s="494" t="s">
        <v>1052</v>
      </c>
      <c r="W17" s="494" t="s">
        <v>1053</v>
      </c>
      <c r="X17" s="494" t="s">
        <v>786</v>
      </c>
      <c r="Y17" s="494" t="s">
        <v>901</v>
      </c>
      <c r="Z17" s="494" t="s">
        <v>902</v>
      </c>
      <c r="AA17" s="494" t="s">
        <v>882</v>
      </c>
      <c r="AB17" s="494" t="s">
        <v>960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F16CD-D14D-42D6-A957-17666B1DA259}">
  <dimension ref="A1:AB17"/>
  <sheetViews>
    <sheetView workbookViewId="0">
      <selection sqref="A1:XFD1"/>
    </sheetView>
  </sheetViews>
  <sheetFormatPr defaultRowHeight="15" x14ac:dyDescent="0.25"/>
  <cols>
    <col min="1" max="1" width="15.5703125" style="494" customWidth="1"/>
    <col min="2" max="2" width="25.85546875" style="494" bestFit="1" customWidth="1"/>
    <col min="3" max="3" width="19.28515625" style="494" customWidth="1"/>
    <col min="4" max="4" width="22.5703125" style="494" customWidth="1"/>
    <col min="5" max="5" width="20" style="494" customWidth="1"/>
    <col min="6" max="7" width="17.42578125" style="494" customWidth="1"/>
    <col min="8" max="8" width="18.85546875" style="494" customWidth="1"/>
    <col min="9" max="10" width="19.42578125" style="494" customWidth="1"/>
    <col min="11" max="11" width="18.140625" style="494" customWidth="1"/>
    <col min="12" max="12" width="22.5703125" style="494" customWidth="1"/>
    <col min="13" max="13" width="22.42578125" style="494" customWidth="1"/>
    <col min="14" max="14" width="17.140625" style="494" customWidth="1"/>
    <col min="15" max="15" width="22.7109375" style="494" bestFit="1" customWidth="1"/>
    <col min="16" max="16" width="17.5703125" style="494" customWidth="1"/>
    <col min="17" max="18" width="15.28515625" style="494" customWidth="1"/>
    <col min="19" max="19" width="18.42578125" style="494" customWidth="1"/>
    <col min="20" max="20" width="22.85546875" style="494" bestFit="1" customWidth="1"/>
    <col min="21" max="21" width="18.85546875" style="494" customWidth="1"/>
    <col min="22" max="23" width="16.5703125" style="494" customWidth="1"/>
    <col min="24" max="24" width="17.140625" style="494" customWidth="1"/>
    <col min="25" max="25" width="21.7109375" style="494" bestFit="1" customWidth="1"/>
    <col min="26" max="27" width="15.42578125" style="494" customWidth="1"/>
    <col min="28" max="28" width="13.7109375" style="494" bestFit="1" customWidth="1"/>
    <col min="29" max="16384" width="9.140625" style="494"/>
  </cols>
  <sheetData>
    <row r="1" spans="1:28" x14ac:dyDescent="0.25">
      <c r="A1" s="494" t="s">
        <v>873</v>
      </c>
      <c r="B1" s="494" t="s">
        <v>874</v>
      </c>
      <c r="C1" s="494" t="s">
        <v>875</v>
      </c>
      <c r="D1" s="494" t="s">
        <v>876</v>
      </c>
      <c r="E1" s="494" t="s">
        <v>877</v>
      </c>
      <c r="F1" s="494" t="s">
        <v>878</v>
      </c>
      <c r="G1" s="494" t="s">
        <v>905</v>
      </c>
      <c r="H1" s="494" t="s">
        <v>872</v>
      </c>
      <c r="I1" s="494" t="s">
        <v>978</v>
      </c>
      <c r="J1" s="494" t="s">
        <v>971</v>
      </c>
      <c r="K1" s="494" t="s">
        <v>885</v>
      </c>
      <c r="L1" s="494" t="s">
        <v>884</v>
      </c>
      <c r="M1" s="494" t="s">
        <v>886</v>
      </c>
      <c r="N1" s="494" t="s">
        <v>888</v>
      </c>
      <c r="O1" s="494" t="s">
        <v>889</v>
      </c>
      <c r="P1" s="494" t="s">
        <v>890</v>
      </c>
      <c r="Q1" s="494" t="s">
        <v>891</v>
      </c>
      <c r="R1" s="494" t="s">
        <v>959</v>
      </c>
      <c r="S1" s="494" t="s">
        <v>892</v>
      </c>
      <c r="T1" s="494" t="s">
        <v>893</v>
      </c>
      <c r="U1" s="494" t="s">
        <v>896</v>
      </c>
      <c r="V1" s="494" t="s">
        <v>897</v>
      </c>
      <c r="W1" s="494" t="s">
        <v>958</v>
      </c>
      <c r="X1" s="494" t="s">
        <v>898</v>
      </c>
      <c r="Y1" s="494" t="s">
        <v>900</v>
      </c>
      <c r="Z1" s="494" t="s">
        <v>939</v>
      </c>
      <c r="AA1" s="494" t="s">
        <v>899</v>
      </c>
      <c r="AB1" s="494" t="s">
        <v>957</v>
      </c>
    </row>
    <row r="2" spans="1:28" ht="15" customHeight="1" x14ac:dyDescent="0.25">
      <c r="A2" s="494" t="s">
        <v>343</v>
      </c>
      <c r="G2" s="494" t="s">
        <v>906</v>
      </c>
      <c r="H2" s="494" t="s">
        <v>686</v>
      </c>
      <c r="I2" s="494" t="s">
        <v>1064</v>
      </c>
      <c r="J2" s="494" t="s">
        <v>1065</v>
      </c>
      <c r="K2" s="494" t="s">
        <v>1066</v>
      </c>
      <c r="L2" s="494" t="s">
        <v>1067</v>
      </c>
      <c r="M2" s="494" t="s">
        <v>1068</v>
      </c>
      <c r="N2" s="494" t="s">
        <v>1045</v>
      </c>
      <c r="O2" s="494" t="s">
        <v>1046</v>
      </c>
      <c r="P2" s="494" t="s">
        <v>1047</v>
      </c>
      <c r="Q2" s="494" t="s">
        <v>1048</v>
      </c>
      <c r="R2" s="494" t="s">
        <v>1049</v>
      </c>
      <c r="S2" s="494" t="s">
        <v>1050</v>
      </c>
      <c r="T2" s="494" t="s">
        <v>1051</v>
      </c>
      <c r="V2" s="494" t="s">
        <v>1052</v>
      </c>
      <c r="W2" s="494" t="s">
        <v>1053</v>
      </c>
      <c r="X2" s="494" t="s">
        <v>786</v>
      </c>
      <c r="Y2" s="494" t="s">
        <v>901</v>
      </c>
      <c r="Z2" s="494" t="s">
        <v>902</v>
      </c>
      <c r="AA2" s="494" t="s">
        <v>882</v>
      </c>
      <c r="AB2" s="494" t="s">
        <v>960</v>
      </c>
    </row>
    <row r="3" spans="1:28" ht="15" customHeight="1" x14ac:dyDescent="0.25">
      <c r="A3" s="494" t="s">
        <v>349</v>
      </c>
      <c r="G3" s="494" t="s">
        <v>907</v>
      </c>
      <c r="H3" s="494" t="s">
        <v>686</v>
      </c>
      <c r="I3" s="494" t="s">
        <v>1064</v>
      </c>
      <c r="J3" s="494" t="s">
        <v>1065</v>
      </c>
      <c r="K3" s="494" t="s">
        <v>1066</v>
      </c>
      <c r="L3" s="494" t="s">
        <v>1067</v>
      </c>
      <c r="M3" s="494" t="s">
        <v>1068</v>
      </c>
      <c r="N3" s="494" t="s">
        <v>1045</v>
      </c>
      <c r="O3" s="494" t="s">
        <v>1046</v>
      </c>
      <c r="P3" s="494" t="s">
        <v>1047</v>
      </c>
      <c r="Q3" s="494" t="s">
        <v>1048</v>
      </c>
      <c r="R3" s="494" t="s">
        <v>1049</v>
      </c>
      <c r="S3" s="494" t="s">
        <v>1050</v>
      </c>
      <c r="T3" s="494" t="s">
        <v>1051</v>
      </c>
      <c r="V3" s="494" t="s">
        <v>1052</v>
      </c>
      <c r="W3" s="494" t="s">
        <v>1053</v>
      </c>
      <c r="X3" s="494" t="s">
        <v>786</v>
      </c>
      <c r="Y3" s="494" t="s">
        <v>901</v>
      </c>
      <c r="Z3" s="494" t="s">
        <v>902</v>
      </c>
      <c r="AA3" s="494" t="s">
        <v>882</v>
      </c>
      <c r="AB3" s="494" t="s">
        <v>960</v>
      </c>
    </row>
    <row r="4" spans="1:28" ht="15" customHeight="1" x14ac:dyDescent="0.25">
      <c r="A4" s="494" t="s">
        <v>305</v>
      </c>
      <c r="G4" s="494" t="s">
        <v>908</v>
      </c>
      <c r="H4" s="494" t="s">
        <v>686</v>
      </c>
      <c r="I4" s="494" t="s">
        <v>1064</v>
      </c>
      <c r="J4" s="494" t="s">
        <v>1065</v>
      </c>
      <c r="K4" s="494" t="s">
        <v>1066</v>
      </c>
      <c r="L4" s="494" t="s">
        <v>1067</v>
      </c>
      <c r="M4" s="494" t="s">
        <v>1068</v>
      </c>
      <c r="N4" s="494" t="s">
        <v>1045</v>
      </c>
      <c r="O4" s="494" t="s">
        <v>1046</v>
      </c>
      <c r="P4" s="494" t="s">
        <v>1047</v>
      </c>
      <c r="Q4" s="494" t="s">
        <v>1048</v>
      </c>
      <c r="R4" s="494" t="s">
        <v>1049</v>
      </c>
      <c r="S4" s="494" t="s">
        <v>1050</v>
      </c>
      <c r="T4" s="494" t="s">
        <v>1051</v>
      </c>
      <c r="V4" s="494" t="s">
        <v>1052</v>
      </c>
      <c r="W4" s="494" t="s">
        <v>1053</v>
      </c>
      <c r="X4" s="494" t="s">
        <v>786</v>
      </c>
      <c r="Y4" s="494" t="s">
        <v>901</v>
      </c>
      <c r="Z4" s="494" t="s">
        <v>902</v>
      </c>
      <c r="AA4" s="494" t="s">
        <v>882</v>
      </c>
      <c r="AB4" s="494" t="s">
        <v>960</v>
      </c>
    </row>
    <row r="5" spans="1:28" ht="15" customHeight="1" x14ac:dyDescent="0.25">
      <c r="A5" s="494" t="s">
        <v>308</v>
      </c>
      <c r="B5" s="494" t="s">
        <v>710</v>
      </c>
      <c r="G5" s="494" t="s">
        <v>909</v>
      </c>
      <c r="H5" s="494" t="s">
        <v>686</v>
      </c>
      <c r="I5" s="494" t="s">
        <v>1064</v>
      </c>
      <c r="J5" s="494" t="s">
        <v>1065</v>
      </c>
      <c r="K5" s="494" t="s">
        <v>1066</v>
      </c>
      <c r="L5" s="494" t="s">
        <v>1067</v>
      </c>
      <c r="M5" s="494" t="s">
        <v>1068</v>
      </c>
      <c r="N5" s="494" t="s">
        <v>1045</v>
      </c>
      <c r="O5" s="494" t="s">
        <v>1046</v>
      </c>
      <c r="P5" s="494" t="s">
        <v>1047</v>
      </c>
      <c r="Q5" s="494" t="s">
        <v>1048</v>
      </c>
      <c r="R5" s="494" t="s">
        <v>1049</v>
      </c>
      <c r="S5" s="494" t="s">
        <v>1050</v>
      </c>
      <c r="T5" s="494" t="s">
        <v>1051</v>
      </c>
      <c r="V5" s="494" t="s">
        <v>1052</v>
      </c>
      <c r="W5" s="494" t="s">
        <v>1053</v>
      </c>
      <c r="X5" s="494" t="s">
        <v>786</v>
      </c>
      <c r="Y5" s="494" t="s">
        <v>901</v>
      </c>
      <c r="Z5" s="494" t="s">
        <v>902</v>
      </c>
      <c r="AA5" s="494" t="s">
        <v>882</v>
      </c>
      <c r="AB5" s="494" t="s">
        <v>960</v>
      </c>
    </row>
    <row r="6" spans="1:28" x14ac:dyDescent="0.25">
      <c r="A6" s="494" t="s">
        <v>310</v>
      </c>
      <c r="B6" s="494" t="s">
        <v>710</v>
      </c>
      <c r="G6" s="494" t="s">
        <v>910</v>
      </c>
      <c r="H6" s="494" t="s">
        <v>686</v>
      </c>
      <c r="I6" s="494" t="s">
        <v>1064</v>
      </c>
      <c r="J6" s="494" t="s">
        <v>1065</v>
      </c>
      <c r="K6" s="494" t="s">
        <v>1066</v>
      </c>
      <c r="L6" s="494" t="s">
        <v>1067</v>
      </c>
      <c r="M6" s="494" t="s">
        <v>1068</v>
      </c>
      <c r="N6" s="494" t="s">
        <v>1045</v>
      </c>
      <c r="O6" s="494" t="s">
        <v>1046</v>
      </c>
      <c r="P6" s="494" t="s">
        <v>1047</v>
      </c>
      <c r="Q6" s="494" t="s">
        <v>1048</v>
      </c>
      <c r="R6" s="494" t="s">
        <v>1049</v>
      </c>
      <c r="S6" s="494" t="s">
        <v>1050</v>
      </c>
      <c r="T6" s="494" t="s">
        <v>1051</v>
      </c>
      <c r="V6" s="494" t="s">
        <v>1052</v>
      </c>
      <c r="W6" s="494" t="s">
        <v>1053</v>
      </c>
      <c r="X6" s="494" t="s">
        <v>786</v>
      </c>
      <c r="Y6" s="494" t="s">
        <v>901</v>
      </c>
      <c r="Z6" s="494" t="s">
        <v>902</v>
      </c>
      <c r="AA6" s="494" t="s">
        <v>882</v>
      </c>
      <c r="AB6" s="494" t="s">
        <v>960</v>
      </c>
    </row>
    <row r="7" spans="1:28" x14ac:dyDescent="0.25">
      <c r="A7" s="494" t="s">
        <v>312</v>
      </c>
      <c r="B7" s="494" t="s">
        <v>710</v>
      </c>
      <c r="G7" s="494" t="s">
        <v>911</v>
      </c>
      <c r="H7" s="494" t="s">
        <v>686</v>
      </c>
      <c r="I7" s="494" t="s">
        <v>1064</v>
      </c>
      <c r="J7" s="494" t="s">
        <v>1065</v>
      </c>
      <c r="K7" s="494" t="s">
        <v>1066</v>
      </c>
      <c r="L7" s="494" t="s">
        <v>1067</v>
      </c>
      <c r="M7" s="494" t="s">
        <v>1068</v>
      </c>
      <c r="N7" s="494" t="s">
        <v>1045</v>
      </c>
      <c r="O7" s="494" t="s">
        <v>1046</v>
      </c>
      <c r="P7" s="494" t="s">
        <v>1047</v>
      </c>
      <c r="Q7" s="494" t="s">
        <v>1048</v>
      </c>
      <c r="R7" s="494" t="s">
        <v>1049</v>
      </c>
      <c r="S7" s="494" t="s">
        <v>1050</v>
      </c>
      <c r="T7" s="494" t="s">
        <v>1051</v>
      </c>
      <c r="V7" s="494" t="s">
        <v>1052</v>
      </c>
      <c r="W7" s="494" t="s">
        <v>1053</v>
      </c>
      <c r="X7" s="494" t="s">
        <v>786</v>
      </c>
      <c r="Y7" s="494" t="s">
        <v>901</v>
      </c>
      <c r="Z7" s="494" t="s">
        <v>902</v>
      </c>
      <c r="AA7" s="494" t="s">
        <v>882</v>
      </c>
      <c r="AB7" s="494" t="s">
        <v>960</v>
      </c>
    </row>
    <row r="8" spans="1:28" x14ac:dyDescent="0.25">
      <c r="A8" s="494" t="s">
        <v>315</v>
      </c>
      <c r="B8" s="494" t="s">
        <v>710</v>
      </c>
      <c r="G8" s="494" t="s">
        <v>912</v>
      </c>
      <c r="H8" s="494" t="s">
        <v>686</v>
      </c>
      <c r="I8" s="494" t="s">
        <v>1064</v>
      </c>
      <c r="J8" s="494" t="s">
        <v>1065</v>
      </c>
      <c r="K8" s="494" t="s">
        <v>1066</v>
      </c>
      <c r="L8" s="494" t="s">
        <v>1067</v>
      </c>
      <c r="M8" s="494" t="s">
        <v>1068</v>
      </c>
      <c r="N8" s="494" t="s">
        <v>1045</v>
      </c>
      <c r="O8" s="494" t="s">
        <v>1046</v>
      </c>
      <c r="P8" s="494" t="s">
        <v>1047</v>
      </c>
      <c r="Q8" s="494" t="s">
        <v>1048</v>
      </c>
      <c r="R8" s="494" t="s">
        <v>1049</v>
      </c>
      <c r="S8" s="494" t="s">
        <v>1050</v>
      </c>
      <c r="T8" s="494" t="s">
        <v>1051</v>
      </c>
      <c r="V8" s="494" t="s">
        <v>1052</v>
      </c>
      <c r="W8" s="494" t="s">
        <v>1053</v>
      </c>
      <c r="X8" s="494" t="s">
        <v>786</v>
      </c>
      <c r="Y8" s="494" t="s">
        <v>901</v>
      </c>
      <c r="Z8" s="494" t="s">
        <v>902</v>
      </c>
      <c r="AA8" s="494" t="s">
        <v>882</v>
      </c>
      <c r="AB8" s="494" t="s">
        <v>960</v>
      </c>
    </row>
    <row r="9" spans="1:28" x14ac:dyDescent="0.25">
      <c r="A9" s="494" t="s">
        <v>352</v>
      </c>
      <c r="B9" s="494" t="s">
        <v>710</v>
      </c>
      <c r="G9" s="494" t="s">
        <v>913</v>
      </c>
      <c r="H9" s="494" t="s">
        <v>686</v>
      </c>
      <c r="I9" s="494" t="s">
        <v>1064</v>
      </c>
      <c r="J9" s="494" t="s">
        <v>1065</v>
      </c>
      <c r="K9" s="494" t="s">
        <v>1066</v>
      </c>
      <c r="L9" s="494" t="s">
        <v>1067</v>
      </c>
      <c r="M9" s="494" t="s">
        <v>1068</v>
      </c>
      <c r="N9" s="494" t="s">
        <v>1045</v>
      </c>
      <c r="O9" s="494" t="s">
        <v>1046</v>
      </c>
      <c r="P9" s="494" t="s">
        <v>1047</v>
      </c>
      <c r="Q9" s="494" t="s">
        <v>1048</v>
      </c>
      <c r="R9" s="494" t="s">
        <v>1049</v>
      </c>
      <c r="S9" s="494" t="s">
        <v>1050</v>
      </c>
      <c r="T9" s="494" t="s">
        <v>1051</v>
      </c>
      <c r="V9" s="494" t="s">
        <v>1052</v>
      </c>
      <c r="W9" s="494" t="s">
        <v>1053</v>
      </c>
      <c r="X9" s="494" t="s">
        <v>786</v>
      </c>
      <c r="Y9" s="494" t="s">
        <v>901</v>
      </c>
      <c r="Z9" s="494" t="s">
        <v>902</v>
      </c>
      <c r="AA9" s="494" t="s">
        <v>882</v>
      </c>
      <c r="AB9" s="494" t="s">
        <v>960</v>
      </c>
    </row>
    <row r="10" spans="1:28" ht="15" customHeight="1" x14ac:dyDescent="0.25">
      <c r="A10" s="494" t="s">
        <v>353</v>
      </c>
      <c r="B10" s="494" t="s">
        <v>354</v>
      </c>
      <c r="G10" s="494" t="s">
        <v>914</v>
      </c>
      <c r="H10" s="494" t="s">
        <v>686</v>
      </c>
      <c r="I10" s="494" t="s">
        <v>1064</v>
      </c>
      <c r="J10" s="494" t="s">
        <v>1065</v>
      </c>
      <c r="K10" s="494" t="s">
        <v>1066</v>
      </c>
      <c r="L10" s="494" t="s">
        <v>1067</v>
      </c>
      <c r="M10" s="494" t="s">
        <v>1068</v>
      </c>
      <c r="N10" s="494" t="s">
        <v>1045</v>
      </c>
      <c r="O10" s="494" t="s">
        <v>1046</v>
      </c>
      <c r="P10" s="494" t="s">
        <v>1047</v>
      </c>
      <c r="Q10" s="494" t="s">
        <v>1048</v>
      </c>
      <c r="R10" s="494" t="s">
        <v>1049</v>
      </c>
      <c r="S10" s="494" t="s">
        <v>1050</v>
      </c>
      <c r="T10" s="494" t="s">
        <v>1051</v>
      </c>
      <c r="V10" s="494" t="s">
        <v>1052</v>
      </c>
      <c r="W10" s="494" t="s">
        <v>1053</v>
      </c>
      <c r="X10" s="494" t="s">
        <v>786</v>
      </c>
      <c r="Y10" s="494" t="s">
        <v>901</v>
      </c>
      <c r="Z10" s="494" t="s">
        <v>902</v>
      </c>
      <c r="AA10" s="494" t="s">
        <v>882</v>
      </c>
      <c r="AB10" s="494" t="s">
        <v>960</v>
      </c>
    </row>
    <row r="11" spans="1:28" ht="15.75" customHeight="1" x14ac:dyDescent="0.25">
      <c r="A11" s="494" t="s">
        <v>355</v>
      </c>
      <c r="G11" s="494" t="s">
        <v>915</v>
      </c>
      <c r="H11" s="494" t="s">
        <v>686</v>
      </c>
      <c r="I11" s="494" t="s">
        <v>1064</v>
      </c>
      <c r="J11" s="494" t="s">
        <v>1065</v>
      </c>
      <c r="K11" s="494" t="s">
        <v>1066</v>
      </c>
      <c r="L11" s="494" t="s">
        <v>1067</v>
      </c>
      <c r="M11" s="494" t="s">
        <v>1068</v>
      </c>
      <c r="N11" s="494" t="s">
        <v>1045</v>
      </c>
      <c r="O11" s="494" t="s">
        <v>1046</v>
      </c>
      <c r="P11" s="494" t="s">
        <v>1047</v>
      </c>
      <c r="Q11" s="494" t="s">
        <v>1048</v>
      </c>
      <c r="R11" s="494" t="s">
        <v>1049</v>
      </c>
      <c r="S11" s="494" t="s">
        <v>1050</v>
      </c>
      <c r="T11" s="494" t="s">
        <v>1051</v>
      </c>
      <c r="V11" s="494" t="s">
        <v>1052</v>
      </c>
      <c r="W11" s="494" t="s">
        <v>1053</v>
      </c>
      <c r="X11" s="494" t="s">
        <v>786</v>
      </c>
      <c r="Y11" s="494" t="s">
        <v>901</v>
      </c>
      <c r="Z11" s="494" t="s">
        <v>902</v>
      </c>
      <c r="AA11" s="494" t="s">
        <v>882</v>
      </c>
      <c r="AB11" s="494" t="s">
        <v>960</v>
      </c>
    </row>
    <row r="12" spans="1:28" x14ac:dyDescent="0.25">
      <c r="A12" s="494" t="s">
        <v>318</v>
      </c>
      <c r="C12" s="494" t="s">
        <v>718</v>
      </c>
      <c r="D12" s="494" t="s">
        <v>718</v>
      </c>
      <c r="G12" s="494" t="s">
        <v>916</v>
      </c>
      <c r="H12" s="494" t="s">
        <v>686</v>
      </c>
      <c r="I12" s="494" t="s">
        <v>1064</v>
      </c>
      <c r="J12" s="494" t="s">
        <v>1065</v>
      </c>
      <c r="K12" s="494" t="s">
        <v>1066</v>
      </c>
      <c r="L12" s="494" t="s">
        <v>1067</v>
      </c>
      <c r="M12" s="494" t="s">
        <v>1068</v>
      </c>
      <c r="N12" s="494" t="s">
        <v>1045</v>
      </c>
      <c r="O12" s="494" t="s">
        <v>1046</v>
      </c>
      <c r="P12" s="494" t="s">
        <v>1047</v>
      </c>
      <c r="Q12" s="494" t="s">
        <v>1048</v>
      </c>
      <c r="R12" s="494" t="s">
        <v>1049</v>
      </c>
      <c r="S12" s="494" t="s">
        <v>1050</v>
      </c>
      <c r="T12" s="494" t="s">
        <v>1051</v>
      </c>
      <c r="V12" s="494" t="s">
        <v>1052</v>
      </c>
      <c r="W12" s="494" t="s">
        <v>1053</v>
      </c>
      <c r="X12" s="494" t="s">
        <v>786</v>
      </c>
      <c r="Y12" s="494" t="s">
        <v>901</v>
      </c>
      <c r="Z12" s="494" t="s">
        <v>902</v>
      </c>
      <c r="AA12" s="494" t="s">
        <v>882</v>
      </c>
      <c r="AB12" s="494" t="s">
        <v>960</v>
      </c>
    </row>
    <row r="13" spans="1:28" x14ac:dyDescent="0.25">
      <c r="A13" s="494" t="s">
        <v>321</v>
      </c>
      <c r="C13" s="494" t="s">
        <v>718</v>
      </c>
      <c r="D13" s="494" t="s">
        <v>718</v>
      </c>
      <c r="G13" s="494" t="s">
        <v>917</v>
      </c>
      <c r="H13" s="494" t="s">
        <v>686</v>
      </c>
      <c r="I13" s="494" t="s">
        <v>1064</v>
      </c>
      <c r="J13" s="494" t="s">
        <v>1065</v>
      </c>
      <c r="K13" s="494" t="s">
        <v>1066</v>
      </c>
      <c r="L13" s="494" t="s">
        <v>1067</v>
      </c>
      <c r="M13" s="494" t="s">
        <v>1068</v>
      </c>
      <c r="N13" s="494" t="s">
        <v>1045</v>
      </c>
      <c r="O13" s="494" t="s">
        <v>1046</v>
      </c>
      <c r="P13" s="494" t="s">
        <v>1047</v>
      </c>
      <c r="Q13" s="494" t="s">
        <v>1048</v>
      </c>
      <c r="R13" s="494" t="s">
        <v>1049</v>
      </c>
      <c r="S13" s="494" t="s">
        <v>1050</v>
      </c>
      <c r="T13" s="494" t="s">
        <v>1051</v>
      </c>
      <c r="V13" s="494" t="s">
        <v>1052</v>
      </c>
      <c r="W13" s="494" t="s">
        <v>1053</v>
      </c>
      <c r="X13" s="494" t="s">
        <v>786</v>
      </c>
      <c r="Y13" s="494" t="s">
        <v>901</v>
      </c>
      <c r="Z13" s="494" t="s">
        <v>902</v>
      </c>
      <c r="AA13" s="494" t="s">
        <v>882</v>
      </c>
      <c r="AB13" s="494" t="s">
        <v>960</v>
      </c>
    </row>
    <row r="14" spans="1:28" x14ac:dyDescent="0.25">
      <c r="A14" s="494" t="s">
        <v>324</v>
      </c>
      <c r="C14" s="494" t="s">
        <v>718</v>
      </c>
      <c r="D14" s="494" t="s">
        <v>718</v>
      </c>
      <c r="G14" s="494" t="s">
        <v>918</v>
      </c>
      <c r="H14" s="494" t="s">
        <v>686</v>
      </c>
      <c r="I14" s="494" t="s">
        <v>1064</v>
      </c>
      <c r="J14" s="494" t="s">
        <v>1065</v>
      </c>
      <c r="K14" s="494" t="s">
        <v>1066</v>
      </c>
      <c r="L14" s="494" t="s">
        <v>1067</v>
      </c>
      <c r="M14" s="494" t="s">
        <v>1068</v>
      </c>
      <c r="N14" s="494" t="s">
        <v>1045</v>
      </c>
      <c r="O14" s="494" t="s">
        <v>1046</v>
      </c>
      <c r="P14" s="494" t="s">
        <v>1047</v>
      </c>
      <c r="Q14" s="494" t="s">
        <v>1048</v>
      </c>
      <c r="R14" s="494" t="s">
        <v>1049</v>
      </c>
      <c r="S14" s="494" t="s">
        <v>1050</v>
      </c>
      <c r="T14" s="494" t="s">
        <v>1051</v>
      </c>
      <c r="V14" s="494" t="s">
        <v>1052</v>
      </c>
      <c r="W14" s="494" t="s">
        <v>1053</v>
      </c>
      <c r="X14" s="494" t="s">
        <v>786</v>
      </c>
      <c r="Y14" s="494" t="s">
        <v>901</v>
      </c>
      <c r="Z14" s="494" t="s">
        <v>902</v>
      </c>
      <c r="AA14" s="494" t="s">
        <v>882</v>
      </c>
      <c r="AB14" s="494" t="s">
        <v>960</v>
      </c>
    </row>
    <row r="15" spans="1:28" x14ac:dyDescent="0.25">
      <c r="A15" s="494" t="s">
        <v>325</v>
      </c>
      <c r="C15" s="494" t="s">
        <v>718</v>
      </c>
      <c r="D15" s="494" t="s">
        <v>718</v>
      </c>
      <c r="G15" s="494" t="s">
        <v>919</v>
      </c>
      <c r="H15" s="494" t="s">
        <v>686</v>
      </c>
      <c r="I15" s="494" t="s">
        <v>1064</v>
      </c>
      <c r="J15" s="494" t="s">
        <v>1065</v>
      </c>
      <c r="K15" s="494" t="s">
        <v>1066</v>
      </c>
      <c r="L15" s="494" t="s">
        <v>1067</v>
      </c>
      <c r="M15" s="494" t="s">
        <v>1068</v>
      </c>
      <c r="N15" s="494" t="s">
        <v>1045</v>
      </c>
      <c r="O15" s="494" t="s">
        <v>1046</v>
      </c>
      <c r="P15" s="494" t="s">
        <v>1047</v>
      </c>
      <c r="Q15" s="494" t="s">
        <v>1048</v>
      </c>
      <c r="R15" s="494" t="s">
        <v>1049</v>
      </c>
      <c r="S15" s="494" t="s">
        <v>1050</v>
      </c>
      <c r="T15" s="494" t="s">
        <v>1051</v>
      </c>
      <c r="V15" s="494" t="s">
        <v>1052</v>
      </c>
      <c r="W15" s="494" t="s">
        <v>1053</v>
      </c>
      <c r="X15" s="494" t="s">
        <v>786</v>
      </c>
      <c r="Y15" s="494" t="s">
        <v>901</v>
      </c>
      <c r="Z15" s="494" t="s">
        <v>902</v>
      </c>
      <c r="AA15" s="494" t="s">
        <v>882</v>
      </c>
      <c r="AB15" s="494" t="s">
        <v>960</v>
      </c>
    </row>
    <row r="16" spans="1:28" x14ac:dyDescent="0.25">
      <c r="A16" s="494" t="s">
        <v>357</v>
      </c>
      <c r="C16" s="494" t="s">
        <v>718</v>
      </c>
      <c r="D16" s="494" t="s">
        <v>718</v>
      </c>
      <c r="G16" s="494" t="s">
        <v>920</v>
      </c>
      <c r="H16" s="494" t="s">
        <v>686</v>
      </c>
      <c r="I16" s="494" t="s">
        <v>1064</v>
      </c>
      <c r="J16" s="494" t="s">
        <v>1065</v>
      </c>
      <c r="K16" s="494" t="s">
        <v>1066</v>
      </c>
      <c r="L16" s="494" t="s">
        <v>1067</v>
      </c>
      <c r="M16" s="494" t="s">
        <v>1068</v>
      </c>
      <c r="N16" s="494" t="s">
        <v>1045</v>
      </c>
      <c r="O16" s="494" t="s">
        <v>1046</v>
      </c>
      <c r="P16" s="494" t="s">
        <v>1047</v>
      </c>
      <c r="Q16" s="494" t="s">
        <v>1048</v>
      </c>
      <c r="R16" s="494" t="s">
        <v>1049</v>
      </c>
      <c r="S16" s="494" t="s">
        <v>1050</v>
      </c>
      <c r="T16" s="494" t="s">
        <v>1051</v>
      </c>
      <c r="V16" s="494" t="s">
        <v>1052</v>
      </c>
      <c r="W16" s="494" t="s">
        <v>1053</v>
      </c>
      <c r="X16" s="494" t="s">
        <v>786</v>
      </c>
      <c r="Y16" s="494" t="s">
        <v>901</v>
      </c>
      <c r="Z16" s="494" t="s">
        <v>902</v>
      </c>
      <c r="AA16" s="494" t="s">
        <v>882</v>
      </c>
      <c r="AB16" s="494" t="s">
        <v>960</v>
      </c>
    </row>
    <row r="17" spans="1:28" x14ac:dyDescent="0.25">
      <c r="A17" s="494" t="s">
        <v>358</v>
      </c>
      <c r="C17" s="494" t="s">
        <v>718</v>
      </c>
      <c r="D17" s="494" t="s">
        <v>718</v>
      </c>
      <c r="G17" s="494" t="s">
        <v>921</v>
      </c>
      <c r="H17" s="494" t="s">
        <v>686</v>
      </c>
      <c r="I17" s="494" t="s">
        <v>1064</v>
      </c>
      <c r="J17" s="494" t="s">
        <v>1065</v>
      </c>
      <c r="K17" s="494" t="s">
        <v>1066</v>
      </c>
      <c r="L17" s="494" t="s">
        <v>1067</v>
      </c>
      <c r="M17" s="494" t="s">
        <v>1068</v>
      </c>
      <c r="N17" s="494" t="s">
        <v>1045</v>
      </c>
      <c r="O17" s="494" t="s">
        <v>1046</v>
      </c>
      <c r="P17" s="494" t="s">
        <v>1047</v>
      </c>
      <c r="Q17" s="494" t="s">
        <v>1048</v>
      </c>
      <c r="R17" s="494" t="s">
        <v>1049</v>
      </c>
      <c r="S17" s="494" t="s">
        <v>1050</v>
      </c>
      <c r="T17" s="494" t="s">
        <v>1051</v>
      </c>
      <c r="V17" s="494" t="s">
        <v>1052</v>
      </c>
      <c r="W17" s="494" t="s">
        <v>1053</v>
      </c>
      <c r="X17" s="494" t="s">
        <v>786</v>
      </c>
      <c r="Y17" s="494" t="s">
        <v>901</v>
      </c>
      <c r="Z17" s="494" t="s">
        <v>902</v>
      </c>
      <c r="AA17" s="494" t="s">
        <v>882</v>
      </c>
      <c r="AB17" s="494" t="s">
        <v>960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03C73-E243-425C-8A69-FC0A67F081D6}">
  <sheetPr codeName="Sheet4"/>
  <dimension ref="A1:AD184"/>
  <sheetViews>
    <sheetView zoomScale="60" zoomScaleNormal="60" workbookViewId="0">
      <selection activeCell="B25" sqref="B25"/>
    </sheetView>
  </sheetViews>
  <sheetFormatPr defaultRowHeight="15" x14ac:dyDescent="0.25"/>
  <cols>
    <col min="1" max="1" width="31.42578125" customWidth="1"/>
    <col min="2" max="2" width="43.42578125" customWidth="1"/>
    <col min="3" max="3" width="28.28515625" customWidth="1"/>
    <col min="4" max="4" width="32.7109375" customWidth="1"/>
    <col min="5" max="5" width="28.140625" customWidth="1"/>
    <col min="6" max="6" width="34.7109375" customWidth="1"/>
    <col min="7" max="7" width="23.85546875" customWidth="1"/>
    <col min="8" max="8" width="15.7109375" customWidth="1"/>
    <col min="9" max="9" width="36.7109375" customWidth="1"/>
    <col min="10" max="10" width="30.5703125" customWidth="1"/>
    <col min="11" max="11" width="35.42578125" customWidth="1"/>
    <col min="12" max="12" width="23.140625" customWidth="1"/>
    <col min="13" max="13" width="33.7109375" customWidth="1"/>
    <col min="14" max="15" width="15.7109375" customWidth="1"/>
    <col min="16" max="16" width="17.7109375" customWidth="1"/>
    <col min="17" max="17" width="22.85546875" customWidth="1"/>
    <col min="18" max="29" width="15.7109375" customWidth="1"/>
    <col min="30" max="30" width="84.7109375" customWidth="1"/>
    <col min="31" max="153" width="15.7109375" customWidth="1"/>
  </cols>
  <sheetData>
    <row r="1" spans="1:30" ht="35.1" customHeight="1" x14ac:dyDescent="0.4">
      <c r="A1" s="172" t="s">
        <v>326</v>
      </c>
      <c r="B1" s="500" t="s">
        <v>327</v>
      </c>
      <c r="C1" s="500"/>
      <c r="D1" s="454" t="s">
        <v>328</v>
      </c>
      <c r="E1" s="500" t="s">
        <v>329</v>
      </c>
      <c r="F1" s="500"/>
      <c r="G1" s="500"/>
      <c r="H1" s="500"/>
      <c r="I1" s="194" t="s">
        <v>372</v>
      </c>
      <c r="J1" s="195"/>
      <c r="K1" s="195"/>
      <c r="AD1" s="453" t="s">
        <v>373</v>
      </c>
    </row>
    <row r="2" spans="1:30" ht="35.1" customHeight="1" x14ac:dyDescent="0.4">
      <c r="A2" s="173" t="s">
        <v>331</v>
      </c>
      <c r="B2" s="194" t="s">
        <v>332</v>
      </c>
      <c r="C2" s="194"/>
      <c r="D2" s="194"/>
      <c r="E2" s="500" t="s">
        <v>333</v>
      </c>
      <c r="F2" s="500"/>
      <c r="G2" s="500"/>
      <c r="H2" s="195"/>
      <c r="I2" s="194" t="s">
        <v>374</v>
      </c>
      <c r="J2" s="194"/>
      <c r="K2" s="194"/>
      <c r="L2" s="194"/>
    </row>
    <row r="3" spans="1:30" ht="35.1" customHeight="1" x14ac:dyDescent="0.25">
      <c r="AD3" t="s">
        <v>375</v>
      </c>
    </row>
    <row r="4" spans="1:30" ht="35.1" customHeight="1" x14ac:dyDescent="0.35">
      <c r="K4" s="484" t="s">
        <v>376</v>
      </c>
      <c r="M4" s="327" t="s">
        <v>335</v>
      </c>
      <c r="AD4" t="s">
        <v>377</v>
      </c>
    </row>
    <row r="5" spans="1:30" ht="35.1" customHeight="1" x14ac:dyDescent="0.35">
      <c r="A5" s="330" t="s">
        <v>336</v>
      </c>
      <c r="B5" s="115" t="s">
        <v>337</v>
      </c>
      <c r="C5" s="115" t="s">
        <v>338</v>
      </c>
      <c r="D5" s="115" t="s">
        <v>339</v>
      </c>
      <c r="E5" s="115"/>
      <c r="F5" s="115"/>
      <c r="H5" s="329" t="s">
        <v>340</v>
      </c>
      <c r="I5" s="115" t="s">
        <v>341</v>
      </c>
      <c r="J5" s="115" t="s">
        <v>342</v>
      </c>
      <c r="K5" s="115" t="s">
        <v>339</v>
      </c>
      <c r="L5" s="115"/>
      <c r="M5" s="115"/>
      <c r="AD5" t="s">
        <v>378</v>
      </c>
    </row>
    <row r="6" spans="1:30" ht="35.1" customHeight="1" x14ac:dyDescent="0.3">
      <c r="A6" s="116"/>
      <c r="B6" s="117" t="s">
        <v>153</v>
      </c>
      <c r="C6" s="122" t="s">
        <v>154</v>
      </c>
      <c r="D6" s="122" t="s">
        <v>155</v>
      </c>
      <c r="E6" s="122" t="s">
        <v>156</v>
      </c>
      <c r="F6" s="122" t="s">
        <v>157</v>
      </c>
      <c r="H6" s="116"/>
      <c r="I6" s="117" t="s">
        <v>153</v>
      </c>
      <c r="J6" s="122" t="s">
        <v>154</v>
      </c>
      <c r="K6" s="122" t="s">
        <v>155</v>
      </c>
      <c r="L6" s="122" t="s">
        <v>156</v>
      </c>
      <c r="M6" s="122" t="s">
        <v>157</v>
      </c>
      <c r="AD6" t="s">
        <v>379</v>
      </c>
    </row>
    <row r="7" spans="1:30" ht="40.5" customHeight="1" x14ac:dyDescent="0.35">
      <c r="A7" s="118" t="s">
        <v>343</v>
      </c>
      <c r="B7" s="488" t="s">
        <v>380</v>
      </c>
      <c r="C7" s="262" t="s">
        <v>344</v>
      </c>
      <c r="D7" s="417" t="s">
        <v>381</v>
      </c>
      <c r="E7" s="261" t="s">
        <v>346</v>
      </c>
      <c r="F7" s="417" t="s">
        <v>381</v>
      </c>
      <c r="H7" s="118" t="s">
        <v>343</v>
      </c>
      <c r="I7" s="417" t="s">
        <v>381</v>
      </c>
      <c r="J7" s="258"/>
      <c r="K7" s="399" t="s">
        <v>347</v>
      </c>
      <c r="L7" s="399" t="s">
        <v>347</v>
      </c>
      <c r="M7" s="324" t="s">
        <v>348</v>
      </c>
      <c r="AD7" t="s">
        <v>382</v>
      </c>
    </row>
    <row r="8" spans="1:30" ht="35.1" customHeight="1" x14ac:dyDescent="0.35">
      <c r="A8" s="118" t="s">
        <v>349</v>
      </c>
      <c r="B8" s="262" t="s">
        <v>344</v>
      </c>
      <c r="C8" s="262" t="s">
        <v>344</v>
      </c>
      <c r="D8" s="417" t="s">
        <v>381</v>
      </c>
      <c r="E8" s="261" t="s">
        <v>346</v>
      </c>
      <c r="F8" s="417" t="s">
        <v>381</v>
      </c>
      <c r="H8" s="118" t="s">
        <v>349</v>
      </c>
      <c r="I8" s="417" t="s">
        <v>381</v>
      </c>
      <c r="J8" s="211" t="s">
        <v>348</v>
      </c>
      <c r="K8" s="399" t="s">
        <v>347</v>
      </c>
      <c r="L8" s="399" t="s">
        <v>347</v>
      </c>
      <c r="M8" s="324" t="s">
        <v>348</v>
      </c>
      <c r="AD8" t="s">
        <v>383</v>
      </c>
    </row>
    <row r="9" spans="1:30" ht="35.1" customHeight="1" x14ac:dyDescent="0.35">
      <c r="A9" s="118" t="s">
        <v>305</v>
      </c>
      <c r="B9" s="262" t="s">
        <v>344</v>
      </c>
      <c r="C9" s="262" t="s">
        <v>344</v>
      </c>
      <c r="D9" s="417" t="s">
        <v>381</v>
      </c>
      <c r="E9" s="261" t="s">
        <v>346</v>
      </c>
      <c r="F9" s="417" t="s">
        <v>381</v>
      </c>
      <c r="H9" s="118" t="s">
        <v>305</v>
      </c>
      <c r="I9" s="417" t="s">
        <v>381</v>
      </c>
      <c r="J9" s="211" t="s">
        <v>348</v>
      </c>
      <c r="K9" s="399" t="s">
        <v>347</v>
      </c>
      <c r="L9" s="211" t="s">
        <v>347</v>
      </c>
      <c r="M9" s="324" t="s">
        <v>348</v>
      </c>
      <c r="AD9" t="s">
        <v>384</v>
      </c>
    </row>
    <row r="10" spans="1:30" ht="35.1" customHeight="1" x14ac:dyDescent="0.35">
      <c r="A10" s="118" t="s">
        <v>308</v>
      </c>
      <c r="B10" s="262" t="s">
        <v>344</v>
      </c>
      <c r="C10" s="262" t="s">
        <v>344</v>
      </c>
      <c r="D10" s="417" t="s">
        <v>381</v>
      </c>
      <c r="E10" s="261" t="s">
        <v>346</v>
      </c>
      <c r="F10" s="417" t="s">
        <v>381</v>
      </c>
      <c r="H10" s="118" t="s">
        <v>308</v>
      </c>
      <c r="I10" s="417" t="s">
        <v>381</v>
      </c>
      <c r="J10" s="211" t="s">
        <v>348</v>
      </c>
      <c r="K10" s="399" t="s">
        <v>347</v>
      </c>
      <c r="L10" s="211" t="s">
        <v>347</v>
      </c>
      <c r="M10" s="324" t="s">
        <v>348</v>
      </c>
      <c r="AD10" t="s">
        <v>385</v>
      </c>
    </row>
    <row r="11" spans="1:30" ht="35.1" customHeight="1" x14ac:dyDescent="0.25">
      <c r="A11" s="118" t="s">
        <v>310</v>
      </c>
      <c r="B11" s="262" t="s">
        <v>344</v>
      </c>
      <c r="C11" s="262" t="s">
        <v>344</v>
      </c>
      <c r="D11" s="486" t="s">
        <v>380</v>
      </c>
      <c r="E11" s="450"/>
      <c r="F11" s="486" t="s">
        <v>380</v>
      </c>
      <c r="H11" s="118" t="s">
        <v>310</v>
      </c>
      <c r="I11" s="488" t="s">
        <v>380</v>
      </c>
      <c r="J11" s="211" t="s">
        <v>348</v>
      </c>
      <c r="K11" s="292"/>
      <c r="L11" s="399" t="s">
        <v>347</v>
      </c>
      <c r="M11" s="211" t="s">
        <v>348</v>
      </c>
      <c r="AD11" t="s">
        <v>386</v>
      </c>
    </row>
    <row r="12" spans="1:30" ht="35.1" customHeight="1" x14ac:dyDescent="0.25">
      <c r="A12" s="118" t="s">
        <v>312</v>
      </c>
      <c r="B12" s="262" t="s">
        <v>344</v>
      </c>
      <c r="C12" s="262" t="s">
        <v>344</v>
      </c>
      <c r="D12" s="485"/>
      <c r="E12" s="450"/>
      <c r="F12" s="487"/>
      <c r="H12" s="118" t="s">
        <v>312</v>
      </c>
      <c r="I12" s="485"/>
      <c r="J12" s="211" t="s">
        <v>348</v>
      </c>
      <c r="K12" s="450"/>
      <c r="L12" s="399" t="s">
        <v>347</v>
      </c>
      <c r="M12" s="211" t="s">
        <v>348</v>
      </c>
      <c r="AD12" t="s">
        <v>387</v>
      </c>
    </row>
    <row r="13" spans="1:30" ht="35.1" customHeight="1" x14ac:dyDescent="0.25">
      <c r="A13" s="118" t="s">
        <v>315</v>
      </c>
      <c r="B13" s="262" t="s">
        <v>344</v>
      </c>
      <c r="C13" s="262" t="s">
        <v>344</v>
      </c>
      <c r="D13" s="485"/>
      <c r="E13" s="488" t="s">
        <v>380</v>
      </c>
      <c r="F13" s="486" t="s">
        <v>380</v>
      </c>
      <c r="H13" s="118" t="s">
        <v>315</v>
      </c>
      <c r="I13" s="485"/>
      <c r="J13" s="211" t="s">
        <v>348</v>
      </c>
      <c r="K13" s="259"/>
      <c r="L13" s="399" t="s">
        <v>347</v>
      </c>
      <c r="M13" s="211" t="s">
        <v>348</v>
      </c>
      <c r="AD13" t="s">
        <v>388</v>
      </c>
    </row>
    <row r="14" spans="1:30" ht="35.1" customHeight="1" x14ac:dyDescent="0.25">
      <c r="A14" s="118" t="s">
        <v>352</v>
      </c>
      <c r="B14" s="262" t="s">
        <v>344</v>
      </c>
      <c r="C14" s="262" t="s">
        <v>344</v>
      </c>
      <c r="D14" s="485"/>
      <c r="E14" s="485"/>
      <c r="F14" s="487"/>
      <c r="H14" s="118" t="s">
        <v>352</v>
      </c>
      <c r="I14" s="485"/>
      <c r="J14" s="211" t="s">
        <v>348</v>
      </c>
      <c r="K14" s="259"/>
      <c r="L14" s="399" t="s">
        <v>347</v>
      </c>
      <c r="M14" s="211" t="s">
        <v>348</v>
      </c>
      <c r="AD14" t="s">
        <v>389</v>
      </c>
    </row>
    <row r="15" spans="1:30" ht="35.1" customHeight="1" x14ac:dyDescent="0.25">
      <c r="A15" s="118" t="s">
        <v>353</v>
      </c>
      <c r="B15" s="499" t="s">
        <v>354</v>
      </c>
      <c r="C15" s="499"/>
      <c r="D15" s="499"/>
      <c r="E15" s="499"/>
      <c r="F15" s="499"/>
      <c r="H15" s="118" t="s">
        <v>353</v>
      </c>
      <c r="I15" s="499" t="s">
        <v>354</v>
      </c>
      <c r="J15" s="499"/>
      <c r="K15" s="499"/>
      <c r="L15" s="499"/>
      <c r="M15" s="499"/>
      <c r="AD15" t="s">
        <v>390</v>
      </c>
    </row>
    <row r="16" spans="1:30" ht="35.1" customHeight="1" x14ac:dyDescent="0.25">
      <c r="A16" s="118" t="s">
        <v>355</v>
      </c>
      <c r="B16" s="499"/>
      <c r="C16" s="499"/>
      <c r="D16" s="499"/>
      <c r="E16" s="499"/>
      <c r="F16" s="499"/>
      <c r="H16" s="118" t="s">
        <v>355</v>
      </c>
      <c r="I16" s="499"/>
      <c r="J16" s="499"/>
      <c r="K16" s="499"/>
      <c r="L16" s="499"/>
      <c r="M16" s="499"/>
      <c r="AD16" t="s">
        <v>391</v>
      </c>
    </row>
    <row r="17" spans="1:30" ht="35.1" customHeight="1" x14ac:dyDescent="0.35">
      <c r="A17" s="118" t="s">
        <v>318</v>
      </c>
      <c r="B17" s="417" t="s">
        <v>381</v>
      </c>
      <c r="C17" s="299"/>
      <c r="D17" s="328" t="s">
        <v>346</v>
      </c>
      <c r="E17" s="413"/>
      <c r="F17" s="261" t="s">
        <v>346</v>
      </c>
      <c r="H17" s="118" t="s">
        <v>318</v>
      </c>
      <c r="I17" s="211" t="s">
        <v>348</v>
      </c>
      <c r="J17" s="211" t="s">
        <v>348</v>
      </c>
      <c r="K17" s="211" t="s">
        <v>350</v>
      </c>
      <c r="L17" s="292"/>
      <c r="M17" s="211" t="s">
        <v>356</v>
      </c>
      <c r="AD17" t="s">
        <v>392</v>
      </c>
    </row>
    <row r="18" spans="1:30" ht="35.1" customHeight="1" x14ac:dyDescent="0.35">
      <c r="A18" s="118" t="s">
        <v>321</v>
      </c>
      <c r="B18" s="417" t="s">
        <v>381</v>
      </c>
      <c r="C18" s="299"/>
      <c r="D18" s="328" t="s">
        <v>346</v>
      </c>
      <c r="E18" s="413"/>
      <c r="F18" s="261" t="s">
        <v>346</v>
      </c>
      <c r="H18" s="118" t="s">
        <v>321</v>
      </c>
      <c r="I18" s="211" t="s">
        <v>348</v>
      </c>
      <c r="J18" s="211" t="s">
        <v>348</v>
      </c>
      <c r="K18" s="211" t="s">
        <v>350</v>
      </c>
      <c r="L18" s="299"/>
      <c r="M18" s="211" t="s">
        <v>356</v>
      </c>
      <c r="AD18" t="s">
        <v>393</v>
      </c>
    </row>
    <row r="19" spans="1:30" ht="35.1" customHeight="1" x14ac:dyDescent="0.35">
      <c r="A19" s="118" t="s">
        <v>324</v>
      </c>
      <c r="B19" s="417" t="s">
        <v>381</v>
      </c>
      <c r="C19" s="299"/>
      <c r="D19" s="328" t="s">
        <v>346</v>
      </c>
      <c r="E19" s="413"/>
      <c r="F19" s="261" t="s">
        <v>346</v>
      </c>
      <c r="H19" s="118" t="s">
        <v>324</v>
      </c>
      <c r="I19" s="211" t="s">
        <v>348</v>
      </c>
      <c r="J19" s="211" t="s">
        <v>348</v>
      </c>
      <c r="K19" s="211" t="s">
        <v>350</v>
      </c>
      <c r="L19" s="258"/>
      <c r="M19" s="211" t="s">
        <v>356</v>
      </c>
      <c r="AD19" s="469" t="s">
        <v>394</v>
      </c>
    </row>
    <row r="20" spans="1:30" ht="35.1" customHeight="1" x14ac:dyDescent="0.25">
      <c r="A20" s="118" t="s">
        <v>325</v>
      </c>
      <c r="B20" s="213"/>
      <c r="C20" s="299"/>
      <c r="D20" s="328" t="s">
        <v>346</v>
      </c>
      <c r="E20" s="413"/>
      <c r="F20" s="261" t="s">
        <v>346</v>
      </c>
      <c r="H20" s="118" t="s">
        <v>325</v>
      </c>
      <c r="I20" s="211" t="s">
        <v>348</v>
      </c>
      <c r="J20" s="211" t="s">
        <v>348</v>
      </c>
      <c r="K20" s="211" t="s">
        <v>350</v>
      </c>
      <c r="L20" s="299"/>
      <c r="M20" s="211" t="s">
        <v>356</v>
      </c>
      <c r="AD20" s="469" t="s">
        <v>395</v>
      </c>
    </row>
    <row r="21" spans="1:30" ht="35.1" customHeight="1" x14ac:dyDescent="0.25">
      <c r="A21" s="118" t="s">
        <v>357</v>
      </c>
      <c r="B21" s="213"/>
      <c r="C21" s="262" t="s">
        <v>344</v>
      </c>
      <c r="D21" s="328" t="s">
        <v>346</v>
      </c>
      <c r="E21" s="413"/>
      <c r="F21" s="261" t="s">
        <v>346</v>
      </c>
      <c r="H21" s="118" t="s">
        <v>357</v>
      </c>
      <c r="I21" s="325" t="s">
        <v>348</v>
      </c>
      <c r="J21" s="213"/>
      <c r="K21" s="398" t="s">
        <v>351</v>
      </c>
      <c r="L21" s="299"/>
      <c r="M21" s="211" t="s">
        <v>356</v>
      </c>
      <c r="AD21" t="s">
        <v>396</v>
      </c>
    </row>
    <row r="22" spans="1:30" ht="35.1" customHeight="1" x14ac:dyDescent="0.25">
      <c r="A22" s="118" t="s">
        <v>358</v>
      </c>
      <c r="B22" s="213"/>
      <c r="C22" s="299"/>
      <c r="D22" s="413"/>
      <c r="E22" s="413"/>
      <c r="F22" s="450"/>
      <c r="H22" s="118" t="s">
        <v>358</v>
      </c>
      <c r="I22" s="325" t="s">
        <v>348</v>
      </c>
      <c r="J22" s="213"/>
      <c r="K22" s="398" t="s">
        <v>351</v>
      </c>
      <c r="L22" s="258"/>
      <c r="M22" s="211" t="s">
        <v>356</v>
      </c>
      <c r="AD22" t="s">
        <v>397</v>
      </c>
    </row>
    <row r="23" spans="1:30" ht="35.1" customHeight="1" x14ac:dyDescent="0.35">
      <c r="B23" s="309"/>
      <c r="I23" s="326" t="s">
        <v>359</v>
      </c>
      <c r="J23" s="502"/>
      <c r="K23" s="502"/>
      <c r="AD23" t="s">
        <v>398</v>
      </c>
    </row>
    <row r="24" spans="1:30" ht="35.1" customHeight="1" x14ac:dyDescent="0.25"/>
    <row r="25" spans="1:30" ht="35.1" customHeight="1" x14ac:dyDescent="0.25"/>
    <row r="26" spans="1:30" ht="35.1" customHeight="1" x14ac:dyDescent="0.25"/>
    <row r="27" spans="1:30" ht="35.1" customHeight="1" x14ac:dyDescent="0.25"/>
    <row r="28" spans="1:30" ht="35.1" customHeight="1" x14ac:dyDescent="0.25"/>
    <row r="29" spans="1:30" ht="35.1" customHeight="1" x14ac:dyDescent="0.25"/>
    <row r="30" spans="1:30" ht="35.1" customHeight="1" x14ac:dyDescent="0.25"/>
    <row r="31" spans="1:30" ht="35.1" customHeight="1" x14ac:dyDescent="0.25"/>
    <row r="32" spans="1:30" ht="84.75" customHeight="1" x14ac:dyDescent="0.25"/>
    <row r="33" ht="84" customHeight="1" x14ac:dyDescent="0.25"/>
    <row r="34" ht="75.75" customHeight="1" x14ac:dyDescent="0.25"/>
    <row r="35" ht="99" customHeight="1" x14ac:dyDescent="0.25"/>
    <row r="36" ht="35.1" customHeight="1" x14ac:dyDescent="0.25"/>
    <row r="37" ht="35.1" customHeight="1" x14ac:dyDescent="0.25"/>
    <row r="38" ht="35.1" customHeight="1" x14ac:dyDescent="0.25"/>
    <row r="39" ht="35.1" customHeight="1" x14ac:dyDescent="0.25"/>
    <row r="40" ht="58.5" customHeight="1" x14ac:dyDescent="0.25"/>
    <row r="41" ht="57" customHeight="1" x14ac:dyDescent="0.25"/>
    <row r="42" ht="57" customHeight="1" x14ac:dyDescent="0.25"/>
    <row r="43" ht="85.5" customHeight="1" x14ac:dyDescent="0.25"/>
    <row r="44" ht="35.1" customHeight="1" x14ac:dyDescent="0.25"/>
    <row r="45" ht="35.1" customHeight="1" x14ac:dyDescent="0.25"/>
    <row r="46" ht="35.1" customHeight="1" x14ac:dyDescent="0.25"/>
    <row r="47" ht="35.1" customHeight="1" x14ac:dyDescent="0.25"/>
    <row r="48" ht="35.1" customHeight="1" x14ac:dyDescent="0.25"/>
    <row r="49" ht="35.1" customHeight="1" x14ac:dyDescent="0.25"/>
    <row r="50" ht="66.75" customHeight="1" x14ac:dyDescent="0.25"/>
    <row r="51" ht="35.1" customHeight="1" x14ac:dyDescent="0.25"/>
    <row r="52" ht="35.1" customHeight="1" x14ac:dyDescent="0.25"/>
    <row r="53" ht="35.1" customHeight="1" x14ac:dyDescent="0.25"/>
    <row r="54" ht="35.1" customHeight="1" x14ac:dyDescent="0.25"/>
    <row r="55" ht="35.1" customHeight="1" x14ac:dyDescent="0.25"/>
    <row r="56" ht="35.1" customHeight="1" x14ac:dyDescent="0.25"/>
    <row r="57" ht="35.1" customHeight="1" x14ac:dyDescent="0.25"/>
    <row r="58" ht="35.1" customHeight="1" x14ac:dyDescent="0.25"/>
    <row r="59" ht="35.1" customHeight="1" x14ac:dyDescent="0.25"/>
    <row r="60" ht="35.1" customHeight="1" x14ac:dyDescent="0.25"/>
    <row r="61" ht="35.1" customHeight="1" x14ac:dyDescent="0.25"/>
    <row r="62" ht="35.1" customHeight="1" x14ac:dyDescent="0.25"/>
    <row r="63" ht="35.1" customHeight="1" x14ac:dyDescent="0.25"/>
    <row r="64" ht="35.1" customHeight="1" x14ac:dyDescent="0.25"/>
    <row r="65" ht="35.1" customHeight="1" x14ac:dyDescent="0.25"/>
    <row r="66" ht="35.1" customHeight="1" x14ac:dyDescent="0.25"/>
    <row r="67" ht="35.1" customHeight="1" x14ac:dyDescent="0.25"/>
    <row r="68" ht="35.1" customHeight="1" x14ac:dyDescent="0.25"/>
    <row r="69" ht="35.1" customHeight="1" x14ac:dyDescent="0.25"/>
    <row r="70" ht="35.1" customHeight="1" x14ac:dyDescent="0.25"/>
    <row r="71" ht="35.1" customHeight="1" x14ac:dyDescent="0.25"/>
    <row r="72" ht="35.1" customHeight="1" x14ac:dyDescent="0.25"/>
    <row r="73" ht="35.1" customHeight="1" x14ac:dyDescent="0.25"/>
    <row r="74" ht="35.1" customHeight="1" x14ac:dyDescent="0.25"/>
    <row r="75" ht="35.1" customHeight="1" x14ac:dyDescent="0.25"/>
    <row r="76" ht="35.1" customHeight="1" x14ac:dyDescent="0.25"/>
    <row r="77" ht="35.1" customHeight="1" x14ac:dyDescent="0.25"/>
    <row r="78" ht="35.1" customHeight="1" x14ac:dyDescent="0.25"/>
    <row r="79" ht="35.1" customHeight="1" x14ac:dyDescent="0.25"/>
    <row r="80" ht="35.1" customHeight="1" x14ac:dyDescent="0.25"/>
    <row r="81" ht="35.1" customHeight="1" x14ac:dyDescent="0.25"/>
    <row r="82" ht="35.1" customHeight="1" x14ac:dyDescent="0.25"/>
    <row r="83" ht="35.1" customHeight="1" x14ac:dyDescent="0.25"/>
    <row r="84" ht="35.1" customHeight="1" x14ac:dyDescent="0.25"/>
    <row r="85" ht="35.1" customHeight="1" x14ac:dyDescent="0.25"/>
    <row r="86" ht="35.1" customHeight="1" x14ac:dyDescent="0.25"/>
    <row r="87" ht="35.1" customHeight="1" x14ac:dyDescent="0.25"/>
    <row r="88" ht="35.1" customHeight="1" x14ac:dyDescent="0.25"/>
    <row r="89" ht="35.1" customHeight="1" x14ac:dyDescent="0.25"/>
    <row r="90" ht="35.1" customHeight="1" x14ac:dyDescent="0.25"/>
    <row r="91" ht="35.1" customHeight="1" x14ac:dyDescent="0.25"/>
    <row r="92" ht="35.1" customHeight="1" x14ac:dyDescent="0.25"/>
    <row r="93" ht="35.1" customHeight="1" x14ac:dyDescent="0.25"/>
    <row r="94" ht="35.1" customHeight="1" x14ac:dyDescent="0.25"/>
    <row r="95" ht="35.1" customHeight="1" x14ac:dyDescent="0.25"/>
    <row r="96" ht="35.1" customHeight="1" x14ac:dyDescent="0.25"/>
    <row r="97" ht="35.1" customHeight="1" x14ac:dyDescent="0.25"/>
    <row r="98" ht="35.1" customHeight="1" x14ac:dyDescent="0.25"/>
    <row r="99" ht="35.1" customHeight="1" x14ac:dyDescent="0.25"/>
    <row r="100" ht="35.1" customHeight="1" x14ac:dyDescent="0.25"/>
    <row r="101" ht="35.1" customHeight="1" x14ac:dyDescent="0.25"/>
    <row r="102" ht="35.1" customHeight="1" x14ac:dyDescent="0.25"/>
    <row r="103" ht="35.1" customHeight="1" x14ac:dyDescent="0.25"/>
    <row r="104" ht="35.1" customHeight="1" x14ac:dyDescent="0.25"/>
    <row r="105" ht="39.950000000000003" customHeight="1" x14ac:dyDescent="0.25"/>
    <row r="145" spans="1:6" x14ac:dyDescent="0.25">
      <c r="A145" s="284" t="s">
        <v>360</v>
      </c>
      <c r="B145" s="115" t="s">
        <v>361</v>
      </c>
      <c r="C145" s="115" t="s">
        <v>362</v>
      </c>
      <c r="D145" s="115" t="s">
        <v>339</v>
      </c>
      <c r="E145" s="115"/>
      <c r="F145" s="115"/>
    </row>
    <row r="146" spans="1:6" ht="18.75" x14ac:dyDescent="0.3">
      <c r="A146" s="331" t="s">
        <v>363</v>
      </c>
      <c r="B146" s="117" t="s">
        <v>153</v>
      </c>
      <c r="C146" s="122" t="s">
        <v>154</v>
      </c>
      <c r="D146" s="122" t="s">
        <v>155</v>
      </c>
      <c r="E146" s="122" t="s">
        <v>156</v>
      </c>
      <c r="F146" s="122" t="s">
        <v>157</v>
      </c>
    </row>
    <row r="147" spans="1:6" ht="18" x14ac:dyDescent="0.25">
      <c r="A147" s="118" t="s">
        <v>343</v>
      </c>
      <c r="B147" s="299"/>
      <c r="C147" s="299"/>
      <c r="D147" s="260"/>
      <c r="E147" s="260"/>
      <c r="F147" s="213"/>
    </row>
    <row r="148" spans="1:6" ht="18" x14ac:dyDescent="0.25">
      <c r="A148" s="118" t="s">
        <v>349</v>
      </c>
      <c r="B148" s="299"/>
      <c r="C148" s="299"/>
      <c r="D148" s="260"/>
      <c r="E148" s="260"/>
      <c r="F148" s="213"/>
    </row>
    <row r="149" spans="1:6" ht="18" x14ac:dyDescent="0.25">
      <c r="A149" s="118" t="s">
        <v>305</v>
      </c>
      <c r="B149" s="299"/>
      <c r="C149" s="299"/>
      <c r="D149" s="260"/>
      <c r="E149" s="260"/>
      <c r="F149" s="213"/>
    </row>
    <row r="150" spans="1:6" ht="18" x14ac:dyDescent="0.25">
      <c r="A150" s="118" t="s">
        <v>308</v>
      </c>
      <c r="B150" s="299"/>
      <c r="C150" s="299"/>
      <c r="D150" s="260"/>
      <c r="E150" s="260"/>
      <c r="F150" s="213"/>
    </row>
    <row r="151" spans="1:6" ht="18" x14ac:dyDescent="0.25">
      <c r="A151" s="118" t="s">
        <v>310</v>
      </c>
      <c r="B151" s="299"/>
      <c r="C151" s="299"/>
      <c r="D151" s="260"/>
      <c r="E151" s="260"/>
      <c r="F151" s="213"/>
    </row>
    <row r="152" spans="1:6" ht="18" x14ac:dyDescent="0.25">
      <c r="A152" s="118" t="s">
        <v>312</v>
      </c>
      <c r="B152" s="299"/>
      <c r="C152" s="299"/>
      <c r="D152" s="260"/>
      <c r="E152" s="260"/>
      <c r="F152" s="213"/>
    </row>
    <row r="153" spans="1:6" ht="18" x14ac:dyDescent="0.25">
      <c r="A153" s="118" t="s">
        <v>315</v>
      </c>
      <c r="B153" s="299"/>
      <c r="C153" s="299"/>
      <c r="D153" s="260"/>
      <c r="E153" s="260"/>
      <c r="F153" s="213"/>
    </row>
    <row r="154" spans="1:6" ht="18" x14ac:dyDescent="0.25">
      <c r="A154" s="118" t="s">
        <v>352</v>
      </c>
      <c r="B154" s="299"/>
      <c r="C154" s="299"/>
      <c r="D154" s="260"/>
      <c r="E154" s="260"/>
      <c r="F154" s="213"/>
    </row>
    <row r="155" spans="1:6" ht="18" x14ac:dyDescent="0.25">
      <c r="A155" s="118" t="s">
        <v>353</v>
      </c>
      <c r="B155" s="499" t="s">
        <v>354</v>
      </c>
      <c r="C155" s="499"/>
      <c r="D155" s="499"/>
      <c r="E155" s="499"/>
      <c r="F155" s="499"/>
    </row>
    <row r="156" spans="1:6" ht="18" x14ac:dyDescent="0.25">
      <c r="A156" s="118" t="s">
        <v>355</v>
      </c>
      <c r="B156" s="499"/>
      <c r="C156" s="499"/>
      <c r="D156" s="499"/>
      <c r="E156" s="499"/>
      <c r="F156" s="499"/>
    </row>
    <row r="157" spans="1:6" ht="18" x14ac:dyDescent="0.25">
      <c r="A157" s="118" t="s">
        <v>318</v>
      </c>
      <c r="B157" s="299"/>
      <c r="C157" s="299"/>
      <c r="D157" s="260"/>
      <c r="E157" s="260"/>
      <c r="F157" s="213"/>
    </row>
    <row r="158" spans="1:6" ht="18" x14ac:dyDescent="0.25">
      <c r="A158" s="118" t="s">
        <v>321</v>
      </c>
      <c r="B158" s="299"/>
      <c r="C158" s="299"/>
      <c r="D158" s="260"/>
      <c r="E158" s="260"/>
      <c r="F158" s="213"/>
    </row>
    <row r="159" spans="1:6" ht="18" x14ac:dyDescent="0.25">
      <c r="A159" s="118" t="s">
        <v>324</v>
      </c>
      <c r="B159" s="299"/>
      <c r="C159" s="299"/>
      <c r="D159" s="260"/>
      <c r="E159" s="260"/>
      <c r="F159" s="213"/>
    </row>
    <row r="160" spans="1:6" ht="18" x14ac:dyDescent="0.25">
      <c r="A160" s="118" t="s">
        <v>325</v>
      </c>
      <c r="B160" s="299"/>
      <c r="C160" s="299"/>
      <c r="D160" s="260"/>
      <c r="E160" s="260"/>
      <c r="F160" s="213"/>
    </row>
    <row r="161" spans="1:6" ht="18" x14ac:dyDescent="0.25">
      <c r="A161" s="118" t="s">
        <v>357</v>
      </c>
      <c r="B161" s="299"/>
      <c r="C161" s="299"/>
      <c r="D161" s="260"/>
      <c r="E161" s="260"/>
      <c r="F161" s="213"/>
    </row>
    <row r="162" spans="1:6" ht="18" x14ac:dyDescent="0.25">
      <c r="A162" s="118" t="s">
        <v>358</v>
      </c>
      <c r="B162" s="299"/>
      <c r="C162" s="299"/>
      <c r="D162" s="260"/>
      <c r="E162" s="260"/>
      <c r="F162" s="213"/>
    </row>
    <row r="167" spans="1:6" ht="15.75" x14ac:dyDescent="0.25">
      <c r="A167" s="123" t="s">
        <v>364</v>
      </c>
      <c r="B167" s="124" t="s">
        <v>6</v>
      </c>
      <c r="C167" s="124" t="s">
        <v>365</v>
      </c>
      <c r="D167" s="124" t="s">
        <v>339</v>
      </c>
      <c r="E167" s="124"/>
      <c r="F167" s="124"/>
    </row>
    <row r="168" spans="1:6" ht="18.75" x14ac:dyDescent="0.3">
      <c r="A168" s="116"/>
      <c r="B168" s="117" t="s">
        <v>153</v>
      </c>
      <c r="C168" s="117" t="s">
        <v>154</v>
      </c>
      <c r="D168" s="117" t="s">
        <v>155</v>
      </c>
      <c r="E168" s="117" t="s">
        <v>156</v>
      </c>
      <c r="F168" s="117" t="s">
        <v>157</v>
      </c>
    </row>
    <row r="169" spans="1:6" ht="45" x14ac:dyDescent="0.25">
      <c r="A169" s="118" t="s">
        <v>343</v>
      </c>
      <c r="B169" s="150" t="s">
        <v>366</v>
      </c>
      <c r="C169" s="150" t="s">
        <v>366</v>
      </c>
      <c r="D169" s="150" t="s">
        <v>366</v>
      </c>
      <c r="E169" s="150" t="s">
        <v>366</v>
      </c>
      <c r="F169" s="150" t="s">
        <v>366</v>
      </c>
    </row>
    <row r="170" spans="1:6" ht="45" x14ac:dyDescent="0.25">
      <c r="A170" s="118" t="s">
        <v>349</v>
      </c>
      <c r="B170" s="150" t="s">
        <v>366</v>
      </c>
      <c r="C170" s="150" t="s">
        <v>366</v>
      </c>
      <c r="D170" s="150" t="s">
        <v>366</v>
      </c>
      <c r="E170" s="150" t="s">
        <v>366</v>
      </c>
      <c r="F170" s="150" t="s">
        <v>366</v>
      </c>
    </row>
    <row r="171" spans="1:6" ht="45" x14ac:dyDescent="0.25">
      <c r="A171" s="118" t="s">
        <v>305</v>
      </c>
      <c r="B171" s="150" t="s">
        <v>366</v>
      </c>
      <c r="C171" s="150" t="s">
        <v>366</v>
      </c>
      <c r="D171" s="150" t="s">
        <v>366</v>
      </c>
      <c r="E171" s="150" t="s">
        <v>366</v>
      </c>
      <c r="F171" s="150" t="s">
        <v>366</v>
      </c>
    </row>
    <row r="172" spans="1:6" ht="45" x14ac:dyDescent="0.25">
      <c r="A172" s="118" t="s">
        <v>308</v>
      </c>
      <c r="B172" s="150" t="s">
        <v>366</v>
      </c>
      <c r="C172" s="150" t="s">
        <v>366</v>
      </c>
      <c r="D172" s="150" t="s">
        <v>366</v>
      </c>
      <c r="E172" s="150" t="s">
        <v>366</v>
      </c>
      <c r="F172" s="150" t="s">
        <v>366</v>
      </c>
    </row>
    <row r="173" spans="1:6" ht="18" x14ac:dyDescent="0.25">
      <c r="A173" s="118" t="s">
        <v>310</v>
      </c>
      <c r="B173" s="161" t="s">
        <v>367</v>
      </c>
      <c r="C173" s="162" t="s">
        <v>368</v>
      </c>
      <c r="D173" s="162" t="s">
        <v>368</v>
      </c>
      <c r="E173" s="162" t="s">
        <v>368</v>
      </c>
      <c r="F173" s="162" t="s">
        <v>368</v>
      </c>
    </row>
    <row r="174" spans="1:6" ht="18" x14ac:dyDescent="0.25">
      <c r="A174" s="118" t="s">
        <v>312</v>
      </c>
      <c r="B174" s="161" t="s">
        <v>367</v>
      </c>
      <c r="C174" s="162" t="s">
        <v>368</v>
      </c>
      <c r="D174" s="162" t="s">
        <v>368</v>
      </c>
      <c r="E174" s="162" t="s">
        <v>368</v>
      </c>
      <c r="F174" s="162" t="s">
        <v>368</v>
      </c>
    </row>
    <row r="175" spans="1:6" ht="45" x14ac:dyDescent="0.25">
      <c r="A175" s="118" t="s">
        <v>315</v>
      </c>
      <c r="B175" s="161" t="s">
        <v>367</v>
      </c>
      <c r="C175" s="150" t="s">
        <v>366</v>
      </c>
      <c r="D175" s="150" t="s">
        <v>366</v>
      </c>
      <c r="E175" s="150" t="s">
        <v>366</v>
      </c>
      <c r="F175" s="150" t="s">
        <v>366</v>
      </c>
    </row>
    <row r="176" spans="1:6" ht="45" x14ac:dyDescent="0.25">
      <c r="A176" s="118" t="s">
        <v>352</v>
      </c>
      <c r="B176" s="161" t="s">
        <v>367</v>
      </c>
      <c r="C176" s="150" t="s">
        <v>366</v>
      </c>
      <c r="D176" s="150" t="s">
        <v>366</v>
      </c>
      <c r="E176" s="150" t="s">
        <v>366</v>
      </c>
      <c r="F176" s="150" t="s">
        <v>366</v>
      </c>
    </row>
    <row r="177" spans="1:6" ht="18" x14ac:dyDescent="0.25">
      <c r="A177" s="118" t="s">
        <v>353</v>
      </c>
      <c r="B177" s="499" t="s">
        <v>354</v>
      </c>
      <c r="C177" s="499"/>
      <c r="D177" s="499"/>
      <c r="E177" s="499"/>
      <c r="F177" s="499"/>
    </row>
    <row r="178" spans="1:6" ht="18" x14ac:dyDescent="0.25">
      <c r="A178" s="118" t="s">
        <v>355</v>
      </c>
      <c r="B178" s="499"/>
      <c r="C178" s="499"/>
      <c r="D178" s="499"/>
      <c r="E178" s="499"/>
      <c r="F178" s="499"/>
    </row>
    <row r="179" spans="1:6" ht="18" x14ac:dyDescent="0.25">
      <c r="A179" s="118" t="s">
        <v>318</v>
      </c>
      <c r="B179" s="163" t="s">
        <v>369</v>
      </c>
      <c r="C179" s="163" t="s">
        <v>369</v>
      </c>
      <c r="D179" s="163" t="s">
        <v>369</v>
      </c>
      <c r="E179" s="163" t="s">
        <v>369</v>
      </c>
      <c r="F179" s="163" t="s">
        <v>369</v>
      </c>
    </row>
    <row r="180" spans="1:6" ht="18" x14ac:dyDescent="0.25">
      <c r="A180" s="118" t="s">
        <v>321</v>
      </c>
      <c r="B180" s="163" t="s">
        <v>369</v>
      </c>
      <c r="C180" s="163" t="s">
        <v>369</v>
      </c>
      <c r="D180" s="163" t="s">
        <v>369</v>
      </c>
      <c r="E180" s="163" t="s">
        <v>369</v>
      </c>
      <c r="F180" s="163" t="s">
        <v>369</v>
      </c>
    </row>
    <row r="181" spans="1:6" ht="45" x14ac:dyDescent="0.25">
      <c r="A181" s="118" t="s">
        <v>324</v>
      </c>
      <c r="B181" s="150" t="s">
        <v>366</v>
      </c>
      <c r="C181" s="150" t="s">
        <v>366</v>
      </c>
      <c r="D181" s="161" t="s">
        <v>370</v>
      </c>
      <c r="E181" s="150" t="s">
        <v>366</v>
      </c>
      <c r="F181" s="150" t="s">
        <v>366</v>
      </c>
    </row>
    <row r="182" spans="1:6" ht="45" x14ac:dyDescent="0.25">
      <c r="A182" s="118" t="s">
        <v>325</v>
      </c>
      <c r="B182" s="150" t="s">
        <v>366</v>
      </c>
      <c r="C182" s="150" t="s">
        <v>366</v>
      </c>
      <c r="D182" s="161" t="s">
        <v>370</v>
      </c>
      <c r="E182" s="156" t="s">
        <v>371</v>
      </c>
      <c r="F182" s="150" t="s">
        <v>366</v>
      </c>
    </row>
    <row r="183" spans="1:6" ht="45" x14ac:dyDescent="0.25">
      <c r="A183" s="118" t="s">
        <v>357</v>
      </c>
      <c r="B183" s="150" t="s">
        <v>366</v>
      </c>
      <c r="C183" s="150" t="s">
        <v>366</v>
      </c>
      <c r="D183" s="161" t="s">
        <v>370</v>
      </c>
      <c r="E183" s="156" t="s">
        <v>371</v>
      </c>
      <c r="F183" s="150" t="s">
        <v>366</v>
      </c>
    </row>
    <row r="184" spans="1:6" ht="45" x14ac:dyDescent="0.25">
      <c r="A184" s="118" t="s">
        <v>358</v>
      </c>
      <c r="B184" s="150" t="s">
        <v>366</v>
      </c>
      <c r="C184" s="150" t="s">
        <v>366</v>
      </c>
      <c r="D184" s="161" t="s">
        <v>370</v>
      </c>
      <c r="E184" s="150" t="s">
        <v>366</v>
      </c>
      <c r="F184" s="150" t="s">
        <v>366</v>
      </c>
    </row>
  </sheetData>
  <mergeCells count="8">
    <mergeCell ref="J23:K23"/>
    <mergeCell ref="B155:F156"/>
    <mergeCell ref="B177:F178"/>
    <mergeCell ref="B1:C1"/>
    <mergeCell ref="E1:H1"/>
    <mergeCell ref="E2:G2"/>
    <mergeCell ref="B15:F16"/>
    <mergeCell ref="I15:M16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09485-2282-4474-8F35-363B05A20AC7}">
  <sheetPr codeName="Sheet6"/>
  <dimension ref="A1:AP198"/>
  <sheetViews>
    <sheetView zoomScale="60" zoomScaleNormal="60" workbookViewId="0">
      <selection activeCell="K9" sqref="K9"/>
    </sheetView>
  </sheetViews>
  <sheetFormatPr defaultRowHeight="15" x14ac:dyDescent="0.25"/>
  <cols>
    <col min="1" max="1" width="15.7109375" customWidth="1"/>
    <col min="2" max="2" width="30.5703125" customWidth="1"/>
    <col min="3" max="3" width="27.42578125" customWidth="1"/>
    <col min="4" max="4" width="37.5703125" customWidth="1"/>
    <col min="5" max="5" width="29.5703125" customWidth="1"/>
    <col min="6" max="6" width="27.7109375" customWidth="1"/>
    <col min="7" max="7" width="15.7109375" customWidth="1"/>
    <col min="8" max="8" width="24.28515625" customWidth="1"/>
    <col min="9" max="9" width="18.85546875" customWidth="1"/>
    <col min="10" max="10" width="28.140625" customWidth="1"/>
    <col min="11" max="11" width="30.5703125" customWidth="1"/>
    <col min="12" max="12" width="25" customWidth="1"/>
    <col min="13" max="13" width="25.28515625" customWidth="1"/>
    <col min="14" max="15" width="15.7109375" customWidth="1"/>
    <col min="16" max="16" width="22.85546875" customWidth="1"/>
    <col min="17" max="17" width="29.140625" customWidth="1"/>
    <col min="18" max="18" width="25.5703125" customWidth="1"/>
    <col min="19" max="19" width="19.42578125" customWidth="1"/>
    <col min="20" max="20" width="26.7109375" customWidth="1"/>
    <col min="21" max="22" width="15.7109375" customWidth="1"/>
    <col min="23" max="23" width="24" customWidth="1"/>
    <col min="24" max="24" width="30.7109375" customWidth="1"/>
    <col min="25" max="25" width="28.5703125" customWidth="1"/>
    <col min="26" max="26" width="24" customWidth="1"/>
    <col min="27" max="27" width="25.5703125" customWidth="1"/>
    <col min="28" max="41" width="15.7109375" customWidth="1"/>
    <col min="42" max="42" width="96.42578125" customWidth="1"/>
    <col min="43" max="153" width="15.7109375" customWidth="1"/>
  </cols>
  <sheetData>
    <row r="1" spans="1:42" ht="35.1" customHeight="1" x14ac:dyDescent="0.4">
      <c r="A1" s="172" t="s">
        <v>326</v>
      </c>
      <c r="B1" s="194" t="s">
        <v>528</v>
      </c>
      <c r="C1" s="195"/>
      <c r="D1" s="206" t="s">
        <v>328</v>
      </c>
      <c r="E1" s="194" t="s">
        <v>529</v>
      </c>
      <c r="F1" s="194"/>
      <c r="G1" s="194"/>
      <c r="H1" s="194" t="s">
        <v>530</v>
      </c>
      <c r="I1" s="194"/>
      <c r="J1" s="194"/>
      <c r="K1" s="194"/>
      <c r="L1" s="194"/>
      <c r="M1" s="194"/>
      <c r="Q1" s="194"/>
      <c r="R1" s="194"/>
    </row>
    <row r="2" spans="1:42" ht="35.1" customHeight="1" x14ac:dyDescent="0.4">
      <c r="A2" s="173" t="s">
        <v>331</v>
      </c>
      <c r="B2" s="194" t="s">
        <v>531</v>
      </c>
      <c r="C2" s="194"/>
      <c r="D2" s="194"/>
      <c r="E2" s="194" t="s">
        <v>532</v>
      </c>
      <c r="F2" s="194"/>
      <c r="G2" s="194"/>
      <c r="H2" s="194" t="s">
        <v>374</v>
      </c>
      <c r="I2" s="195"/>
      <c r="J2" s="194"/>
      <c r="K2" s="194"/>
      <c r="O2" s="194"/>
    </row>
    <row r="3" spans="1:42" ht="35.1" customHeight="1" x14ac:dyDescent="0.35">
      <c r="AP3" s="451" t="s">
        <v>373</v>
      </c>
    </row>
    <row r="4" spans="1:42" ht="35.1" customHeight="1" x14ac:dyDescent="0.35">
      <c r="M4" s="490" t="s">
        <v>376</v>
      </c>
      <c r="W4" s="311"/>
      <c r="X4" s="310"/>
    </row>
    <row r="5" spans="1:42" ht="35.1" customHeight="1" x14ac:dyDescent="0.25">
      <c r="A5" s="332" t="s">
        <v>533</v>
      </c>
      <c r="B5" s="294" t="s">
        <v>534</v>
      </c>
      <c r="C5" s="294" t="s">
        <v>535</v>
      </c>
      <c r="D5" s="294" t="s">
        <v>536</v>
      </c>
      <c r="E5" s="294"/>
      <c r="F5" s="294"/>
      <c r="H5" s="332" t="s">
        <v>537</v>
      </c>
      <c r="I5" s="294" t="s">
        <v>538</v>
      </c>
      <c r="J5" s="294" t="s">
        <v>539</v>
      </c>
      <c r="K5" s="294" t="s">
        <v>540</v>
      </c>
      <c r="L5" s="294"/>
      <c r="M5" s="294"/>
      <c r="O5" s="332" t="s">
        <v>541</v>
      </c>
      <c r="P5" s="294" t="s">
        <v>542</v>
      </c>
      <c r="Q5" s="294" t="s">
        <v>543</v>
      </c>
      <c r="R5" s="294" t="s">
        <v>544</v>
      </c>
      <c r="S5" s="294"/>
      <c r="T5" s="294"/>
      <c r="V5" s="332" t="s">
        <v>545</v>
      </c>
      <c r="W5" s="294" t="s">
        <v>546</v>
      </c>
      <c r="X5" s="294" t="s">
        <v>547</v>
      </c>
      <c r="Y5" s="294" t="s">
        <v>548</v>
      </c>
      <c r="Z5" s="294"/>
      <c r="AA5" s="333"/>
      <c r="AP5" t="s">
        <v>549</v>
      </c>
    </row>
    <row r="6" spans="1:42" ht="35.1" customHeight="1" x14ac:dyDescent="0.3">
      <c r="A6" s="273"/>
      <c r="B6" s="335" t="s">
        <v>153</v>
      </c>
      <c r="C6" s="335" t="s">
        <v>154</v>
      </c>
      <c r="D6" s="335" t="s">
        <v>155</v>
      </c>
      <c r="E6" s="335" t="s">
        <v>156</v>
      </c>
      <c r="F6" s="335" t="s">
        <v>157</v>
      </c>
      <c r="H6" s="273"/>
      <c r="I6" s="335" t="s">
        <v>153</v>
      </c>
      <c r="J6" s="335" t="s">
        <v>154</v>
      </c>
      <c r="K6" s="335" t="s">
        <v>155</v>
      </c>
      <c r="L6" s="335" t="s">
        <v>156</v>
      </c>
      <c r="M6" s="335" t="s">
        <v>157</v>
      </c>
      <c r="N6" s="112"/>
      <c r="O6" s="273"/>
      <c r="P6" s="335" t="s">
        <v>153</v>
      </c>
      <c r="Q6" s="335" t="s">
        <v>154</v>
      </c>
      <c r="R6" s="335" t="s">
        <v>155</v>
      </c>
      <c r="S6" s="335" t="s">
        <v>156</v>
      </c>
      <c r="T6" s="335" t="s">
        <v>157</v>
      </c>
      <c r="U6" s="112"/>
      <c r="V6" s="273"/>
      <c r="W6" s="334" t="s">
        <v>153</v>
      </c>
      <c r="X6" s="335" t="s">
        <v>154</v>
      </c>
      <c r="Y6" s="335" t="s">
        <v>155</v>
      </c>
      <c r="Z6" s="335" t="s">
        <v>156</v>
      </c>
      <c r="AA6" s="335" t="s">
        <v>157</v>
      </c>
      <c r="AB6" s="112"/>
      <c r="AC6" s="112"/>
      <c r="AP6" t="s">
        <v>550</v>
      </c>
    </row>
    <row r="7" spans="1:42" ht="39.75" customHeight="1" x14ac:dyDescent="0.35">
      <c r="A7" s="295" t="s">
        <v>343</v>
      </c>
      <c r="B7" s="321"/>
      <c r="C7" s="342"/>
      <c r="D7" s="404" t="s">
        <v>551</v>
      </c>
      <c r="E7" s="402" t="s">
        <v>552</v>
      </c>
      <c r="F7" s="402" t="s">
        <v>552</v>
      </c>
      <c r="H7" s="295" t="s">
        <v>343</v>
      </c>
      <c r="I7" s="336"/>
      <c r="J7" s="489" t="s">
        <v>380</v>
      </c>
      <c r="K7" s="336"/>
      <c r="L7" s="489" t="s">
        <v>380</v>
      </c>
      <c r="M7" s="400" t="s">
        <v>553</v>
      </c>
      <c r="O7" s="295" t="s">
        <v>343</v>
      </c>
      <c r="P7" s="402" t="s">
        <v>554</v>
      </c>
      <c r="Q7" s="321"/>
      <c r="R7" s="321"/>
      <c r="S7" s="402" t="s">
        <v>554</v>
      </c>
      <c r="T7" s="273"/>
      <c r="V7" s="295" t="s">
        <v>343</v>
      </c>
      <c r="W7" s="444"/>
      <c r="X7" s="417" t="s">
        <v>381</v>
      </c>
      <c r="Y7" s="444"/>
      <c r="Z7" s="442" t="s">
        <v>380</v>
      </c>
      <c r="AA7" s="444"/>
      <c r="AP7" t="s">
        <v>555</v>
      </c>
    </row>
    <row r="8" spans="1:42" ht="35.1" customHeight="1" x14ac:dyDescent="0.35">
      <c r="A8" s="295" t="s">
        <v>349</v>
      </c>
      <c r="B8" s="321"/>
      <c r="C8" s="342"/>
      <c r="D8" s="404" t="s">
        <v>551</v>
      </c>
      <c r="E8" s="402" t="s">
        <v>552</v>
      </c>
      <c r="F8" s="402" t="s">
        <v>552</v>
      </c>
      <c r="H8" s="295" t="s">
        <v>349</v>
      </c>
      <c r="I8" s="336"/>
      <c r="J8" s="336"/>
      <c r="K8" s="336"/>
      <c r="L8" s="338"/>
      <c r="M8" s="400" t="s">
        <v>553</v>
      </c>
      <c r="O8" s="295" t="s">
        <v>349</v>
      </c>
      <c r="P8" s="402" t="s">
        <v>554</v>
      </c>
      <c r="Q8" s="402" t="s">
        <v>554</v>
      </c>
      <c r="R8" s="321"/>
      <c r="S8" s="402" t="s">
        <v>554</v>
      </c>
      <c r="T8" s="273"/>
      <c r="V8" s="295" t="s">
        <v>349</v>
      </c>
      <c r="W8" s="444"/>
      <c r="X8" s="444"/>
      <c r="Y8" s="444"/>
      <c r="Z8" s="444"/>
      <c r="AA8" s="444"/>
      <c r="AP8" t="s">
        <v>556</v>
      </c>
    </row>
    <row r="9" spans="1:42" ht="35.1" customHeight="1" x14ac:dyDescent="0.35">
      <c r="A9" s="295" t="s">
        <v>305</v>
      </c>
      <c r="B9" s="321"/>
      <c r="C9" s="342"/>
      <c r="D9" s="404" t="s">
        <v>551</v>
      </c>
      <c r="E9" s="402" t="s">
        <v>552</v>
      </c>
      <c r="F9" s="402" t="s">
        <v>552</v>
      </c>
      <c r="H9" s="295" t="s">
        <v>305</v>
      </c>
      <c r="I9" s="337" t="s">
        <v>557</v>
      </c>
      <c r="J9" s="336"/>
      <c r="K9" s="489" t="s">
        <v>380</v>
      </c>
      <c r="L9" s="338"/>
      <c r="M9" s="400" t="s">
        <v>553</v>
      </c>
      <c r="O9" s="295" t="s">
        <v>305</v>
      </c>
      <c r="P9" s="402" t="s">
        <v>554</v>
      </c>
      <c r="Q9" s="402" t="s">
        <v>554</v>
      </c>
      <c r="R9" s="321"/>
      <c r="S9" s="402" t="s">
        <v>554</v>
      </c>
      <c r="T9" s="273"/>
      <c r="V9" s="295" t="s">
        <v>305</v>
      </c>
      <c r="W9" s="444"/>
      <c r="X9" s="444"/>
      <c r="Y9" s="442" t="s">
        <v>380</v>
      </c>
      <c r="Z9" s="444"/>
      <c r="AA9" s="444"/>
      <c r="AP9" t="s">
        <v>558</v>
      </c>
    </row>
    <row r="10" spans="1:42" ht="47.25" customHeight="1" x14ac:dyDescent="0.35">
      <c r="A10" s="295" t="s">
        <v>308</v>
      </c>
      <c r="B10" s="321"/>
      <c r="C10" s="342"/>
      <c r="D10" s="404" t="s">
        <v>551</v>
      </c>
      <c r="E10" s="402" t="s">
        <v>552</v>
      </c>
      <c r="F10" s="402" t="s">
        <v>552</v>
      </c>
      <c r="H10" s="295" t="s">
        <v>308</v>
      </c>
      <c r="I10" s="337" t="s">
        <v>557</v>
      </c>
      <c r="J10" s="336"/>
      <c r="K10" s="336"/>
      <c r="L10" s="338"/>
      <c r="M10" s="400" t="s">
        <v>553</v>
      </c>
      <c r="O10" s="295" t="s">
        <v>308</v>
      </c>
      <c r="P10" s="402" t="s">
        <v>554</v>
      </c>
      <c r="Q10" s="402" t="s">
        <v>554</v>
      </c>
      <c r="R10" s="321"/>
      <c r="S10" s="402" t="s">
        <v>554</v>
      </c>
      <c r="T10" s="273"/>
      <c r="V10" s="295" t="s">
        <v>308</v>
      </c>
      <c r="W10" s="417" t="s">
        <v>381</v>
      </c>
      <c r="X10" s="444"/>
      <c r="Y10" s="444"/>
      <c r="Z10" s="444"/>
      <c r="AA10" s="417" t="s">
        <v>381</v>
      </c>
      <c r="AP10" t="s">
        <v>559</v>
      </c>
    </row>
    <row r="11" spans="1:42" ht="35.1" customHeight="1" x14ac:dyDescent="0.35">
      <c r="A11" s="295" t="s">
        <v>310</v>
      </c>
      <c r="B11" s="489" t="s">
        <v>380</v>
      </c>
      <c r="C11" s="342"/>
      <c r="D11" s="342"/>
      <c r="E11" s="402" t="s">
        <v>552</v>
      </c>
      <c r="F11" s="402" t="s">
        <v>552</v>
      </c>
      <c r="H11" s="295" t="s">
        <v>310</v>
      </c>
      <c r="I11" s="480" t="s">
        <v>560</v>
      </c>
      <c r="J11" s="489" t="s">
        <v>380</v>
      </c>
      <c r="K11" s="407"/>
      <c r="L11" s="339" t="s">
        <v>553</v>
      </c>
      <c r="M11" s="273"/>
      <c r="O11" s="295" t="s">
        <v>310</v>
      </c>
      <c r="P11" s="402" t="s">
        <v>554</v>
      </c>
      <c r="Q11" s="402" t="s">
        <v>554</v>
      </c>
      <c r="R11" s="321"/>
      <c r="S11" s="402" t="s">
        <v>554</v>
      </c>
      <c r="T11" s="273"/>
      <c r="V11" s="295" t="s">
        <v>310</v>
      </c>
      <c r="W11" s="445"/>
      <c r="X11" s="445"/>
      <c r="Y11" s="445"/>
      <c r="Z11" s="443" t="s">
        <v>380</v>
      </c>
      <c r="AA11" s="445"/>
      <c r="AP11" t="s">
        <v>561</v>
      </c>
    </row>
    <row r="12" spans="1:42" ht="35.1" customHeight="1" x14ac:dyDescent="0.35">
      <c r="A12" s="295" t="s">
        <v>312</v>
      </c>
      <c r="B12" s="321"/>
      <c r="C12" s="342"/>
      <c r="D12" s="342"/>
      <c r="E12" s="402" t="s">
        <v>552</v>
      </c>
      <c r="F12" s="402" t="s">
        <v>552</v>
      </c>
      <c r="H12" s="295" t="s">
        <v>312</v>
      </c>
      <c r="I12" s="480" t="s">
        <v>562</v>
      </c>
      <c r="J12" s="407"/>
      <c r="K12" s="407"/>
      <c r="L12" s="345" t="s">
        <v>553</v>
      </c>
      <c r="M12" s="273"/>
      <c r="O12" s="295" t="s">
        <v>312</v>
      </c>
      <c r="P12" s="402" t="s">
        <v>554</v>
      </c>
      <c r="Q12" s="402" t="s">
        <v>554</v>
      </c>
      <c r="R12" s="321"/>
      <c r="S12" s="402" t="s">
        <v>554</v>
      </c>
      <c r="T12" s="273"/>
      <c r="V12" s="295" t="s">
        <v>312</v>
      </c>
      <c r="W12" s="445"/>
      <c r="X12" s="445"/>
      <c r="Y12" s="445"/>
      <c r="Z12" s="445"/>
      <c r="AA12" s="445"/>
      <c r="AP12" t="s">
        <v>563</v>
      </c>
    </row>
    <row r="13" spans="1:42" ht="35.1" customHeight="1" x14ac:dyDescent="0.35">
      <c r="A13" s="295" t="s">
        <v>315</v>
      </c>
      <c r="B13" s="489" t="s">
        <v>380</v>
      </c>
      <c r="C13" s="342"/>
      <c r="D13" s="342"/>
      <c r="E13" s="402" t="s">
        <v>552</v>
      </c>
      <c r="F13" s="402" t="s">
        <v>552</v>
      </c>
      <c r="H13" s="295" t="s">
        <v>315</v>
      </c>
      <c r="I13" s="337" t="s">
        <v>557</v>
      </c>
      <c r="J13" s="336"/>
      <c r="K13" s="336"/>
      <c r="L13" s="338"/>
      <c r="M13" s="339" t="s">
        <v>553</v>
      </c>
      <c r="O13" s="295" t="s">
        <v>315</v>
      </c>
      <c r="P13" s="403" t="s">
        <v>554</v>
      </c>
      <c r="Q13" s="403" t="s">
        <v>554</v>
      </c>
      <c r="R13" s="347"/>
      <c r="S13" s="403" t="s">
        <v>554</v>
      </c>
      <c r="T13" s="348"/>
      <c r="V13" s="295" t="s">
        <v>315</v>
      </c>
      <c r="W13" s="445"/>
      <c r="X13" s="445"/>
      <c r="Y13" s="445"/>
      <c r="Z13" s="445"/>
      <c r="AA13" s="445"/>
      <c r="AP13" t="s">
        <v>564</v>
      </c>
    </row>
    <row r="14" spans="1:42" ht="35.1" customHeight="1" x14ac:dyDescent="0.35">
      <c r="A14" s="295" t="s">
        <v>352</v>
      </c>
      <c r="B14" s="347"/>
      <c r="C14" s="409"/>
      <c r="D14" s="409"/>
      <c r="E14" s="403" t="s">
        <v>552</v>
      </c>
      <c r="F14" s="403" t="s">
        <v>552</v>
      </c>
      <c r="H14" s="295" t="s">
        <v>352</v>
      </c>
      <c r="I14" s="481" t="s">
        <v>557</v>
      </c>
      <c r="J14" s="408"/>
      <c r="K14" s="408"/>
      <c r="L14" s="344"/>
      <c r="M14" s="345" t="s">
        <v>553</v>
      </c>
      <c r="O14" s="343" t="s">
        <v>352</v>
      </c>
      <c r="P14" s="403" t="s">
        <v>554</v>
      </c>
      <c r="Q14" s="403" t="s">
        <v>554</v>
      </c>
      <c r="R14" s="347"/>
      <c r="S14" s="403" t="s">
        <v>554</v>
      </c>
      <c r="T14" s="348"/>
      <c r="V14" s="295" t="s">
        <v>352</v>
      </c>
      <c r="W14" s="446"/>
      <c r="X14" s="446"/>
      <c r="Y14" s="446"/>
      <c r="Z14" s="446"/>
      <c r="AA14" s="446"/>
      <c r="AP14" t="s">
        <v>565</v>
      </c>
    </row>
    <row r="15" spans="1:42" ht="35.1" customHeight="1" x14ac:dyDescent="0.25">
      <c r="A15" s="343" t="s">
        <v>353</v>
      </c>
      <c r="B15" s="532" t="s">
        <v>354</v>
      </c>
      <c r="C15" s="533"/>
      <c r="D15" s="533"/>
      <c r="E15" s="533"/>
      <c r="F15" s="534"/>
      <c r="H15" s="343" t="s">
        <v>353</v>
      </c>
      <c r="I15" s="538" t="s">
        <v>354</v>
      </c>
      <c r="J15" s="539"/>
      <c r="K15" s="539"/>
      <c r="L15" s="539"/>
      <c r="M15" s="540"/>
      <c r="O15" s="343" t="s">
        <v>353</v>
      </c>
      <c r="P15" s="538" t="s">
        <v>354</v>
      </c>
      <c r="Q15" s="539"/>
      <c r="R15" s="539"/>
      <c r="S15" s="539"/>
      <c r="T15" s="540"/>
      <c r="V15" s="343" t="s">
        <v>353</v>
      </c>
      <c r="W15" s="526" t="s">
        <v>354</v>
      </c>
      <c r="X15" s="527"/>
      <c r="Y15" s="527"/>
      <c r="Z15" s="527"/>
      <c r="AA15" s="528"/>
      <c r="AP15" t="s">
        <v>566</v>
      </c>
    </row>
    <row r="16" spans="1:42" ht="35.1" customHeight="1" thickBot="1" x14ac:dyDescent="0.3">
      <c r="A16" s="343" t="s">
        <v>355</v>
      </c>
      <c r="B16" s="535"/>
      <c r="C16" s="536"/>
      <c r="D16" s="536"/>
      <c r="E16" s="536"/>
      <c r="F16" s="537"/>
      <c r="H16" s="343" t="s">
        <v>355</v>
      </c>
      <c r="I16" s="541"/>
      <c r="J16" s="542"/>
      <c r="K16" s="542"/>
      <c r="L16" s="542"/>
      <c r="M16" s="543"/>
      <c r="O16" s="295" t="s">
        <v>355</v>
      </c>
      <c r="P16" s="541"/>
      <c r="Q16" s="542"/>
      <c r="R16" s="542"/>
      <c r="S16" s="542"/>
      <c r="T16" s="543"/>
      <c r="V16" s="343" t="s">
        <v>355</v>
      </c>
      <c r="W16" s="529"/>
      <c r="X16" s="530"/>
      <c r="Y16" s="530"/>
      <c r="Z16" s="530"/>
      <c r="AA16" s="531"/>
      <c r="AP16" t="s">
        <v>567</v>
      </c>
    </row>
    <row r="17" spans="1:42" ht="49.5" customHeight="1" x14ac:dyDescent="0.35">
      <c r="A17" s="295" t="s">
        <v>318</v>
      </c>
      <c r="B17" s="410"/>
      <c r="C17" s="405" t="s">
        <v>551</v>
      </c>
      <c r="D17" s="405" t="s">
        <v>551</v>
      </c>
      <c r="E17" s="410"/>
      <c r="F17" s="406" t="s">
        <v>552</v>
      </c>
      <c r="H17" s="295" t="s">
        <v>318</v>
      </c>
      <c r="I17" s="482" t="s">
        <v>557</v>
      </c>
      <c r="J17" s="443" t="s">
        <v>380</v>
      </c>
      <c r="K17" s="482" t="s">
        <v>557</v>
      </c>
      <c r="L17" s="346"/>
      <c r="M17" s="401" t="s">
        <v>553</v>
      </c>
      <c r="O17" s="295" t="s">
        <v>318</v>
      </c>
      <c r="P17" s="402" t="s">
        <v>554</v>
      </c>
      <c r="Q17" s="321"/>
      <c r="R17" s="321"/>
      <c r="S17" s="321"/>
      <c r="T17" s="443" t="s">
        <v>380</v>
      </c>
      <c r="V17" s="295" t="s">
        <v>318</v>
      </c>
      <c r="W17" s="417" t="s">
        <v>381</v>
      </c>
      <c r="X17" s="447"/>
      <c r="Y17" s="447"/>
      <c r="Z17" s="447"/>
      <c r="AA17" s="447"/>
      <c r="AP17" t="s">
        <v>568</v>
      </c>
    </row>
    <row r="18" spans="1:42" ht="35.1" customHeight="1" x14ac:dyDescent="0.35">
      <c r="A18" s="295" t="s">
        <v>321</v>
      </c>
      <c r="B18" s="321"/>
      <c r="C18" s="404" t="s">
        <v>551</v>
      </c>
      <c r="D18" s="404" t="s">
        <v>551</v>
      </c>
      <c r="E18" s="321"/>
      <c r="F18" s="402" t="s">
        <v>552</v>
      </c>
      <c r="H18" s="295" t="s">
        <v>321</v>
      </c>
      <c r="I18" s="337" t="s">
        <v>557</v>
      </c>
      <c r="J18" s="336"/>
      <c r="K18" s="337" t="s">
        <v>557</v>
      </c>
      <c r="L18" s="340"/>
      <c r="M18" s="400" t="s">
        <v>553</v>
      </c>
      <c r="O18" s="295" t="s">
        <v>321</v>
      </c>
      <c r="P18" s="402" t="s">
        <v>554</v>
      </c>
      <c r="Q18" s="321"/>
      <c r="R18" s="321"/>
      <c r="S18" s="321"/>
      <c r="T18" s="319"/>
      <c r="V18" s="295" t="s">
        <v>321</v>
      </c>
      <c r="W18" s="444"/>
      <c r="X18" s="444"/>
      <c r="Y18" s="444"/>
      <c r="Z18" s="444"/>
      <c r="AA18" s="444"/>
      <c r="AP18" t="s">
        <v>569</v>
      </c>
    </row>
    <row r="19" spans="1:42" ht="51" customHeight="1" x14ac:dyDescent="0.35">
      <c r="A19" s="295" t="s">
        <v>324</v>
      </c>
      <c r="B19" s="321"/>
      <c r="C19" s="404" t="s">
        <v>551</v>
      </c>
      <c r="D19" s="404" t="s">
        <v>551</v>
      </c>
      <c r="E19" s="321"/>
      <c r="F19" s="402" t="s">
        <v>552</v>
      </c>
      <c r="H19" s="295" t="s">
        <v>324</v>
      </c>
      <c r="I19" s="337" t="s">
        <v>557</v>
      </c>
      <c r="J19" s="336"/>
      <c r="K19" s="337" t="s">
        <v>557</v>
      </c>
      <c r="L19" s="340"/>
      <c r="M19" s="400" t="s">
        <v>553</v>
      </c>
      <c r="O19" s="295" t="s">
        <v>324</v>
      </c>
      <c r="P19" s="402" t="s">
        <v>554</v>
      </c>
      <c r="Q19" s="321"/>
      <c r="R19" s="321"/>
      <c r="S19" s="321"/>
      <c r="T19" s="273"/>
      <c r="V19" s="295" t="s">
        <v>324</v>
      </c>
      <c r="W19" s="444"/>
      <c r="X19" s="444"/>
      <c r="Y19" s="444"/>
      <c r="Z19" s="444"/>
      <c r="AA19" s="417" t="s">
        <v>381</v>
      </c>
      <c r="AP19" t="s">
        <v>570</v>
      </c>
    </row>
    <row r="20" spans="1:42" ht="45.75" customHeight="1" x14ac:dyDescent="0.35">
      <c r="A20" s="295" t="s">
        <v>325</v>
      </c>
      <c r="B20" s="321"/>
      <c r="C20" s="404" t="s">
        <v>551</v>
      </c>
      <c r="D20" s="404" t="s">
        <v>551</v>
      </c>
      <c r="E20" s="321"/>
      <c r="F20" s="402" t="s">
        <v>552</v>
      </c>
      <c r="H20" s="295" t="s">
        <v>325</v>
      </c>
      <c r="I20" s="337" t="s">
        <v>557</v>
      </c>
      <c r="J20" s="336"/>
      <c r="K20" s="337" t="s">
        <v>557</v>
      </c>
      <c r="L20" s="340"/>
      <c r="M20" s="400" t="s">
        <v>553</v>
      </c>
      <c r="O20" s="295" t="s">
        <v>325</v>
      </c>
      <c r="P20" s="402" t="s">
        <v>554</v>
      </c>
      <c r="Q20" s="321"/>
      <c r="R20" s="321"/>
      <c r="S20" s="321"/>
      <c r="T20" s="273"/>
      <c r="V20" s="295" t="s">
        <v>325</v>
      </c>
      <c r="W20" s="417" t="s">
        <v>381</v>
      </c>
      <c r="X20" s="444"/>
      <c r="Y20" s="444"/>
      <c r="Z20" s="417" t="s">
        <v>381</v>
      </c>
      <c r="AA20" s="444"/>
      <c r="AP20" t="s">
        <v>571</v>
      </c>
    </row>
    <row r="21" spans="1:42" ht="39" customHeight="1" x14ac:dyDescent="0.35">
      <c r="A21" s="295" t="s">
        <v>357</v>
      </c>
      <c r="B21" s="321"/>
      <c r="C21" s="404" t="s">
        <v>551</v>
      </c>
      <c r="D21" s="404" t="s">
        <v>551</v>
      </c>
      <c r="E21" s="321"/>
      <c r="F21" s="402" t="s">
        <v>552</v>
      </c>
      <c r="H21" s="295" t="s">
        <v>357</v>
      </c>
      <c r="I21" s="337" t="s">
        <v>557</v>
      </c>
      <c r="J21" s="336"/>
      <c r="K21" s="337" t="s">
        <v>557</v>
      </c>
      <c r="L21" s="340"/>
      <c r="M21" s="400" t="s">
        <v>553</v>
      </c>
      <c r="O21" s="295" t="s">
        <v>357</v>
      </c>
      <c r="P21" s="402" t="s">
        <v>554</v>
      </c>
      <c r="Q21" s="321"/>
      <c r="R21" s="321"/>
      <c r="S21" s="321"/>
      <c r="T21" s="273"/>
      <c r="V21" s="295" t="s">
        <v>357</v>
      </c>
      <c r="W21" s="387"/>
      <c r="X21" s="448"/>
      <c r="Y21" s="449"/>
      <c r="Z21" s="448"/>
      <c r="AA21" s="448"/>
      <c r="AP21" t="s">
        <v>572</v>
      </c>
    </row>
    <row r="22" spans="1:42" ht="48.75" customHeight="1" x14ac:dyDescent="0.35">
      <c r="A22" s="295" t="s">
        <v>358</v>
      </c>
      <c r="B22" s="273"/>
      <c r="C22" s="342"/>
      <c r="D22" s="336"/>
      <c r="E22" s="336"/>
      <c r="F22" s="321"/>
      <c r="H22" s="295" t="s">
        <v>358</v>
      </c>
      <c r="I22" s="336"/>
      <c r="J22" s="341"/>
      <c r="K22" s="273"/>
      <c r="L22" s="340"/>
      <c r="M22" s="321"/>
      <c r="O22" s="295" t="s">
        <v>358</v>
      </c>
      <c r="P22" s="321"/>
      <c r="Q22" s="321"/>
      <c r="R22" s="321"/>
      <c r="S22" s="321"/>
      <c r="T22" s="273"/>
      <c r="V22" s="295" t="s">
        <v>358</v>
      </c>
      <c r="W22" s="387"/>
      <c r="X22" s="448"/>
      <c r="Y22" s="449"/>
      <c r="Z22" s="448"/>
      <c r="AA22" s="448"/>
      <c r="AP22" s="457" t="s">
        <v>573</v>
      </c>
    </row>
    <row r="23" spans="1:42" ht="30" customHeight="1" x14ac:dyDescent="0.25">
      <c r="AP23" s="457" t="s">
        <v>574</v>
      </c>
    </row>
    <row r="24" spans="1:42" ht="30" customHeight="1" x14ac:dyDescent="0.25">
      <c r="AP24" t="s">
        <v>575</v>
      </c>
    </row>
    <row r="25" spans="1:42" ht="35.1" customHeight="1" x14ac:dyDescent="0.25">
      <c r="Y25" s="292"/>
      <c r="AP25" t="s">
        <v>576</v>
      </c>
    </row>
    <row r="26" spans="1:42" ht="35.1" customHeight="1" x14ac:dyDescent="0.25">
      <c r="AP26" t="s">
        <v>577</v>
      </c>
    </row>
    <row r="27" spans="1:42" ht="35.1" customHeight="1" x14ac:dyDescent="0.25"/>
    <row r="28" spans="1:42" ht="35.1" customHeight="1" x14ac:dyDescent="0.25"/>
    <row r="29" spans="1:42" ht="35.1" customHeight="1" x14ac:dyDescent="0.25"/>
    <row r="30" spans="1:42" ht="35.1" customHeight="1" x14ac:dyDescent="0.25"/>
    <row r="31" spans="1:42" ht="35.1" customHeight="1" x14ac:dyDescent="0.25"/>
    <row r="32" spans="1:42" ht="35.1" customHeight="1" x14ac:dyDescent="0.25"/>
    <row r="33" ht="35.1" customHeight="1" x14ac:dyDescent="0.25"/>
    <row r="34" ht="35.1" customHeight="1" x14ac:dyDescent="0.25"/>
    <row r="35" ht="35.1" customHeight="1" x14ac:dyDescent="0.25"/>
    <row r="36" ht="35.1" customHeight="1" x14ac:dyDescent="0.25"/>
    <row r="37" ht="35.1" customHeight="1" x14ac:dyDescent="0.25"/>
    <row r="38" ht="35.1" customHeight="1" x14ac:dyDescent="0.25"/>
    <row r="39" ht="35.1" customHeight="1" x14ac:dyDescent="0.25"/>
    <row r="40" ht="35.1" customHeight="1" x14ac:dyDescent="0.25"/>
    <row r="41" ht="35.1" customHeight="1" x14ac:dyDescent="0.25"/>
    <row r="42" ht="35.1" customHeight="1" x14ac:dyDescent="0.25"/>
    <row r="43" ht="35.1" customHeight="1" x14ac:dyDescent="0.25"/>
    <row r="44" ht="35.1" customHeight="1" x14ac:dyDescent="0.25"/>
    <row r="45" ht="35.1" customHeight="1" x14ac:dyDescent="0.25"/>
    <row r="46" ht="35.1" customHeight="1" x14ac:dyDescent="0.25"/>
    <row r="47" ht="35.1" customHeight="1" x14ac:dyDescent="0.25"/>
    <row r="48" ht="35.1" customHeight="1" x14ac:dyDescent="0.25"/>
    <row r="49" ht="35.1" customHeight="1" x14ac:dyDescent="0.25"/>
    <row r="50" ht="35.1" customHeight="1" x14ac:dyDescent="0.25"/>
    <row r="51" ht="35.1" customHeight="1" x14ac:dyDescent="0.25"/>
    <row r="52" ht="35.1" customHeight="1" x14ac:dyDescent="0.25"/>
    <row r="53" ht="35.1" customHeight="1" x14ac:dyDescent="0.25"/>
    <row r="54" ht="35.1" customHeight="1" x14ac:dyDescent="0.25"/>
    <row r="55" ht="35.1" customHeight="1" x14ac:dyDescent="0.25"/>
    <row r="56" ht="35.1" customHeight="1" x14ac:dyDescent="0.25"/>
    <row r="57" ht="35.1" customHeight="1" x14ac:dyDescent="0.25"/>
    <row r="58" ht="35.1" customHeight="1" x14ac:dyDescent="0.25"/>
    <row r="59" ht="35.1" customHeight="1" x14ac:dyDescent="0.25"/>
    <row r="60" ht="35.1" customHeight="1" x14ac:dyDescent="0.25"/>
    <row r="61" ht="35.1" customHeight="1" x14ac:dyDescent="0.25"/>
    <row r="62" ht="35.1" customHeight="1" x14ac:dyDescent="0.25"/>
    <row r="63" ht="35.1" customHeight="1" x14ac:dyDescent="0.25"/>
    <row r="64" ht="35.1" customHeight="1" x14ac:dyDescent="0.25"/>
    <row r="65" ht="35.1" customHeight="1" x14ac:dyDescent="0.25"/>
    <row r="66" ht="35.1" customHeight="1" x14ac:dyDescent="0.25"/>
    <row r="67" ht="35.1" customHeight="1" x14ac:dyDescent="0.25"/>
    <row r="68" ht="35.1" customHeight="1" x14ac:dyDescent="0.25"/>
    <row r="69" ht="35.1" customHeight="1" x14ac:dyDescent="0.25"/>
    <row r="70" ht="35.1" customHeight="1" x14ac:dyDescent="0.25"/>
    <row r="71" ht="35.1" customHeight="1" x14ac:dyDescent="0.25"/>
    <row r="72" ht="35.1" customHeight="1" x14ac:dyDescent="0.25"/>
    <row r="73" ht="35.1" customHeight="1" x14ac:dyDescent="0.25"/>
    <row r="74" ht="35.1" customHeight="1" x14ac:dyDescent="0.25"/>
    <row r="75" ht="35.1" customHeight="1" x14ac:dyDescent="0.25"/>
    <row r="76" ht="35.1" customHeight="1" x14ac:dyDescent="0.25"/>
    <row r="77" ht="35.1" customHeight="1" x14ac:dyDescent="0.25"/>
    <row r="78" ht="35.1" customHeight="1" x14ac:dyDescent="0.25"/>
    <row r="79" ht="35.1" customHeight="1" x14ac:dyDescent="0.25"/>
    <row r="80" ht="35.1" customHeight="1" x14ac:dyDescent="0.25"/>
    <row r="81" ht="35.1" customHeight="1" x14ac:dyDescent="0.25"/>
    <row r="82" ht="35.1" customHeight="1" x14ac:dyDescent="0.25"/>
    <row r="83" ht="35.1" customHeight="1" x14ac:dyDescent="0.25"/>
    <row r="84" ht="35.1" customHeight="1" x14ac:dyDescent="0.25"/>
    <row r="85" ht="35.1" customHeight="1" x14ac:dyDescent="0.25"/>
    <row r="86" ht="35.1" customHeight="1" x14ac:dyDescent="0.25"/>
    <row r="87" ht="35.1" customHeight="1" x14ac:dyDescent="0.25"/>
    <row r="88" ht="35.1" customHeight="1" x14ac:dyDescent="0.25"/>
    <row r="89" ht="35.1" customHeight="1" x14ac:dyDescent="0.25"/>
    <row r="90" ht="35.1" customHeight="1" x14ac:dyDescent="0.25"/>
    <row r="91" ht="35.1" customHeight="1" x14ac:dyDescent="0.25"/>
    <row r="92" ht="35.1" customHeight="1" x14ac:dyDescent="0.25"/>
    <row r="93" ht="35.1" customHeight="1" x14ac:dyDescent="0.25"/>
    <row r="94" ht="35.1" customHeight="1" x14ac:dyDescent="0.25"/>
    <row r="95" ht="35.1" customHeight="1" x14ac:dyDescent="0.25"/>
    <row r="96" ht="35.1" customHeight="1" x14ac:dyDescent="0.25"/>
    <row r="97" ht="35.1" customHeight="1" x14ac:dyDescent="0.25"/>
    <row r="98" ht="35.1" customHeight="1" x14ac:dyDescent="0.25"/>
    <row r="99" ht="35.1" customHeight="1" x14ac:dyDescent="0.25"/>
    <row r="100" ht="35.1" customHeight="1" x14ac:dyDescent="0.25"/>
    <row r="101" ht="35.1" customHeight="1" x14ac:dyDescent="0.25"/>
    <row r="102" ht="39.950000000000003" customHeight="1" x14ac:dyDescent="0.25"/>
    <row r="161" spans="1:13" ht="36" x14ac:dyDescent="0.25">
      <c r="A161" s="118" t="s">
        <v>578</v>
      </c>
      <c r="B161" s="122" t="s">
        <v>153</v>
      </c>
      <c r="C161" s="122" t="s">
        <v>154</v>
      </c>
      <c r="D161" s="122" t="s">
        <v>155</v>
      </c>
      <c r="E161" s="122" t="s">
        <v>156</v>
      </c>
      <c r="F161" s="122" t="s">
        <v>157</v>
      </c>
      <c r="H161" s="118" t="s">
        <v>579</v>
      </c>
      <c r="I161" s="122" t="s">
        <v>153</v>
      </c>
      <c r="J161" s="122" t="s">
        <v>154</v>
      </c>
      <c r="K161" s="122" t="s">
        <v>155</v>
      </c>
      <c r="L161" s="122" t="s">
        <v>156</v>
      </c>
      <c r="M161" s="122" t="s">
        <v>157</v>
      </c>
    </row>
    <row r="162" spans="1:13" ht="30" x14ac:dyDescent="0.25">
      <c r="A162" s="118" t="s">
        <v>349</v>
      </c>
      <c r="B162" s="322" t="s">
        <v>580</v>
      </c>
      <c r="C162" s="322" t="s">
        <v>580</v>
      </c>
      <c r="D162" s="322" t="s">
        <v>580</v>
      </c>
      <c r="E162" s="322" t="s">
        <v>580</v>
      </c>
      <c r="F162" s="322" t="s">
        <v>580</v>
      </c>
      <c r="H162" s="118" t="s">
        <v>349</v>
      </c>
      <c r="I162" s="193" t="s">
        <v>581</v>
      </c>
      <c r="J162" s="193" t="s">
        <v>581</v>
      </c>
      <c r="K162" s="133" t="s">
        <v>582</v>
      </c>
      <c r="L162" s="193" t="s">
        <v>581</v>
      </c>
      <c r="M162" s="193" t="s">
        <v>581</v>
      </c>
    </row>
    <row r="163" spans="1:13" ht="30" x14ac:dyDescent="0.25">
      <c r="A163" s="118" t="s">
        <v>305</v>
      </c>
      <c r="B163" s="322" t="s">
        <v>580</v>
      </c>
      <c r="C163" s="322" t="s">
        <v>580</v>
      </c>
      <c r="D163" s="322" t="s">
        <v>580</v>
      </c>
      <c r="E163" s="322" t="s">
        <v>580</v>
      </c>
      <c r="F163" s="322" t="s">
        <v>580</v>
      </c>
      <c r="H163" s="118" t="s">
        <v>305</v>
      </c>
      <c r="I163" s="193" t="s">
        <v>581</v>
      </c>
      <c r="J163" s="193" t="s">
        <v>581</v>
      </c>
      <c r="K163" s="133" t="s">
        <v>582</v>
      </c>
      <c r="L163" s="193" t="s">
        <v>581</v>
      </c>
      <c r="M163" s="193" t="s">
        <v>581</v>
      </c>
    </row>
    <row r="164" spans="1:13" ht="30" x14ac:dyDescent="0.25">
      <c r="A164" s="118" t="s">
        <v>308</v>
      </c>
      <c r="B164" s="322" t="s">
        <v>580</v>
      </c>
      <c r="C164" s="322" t="s">
        <v>580</v>
      </c>
      <c r="D164" s="322" t="s">
        <v>580</v>
      </c>
      <c r="E164" s="322" t="s">
        <v>580</v>
      </c>
      <c r="F164" s="322" t="s">
        <v>580</v>
      </c>
      <c r="H164" s="118" t="s">
        <v>308</v>
      </c>
      <c r="I164" s="193" t="s">
        <v>581</v>
      </c>
      <c r="J164" s="193" t="s">
        <v>581</v>
      </c>
      <c r="K164" s="133" t="s">
        <v>582</v>
      </c>
      <c r="L164" s="193" t="s">
        <v>581</v>
      </c>
      <c r="M164" s="193" t="s">
        <v>581</v>
      </c>
    </row>
    <row r="165" spans="1:13" ht="36" x14ac:dyDescent="0.25">
      <c r="A165" s="118" t="s">
        <v>310</v>
      </c>
      <c r="B165" s="322" t="s">
        <v>580</v>
      </c>
      <c r="C165" s="322" t="s">
        <v>580</v>
      </c>
      <c r="D165" s="322" t="s">
        <v>580</v>
      </c>
      <c r="E165" s="322" t="s">
        <v>580</v>
      </c>
      <c r="F165" s="322" t="s">
        <v>580</v>
      </c>
      <c r="H165" s="118" t="s">
        <v>310</v>
      </c>
      <c r="I165" s="193" t="s">
        <v>581</v>
      </c>
      <c r="J165" s="193" t="s">
        <v>581</v>
      </c>
      <c r="K165" s="133" t="s">
        <v>582</v>
      </c>
      <c r="L165" s="193" t="s">
        <v>581</v>
      </c>
      <c r="M165" s="193" t="s">
        <v>581</v>
      </c>
    </row>
    <row r="166" spans="1:13" ht="36" x14ac:dyDescent="0.25">
      <c r="A166" s="118" t="s">
        <v>312</v>
      </c>
      <c r="B166" s="322" t="s">
        <v>580</v>
      </c>
      <c r="C166" s="322" t="s">
        <v>580</v>
      </c>
      <c r="D166" s="322" t="s">
        <v>580</v>
      </c>
      <c r="E166" s="322" t="s">
        <v>580</v>
      </c>
      <c r="F166" s="322" t="s">
        <v>580</v>
      </c>
      <c r="H166" s="118" t="s">
        <v>312</v>
      </c>
      <c r="I166" s="193" t="s">
        <v>581</v>
      </c>
      <c r="J166" s="193" t="s">
        <v>581</v>
      </c>
      <c r="K166" s="133" t="s">
        <v>582</v>
      </c>
      <c r="L166" s="193" t="s">
        <v>581</v>
      </c>
      <c r="M166" s="193" t="s">
        <v>581</v>
      </c>
    </row>
    <row r="167" spans="1:13" ht="36" x14ac:dyDescent="0.25">
      <c r="A167" s="118" t="s">
        <v>315</v>
      </c>
      <c r="B167" s="322" t="s">
        <v>580</v>
      </c>
      <c r="C167" s="322" t="s">
        <v>580</v>
      </c>
      <c r="D167" s="322" t="s">
        <v>580</v>
      </c>
      <c r="E167" s="322" t="s">
        <v>580</v>
      </c>
      <c r="F167" s="322" t="s">
        <v>580</v>
      </c>
      <c r="H167" s="118" t="s">
        <v>315</v>
      </c>
      <c r="I167" s="193" t="s">
        <v>581</v>
      </c>
      <c r="J167" s="193" t="s">
        <v>581</v>
      </c>
      <c r="K167" s="133" t="s">
        <v>582</v>
      </c>
      <c r="L167" s="193" t="s">
        <v>581</v>
      </c>
      <c r="M167" s="193" t="s">
        <v>581</v>
      </c>
    </row>
    <row r="168" spans="1:13" ht="36" x14ac:dyDescent="0.25">
      <c r="A168" s="118" t="s">
        <v>352</v>
      </c>
      <c r="B168" s="353" t="s">
        <v>580</v>
      </c>
      <c r="C168" s="353" t="s">
        <v>580</v>
      </c>
      <c r="D168" s="353" t="s">
        <v>580</v>
      </c>
      <c r="E168" s="353" t="s">
        <v>580</v>
      </c>
      <c r="F168" s="353" t="s">
        <v>580</v>
      </c>
      <c r="H168" s="118" t="s">
        <v>352</v>
      </c>
      <c r="I168" s="349" t="s">
        <v>581</v>
      </c>
      <c r="J168" s="349" t="s">
        <v>581</v>
      </c>
      <c r="K168" s="349" t="s">
        <v>581</v>
      </c>
      <c r="L168" s="349" t="s">
        <v>581</v>
      </c>
      <c r="M168" s="350" t="s">
        <v>583</v>
      </c>
    </row>
    <row r="169" spans="1:13" ht="36" x14ac:dyDescent="0.25">
      <c r="A169" s="119" t="s">
        <v>353</v>
      </c>
      <c r="B169" s="520" t="s">
        <v>354</v>
      </c>
      <c r="C169" s="521"/>
      <c r="D169" s="521"/>
      <c r="E169" s="521"/>
      <c r="F169" s="522"/>
      <c r="H169" s="119" t="s">
        <v>353</v>
      </c>
      <c r="I169" s="520" t="s">
        <v>354</v>
      </c>
      <c r="J169" s="521"/>
      <c r="K169" s="521"/>
      <c r="L169" s="521"/>
      <c r="M169" s="522"/>
    </row>
    <row r="170" spans="1:13" ht="18" x14ac:dyDescent="0.25">
      <c r="A170" s="119" t="s">
        <v>355</v>
      </c>
      <c r="B170" s="523"/>
      <c r="C170" s="524"/>
      <c r="D170" s="524"/>
      <c r="E170" s="524"/>
      <c r="F170" s="525"/>
      <c r="H170" s="119" t="s">
        <v>355</v>
      </c>
      <c r="I170" s="523"/>
      <c r="J170" s="524"/>
      <c r="K170" s="524"/>
      <c r="L170" s="524"/>
      <c r="M170" s="525"/>
    </row>
    <row r="171" spans="1:13" ht="30" x14ac:dyDescent="0.25">
      <c r="A171" s="118" t="s">
        <v>318</v>
      </c>
      <c r="B171" s="354" t="s">
        <v>580</v>
      </c>
      <c r="C171" s="354" t="s">
        <v>580</v>
      </c>
      <c r="D171" s="354" t="s">
        <v>580</v>
      </c>
      <c r="E171" s="354" t="s">
        <v>580</v>
      </c>
      <c r="F171" s="354" t="s">
        <v>580</v>
      </c>
      <c r="H171" s="118" t="s">
        <v>318</v>
      </c>
      <c r="I171" s="351" t="s">
        <v>581</v>
      </c>
      <c r="J171" s="351" t="s">
        <v>581</v>
      </c>
      <c r="K171" s="351" t="s">
        <v>581</v>
      </c>
      <c r="L171" s="351" t="s">
        <v>581</v>
      </c>
      <c r="M171" s="352" t="s">
        <v>583</v>
      </c>
    </row>
    <row r="172" spans="1:13" ht="30" x14ac:dyDescent="0.25">
      <c r="A172" s="118" t="s">
        <v>321</v>
      </c>
      <c r="B172" s="322" t="s">
        <v>580</v>
      </c>
      <c r="C172" s="322" t="s">
        <v>580</v>
      </c>
      <c r="D172" s="322" t="s">
        <v>580</v>
      </c>
      <c r="E172" s="322" t="s">
        <v>580</v>
      </c>
      <c r="F172" s="322" t="s">
        <v>580</v>
      </c>
      <c r="H172" s="118" t="s">
        <v>321</v>
      </c>
      <c r="I172" s="193" t="s">
        <v>581</v>
      </c>
      <c r="J172" s="193" t="s">
        <v>581</v>
      </c>
      <c r="K172" s="193" t="s">
        <v>581</v>
      </c>
      <c r="L172" s="193" t="s">
        <v>581</v>
      </c>
      <c r="M172" s="142" t="s">
        <v>583</v>
      </c>
    </row>
    <row r="173" spans="1:13" ht="30" x14ac:dyDescent="0.25">
      <c r="A173" s="118" t="s">
        <v>324</v>
      </c>
      <c r="B173" s="322" t="s">
        <v>580</v>
      </c>
      <c r="C173" s="322" t="s">
        <v>580</v>
      </c>
      <c r="D173" s="322" t="s">
        <v>580</v>
      </c>
      <c r="E173" s="322" t="s">
        <v>580</v>
      </c>
      <c r="F173" s="322" t="s">
        <v>580</v>
      </c>
      <c r="H173" s="118" t="s">
        <v>324</v>
      </c>
      <c r="I173" s="193" t="s">
        <v>581</v>
      </c>
      <c r="J173" s="193" t="s">
        <v>581</v>
      </c>
      <c r="K173" s="193" t="s">
        <v>581</v>
      </c>
      <c r="L173" s="193" t="s">
        <v>581</v>
      </c>
      <c r="M173" s="193" t="s">
        <v>581</v>
      </c>
    </row>
    <row r="174" spans="1:13" ht="30" x14ac:dyDescent="0.25">
      <c r="A174" s="118" t="s">
        <v>325</v>
      </c>
      <c r="B174" s="322" t="s">
        <v>580</v>
      </c>
      <c r="C174" s="322" t="s">
        <v>580</v>
      </c>
      <c r="D174" s="322" t="s">
        <v>580</v>
      </c>
      <c r="E174" s="322" t="s">
        <v>580</v>
      </c>
      <c r="F174" s="322" t="s">
        <v>580</v>
      </c>
      <c r="H174" s="118" t="s">
        <v>325</v>
      </c>
      <c r="I174" s="193" t="s">
        <v>581</v>
      </c>
      <c r="J174" s="193" t="s">
        <v>581</v>
      </c>
      <c r="K174" s="193" t="s">
        <v>581</v>
      </c>
      <c r="L174" s="193" t="s">
        <v>581</v>
      </c>
      <c r="M174" s="193" t="s">
        <v>581</v>
      </c>
    </row>
    <row r="175" spans="1:13" ht="30" x14ac:dyDescent="0.25">
      <c r="A175" s="118" t="s">
        <v>357</v>
      </c>
      <c r="B175" s="322" t="s">
        <v>580</v>
      </c>
      <c r="C175" s="322" t="s">
        <v>580</v>
      </c>
      <c r="D175" s="322" t="s">
        <v>580</v>
      </c>
      <c r="E175" s="322" t="s">
        <v>580</v>
      </c>
      <c r="F175" s="322" t="s">
        <v>580</v>
      </c>
      <c r="H175" s="118" t="s">
        <v>357</v>
      </c>
      <c r="I175" s="193" t="s">
        <v>581</v>
      </c>
      <c r="J175" s="193" t="s">
        <v>581</v>
      </c>
      <c r="K175" s="193" t="s">
        <v>581</v>
      </c>
      <c r="L175" s="193" t="s">
        <v>581</v>
      </c>
      <c r="M175" s="193" t="s">
        <v>581</v>
      </c>
    </row>
    <row r="176" spans="1:13" ht="30" x14ac:dyDescent="0.25">
      <c r="A176" s="118" t="s">
        <v>358</v>
      </c>
      <c r="B176" s="322" t="s">
        <v>580</v>
      </c>
      <c r="C176" s="322" t="s">
        <v>580</v>
      </c>
      <c r="D176" s="322" t="s">
        <v>580</v>
      </c>
      <c r="E176" s="322" t="s">
        <v>580</v>
      </c>
      <c r="F176" s="322" t="s">
        <v>580</v>
      </c>
      <c r="H176" s="118" t="s">
        <v>358</v>
      </c>
      <c r="I176" s="193" t="s">
        <v>581</v>
      </c>
      <c r="J176" s="193" t="s">
        <v>581</v>
      </c>
      <c r="K176" s="193" t="s">
        <v>581</v>
      </c>
      <c r="L176" s="193" t="s">
        <v>581</v>
      </c>
      <c r="M176" s="193" t="s">
        <v>581</v>
      </c>
    </row>
    <row r="177" spans="1:13" ht="18" x14ac:dyDescent="0.25">
      <c r="H177" s="118" t="s">
        <v>584</v>
      </c>
      <c r="I177" s="116"/>
      <c r="J177" s="116"/>
      <c r="K177" s="116"/>
      <c r="L177" s="122"/>
      <c r="M177" s="122"/>
    </row>
    <row r="181" spans="1:13" ht="31.5" x14ac:dyDescent="0.25">
      <c r="A181" s="123" t="s">
        <v>585</v>
      </c>
      <c r="B181" s="124" t="s">
        <v>361</v>
      </c>
      <c r="C181" s="124" t="s">
        <v>586</v>
      </c>
      <c r="D181" s="124" t="s">
        <v>339</v>
      </c>
      <c r="E181" s="124"/>
      <c r="F181" s="124"/>
    </row>
    <row r="182" spans="1:13" ht="18.75" x14ac:dyDescent="0.3">
      <c r="A182" s="116">
        <v>108</v>
      </c>
      <c r="B182" s="117" t="s">
        <v>153</v>
      </c>
      <c r="C182" s="117" t="s">
        <v>154</v>
      </c>
      <c r="D182" s="117" t="s">
        <v>155</v>
      </c>
      <c r="E182" s="117" t="s">
        <v>156</v>
      </c>
      <c r="F182" s="117" t="s">
        <v>157</v>
      </c>
    </row>
    <row r="183" spans="1:13" ht="18" x14ac:dyDescent="0.25">
      <c r="A183" s="118" t="s">
        <v>343</v>
      </c>
      <c r="B183" s="116"/>
      <c r="C183" s="116"/>
      <c r="D183" s="116"/>
      <c r="E183" s="116"/>
      <c r="F183" s="116"/>
    </row>
    <row r="184" spans="1:13" ht="18" x14ac:dyDescent="0.25">
      <c r="A184" s="118" t="s">
        <v>349</v>
      </c>
      <c r="B184" s="116"/>
      <c r="C184" s="116"/>
      <c r="D184" s="116"/>
      <c r="E184" s="116"/>
      <c r="F184" s="116"/>
    </row>
    <row r="185" spans="1:13" ht="18" x14ac:dyDescent="0.25">
      <c r="A185" s="118" t="s">
        <v>305</v>
      </c>
      <c r="B185" s="116"/>
      <c r="C185" s="116"/>
      <c r="D185" s="116"/>
      <c r="E185" s="116"/>
      <c r="F185" s="116"/>
    </row>
    <row r="186" spans="1:13" ht="18" x14ac:dyDescent="0.25">
      <c r="A186" s="118" t="s">
        <v>308</v>
      </c>
      <c r="B186" s="116"/>
      <c r="C186" s="116"/>
      <c r="D186" s="116"/>
      <c r="E186" s="116"/>
      <c r="F186" s="116"/>
    </row>
    <row r="187" spans="1:13" ht="36" x14ac:dyDescent="0.25">
      <c r="A187" s="118" t="s">
        <v>310</v>
      </c>
      <c r="B187" s="323" t="s">
        <v>587</v>
      </c>
      <c r="C187" s="323" t="s">
        <v>588</v>
      </c>
      <c r="D187" s="323" t="s">
        <v>588</v>
      </c>
      <c r="E187" s="323" t="s">
        <v>588</v>
      </c>
      <c r="F187" s="323" t="s">
        <v>588</v>
      </c>
    </row>
    <row r="188" spans="1:13" ht="36" x14ac:dyDescent="0.25">
      <c r="A188" s="118" t="s">
        <v>312</v>
      </c>
      <c r="B188" s="116"/>
      <c r="C188" s="116"/>
      <c r="D188" s="116"/>
      <c r="E188" s="116"/>
      <c r="F188" s="116"/>
    </row>
    <row r="189" spans="1:13" ht="36" x14ac:dyDescent="0.25">
      <c r="A189" s="118" t="s">
        <v>315</v>
      </c>
      <c r="B189" s="116"/>
      <c r="C189" s="116"/>
      <c r="D189" s="116"/>
      <c r="E189" s="116"/>
      <c r="F189" s="116"/>
    </row>
    <row r="190" spans="1:13" ht="36" x14ac:dyDescent="0.25">
      <c r="A190" s="118" t="s">
        <v>352</v>
      </c>
      <c r="B190" s="116"/>
      <c r="C190" s="116"/>
      <c r="D190" s="116"/>
      <c r="E190" s="116"/>
      <c r="F190" s="116"/>
    </row>
    <row r="191" spans="1:13" ht="36" x14ac:dyDescent="0.25">
      <c r="A191" s="118" t="s">
        <v>353</v>
      </c>
      <c r="B191" s="499" t="s">
        <v>354</v>
      </c>
      <c r="C191" s="499"/>
      <c r="D191" s="499"/>
      <c r="E191" s="499"/>
      <c r="F191" s="499"/>
    </row>
    <row r="192" spans="1:13" ht="18" x14ac:dyDescent="0.25">
      <c r="A192" s="118" t="s">
        <v>355</v>
      </c>
      <c r="B192" s="499"/>
      <c r="C192" s="499"/>
      <c r="D192" s="499"/>
      <c r="E192" s="499"/>
      <c r="F192" s="499"/>
    </row>
    <row r="193" spans="1:6" ht="18" x14ac:dyDescent="0.25">
      <c r="A193" s="118" t="s">
        <v>318</v>
      </c>
      <c r="B193" s="323" t="s">
        <v>587</v>
      </c>
      <c r="C193" s="323" t="s">
        <v>588</v>
      </c>
      <c r="D193" s="323" t="s">
        <v>588</v>
      </c>
      <c r="E193" s="323" t="s">
        <v>588</v>
      </c>
      <c r="F193" s="323" t="s">
        <v>588</v>
      </c>
    </row>
    <row r="194" spans="1:6" ht="18" x14ac:dyDescent="0.25">
      <c r="A194" s="118" t="s">
        <v>321</v>
      </c>
      <c r="B194" s="116"/>
      <c r="C194" s="116"/>
      <c r="D194" s="116"/>
      <c r="E194" s="116"/>
      <c r="F194" s="116"/>
    </row>
    <row r="195" spans="1:6" ht="18" x14ac:dyDescent="0.25">
      <c r="A195" s="118" t="s">
        <v>324</v>
      </c>
      <c r="B195" s="116"/>
      <c r="C195" s="116"/>
      <c r="D195" s="116"/>
      <c r="E195" s="116"/>
      <c r="F195" s="116"/>
    </row>
    <row r="196" spans="1:6" ht="18" x14ac:dyDescent="0.25">
      <c r="A196" s="118" t="s">
        <v>325</v>
      </c>
      <c r="B196" s="116"/>
      <c r="C196" s="116"/>
      <c r="D196" s="116"/>
      <c r="E196" s="116"/>
      <c r="F196" s="116"/>
    </row>
    <row r="197" spans="1:6" ht="18" x14ac:dyDescent="0.25">
      <c r="A197" s="118" t="s">
        <v>357</v>
      </c>
      <c r="B197" s="116"/>
      <c r="C197" s="116"/>
      <c r="D197" s="116"/>
      <c r="E197" s="116"/>
      <c r="F197" s="116"/>
    </row>
    <row r="198" spans="1:6" ht="18" x14ac:dyDescent="0.25">
      <c r="A198" s="118" t="s">
        <v>358</v>
      </c>
      <c r="B198" s="116"/>
      <c r="C198" s="116"/>
      <c r="D198" s="116"/>
      <c r="E198" s="116"/>
      <c r="F198" s="116"/>
    </row>
  </sheetData>
  <mergeCells count="7">
    <mergeCell ref="B191:F192"/>
    <mergeCell ref="B169:F170"/>
    <mergeCell ref="I169:M170"/>
    <mergeCell ref="W15:AA16"/>
    <mergeCell ref="B15:F16"/>
    <mergeCell ref="I15:M16"/>
    <mergeCell ref="P15:T16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37878-0059-4E29-8E3C-DF0302AEB19E}">
  <sheetPr codeName="Sheet5"/>
  <dimension ref="A1:AI133"/>
  <sheetViews>
    <sheetView zoomScale="60" zoomScaleNormal="60" workbookViewId="0">
      <selection activeCell="K9" sqref="K9"/>
    </sheetView>
  </sheetViews>
  <sheetFormatPr defaultRowHeight="15" x14ac:dyDescent="0.25"/>
  <cols>
    <col min="1" max="1" width="15.7109375" customWidth="1"/>
    <col min="2" max="2" width="22.42578125" customWidth="1"/>
    <col min="3" max="3" width="30.5703125" customWidth="1"/>
    <col min="4" max="4" width="28.42578125" customWidth="1"/>
    <col min="5" max="5" width="15.7109375" customWidth="1"/>
    <col min="6" max="6" width="23.42578125" customWidth="1"/>
    <col min="7" max="7" width="15.7109375" customWidth="1"/>
    <col min="8" max="8" width="18" customWidth="1"/>
    <col min="9" max="9" width="35.28515625" customWidth="1"/>
    <col min="10" max="10" width="31.42578125" customWidth="1"/>
    <col min="11" max="11" width="33.5703125" customWidth="1"/>
    <col min="12" max="12" width="32" customWidth="1"/>
    <col min="13" max="13" width="28.85546875" customWidth="1"/>
    <col min="14" max="14" width="15.7109375" customWidth="1"/>
    <col min="15" max="15" width="23.28515625" customWidth="1"/>
    <col min="16" max="16" width="24.42578125" customWidth="1"/>
    <col min="17" max="17" width="34.5703125" customWidth="1"/>
    <col min="18" max="18" width="30.85546875" customWidth="1"/>
    <col min="19" max="19" width="24.5703125" customWidth="1"/>
    <col min="20" max="20" width="25.42578125" customWidth="1"/>
    <col min="21" max="21" width="15.7109375" customWidth="1"/>
    <col min="22" max="22" width="25.42578125" customWidth="1"/>
    <col min="23" max="23" width="27.140625" customWidth="1"/>
    <col min="24" max="24" width="24.28515625" customWidth="1"/>
    <col min="25" max="25" width="32.42578125" customWidth="1"/>
    <col min="26" max="26" width="22.42578125" customWidth="1"/>
    <col min="27" max="29" width="15.7109375" customWidth="1"/>
    <col min="30" max="30" width="22.42578125" customWidth="1"/>
    <col min="31" max="31" width="21.7109375" customWidth="1"/>
    <col min="32" max="32" width="25" customWidth="1"/>
    <col min="33" max="33" width="23.28515625" customWidth="1"/>
    <col min="34" max="34" width="15.7109375" customWidth="1"/>
    <col min="35" max="35" width="107" customWidth="1"/>
    <col min="36" max="36" width="15.7109375" customWidth="1"/>
    <col min="37" max="37" width="20" customWidth="1"/>
    <col min="38" max="38" width="18.85546875" customWidth="1"/>
    <col min="39" max="39" width="19.28515625" customWidth="1"/>
    <col min="40" max="40" width="15.7109375" customWidth="1"/>
    <col min="41" max="41" width="18.28515625" customWidth="1"/>
    <col min="42" max="45" width="15.7109375" customWidth="1"/>
    <col min="46" max="46" width="36.7109375" customWidth="1"/>
    <col min="47" max="47" width="20.42578125" customWidth="1"/>
    <col min="48" max="52" width="15.7109375" customWidth="1"/>
    <col min="53" max="53" width="19" customWidth="1"/>
    <col min="54" max="80" width="15.7109375" customWidth="1"/>
  </cols>
  <sheetData>
    <row r="1" spans="1:35" ht="35.1" customHeight="1" x14ac:dyDescent="0.4">
      <c r="A1" s="172" t="s">
        <v>399</v>
      </c>
      <c r="B1" s="510" t="s">
        <v>400</v>
      </c>
      <c r="C1" s="555"/>
      <c r="D1" s="173" t="s">
        <v>328</v>
      </c>
      <c r="E1" s="201" t="s">
        <v>401</v>
      </c>
      <c r="F1" s="217"/>
      <c r="G1" s="217"/>
      <c r="H1" s="201" t="s">
        <v>402</v>
      </c>
      <c r="I1" s="201"/>
      <c r="J1" s="468" t="s">
        <v>403</v>
      </c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</row>
    <row r="2" spans="1:35" ht="35.1" customHeight="1" x14ac:dyDescent="0.4">
      <c r="A2" s="174" t="s">
        <v>331</v>
      </c>
      <c r="B2" s="201" t="s">
        <v>404</v>
      </c>
      <c r="C2" s="217"/>
      <c r="D2" s="454" t="s">
        <v>328</v>
      </c>
      <c r="E2" s="201" t="s">
        <v>405</v>
      </c>
      <c r="F2" s="217"/>
      <c r="G2" s="217"/>
      <c r="H2" s="201" t="s">
        <v>406</v>
      </c>
      <c r="I2" s="201"/>
      <c r="J2" s="201" t="s">
        <v>374</v>
      </c>
      <c r="K2" s="194"/>
      <c r="L2" s="194"/>
      <c r="M2" s="194"/>
      <c r="N2" s="194"/>
      <c r="O2" s="501"/>
      <c r="P2" s="501"/>
      <c r="Q2" s="501"/>
      <c r="R2" s="501"/>
      <c r="S2" s="195"/>
      <c r="T2" s="195"/>
      <c r="U2" s="195"/>
    </row>
    <row r="3" spans="1:35" ht="35.1" customHeight="1" x14ac:dyDescent="0.35">
      <c r="AI3" s="452" t="s">
        <v>373</v>
      </c>
    </row>
    <row r="4" spans="1:35" ht="35.1" customHeight="1" x14ac:dyDescent="0.35">
      <c r="P4" s="483" t="s">
        <v>376</v>
      </c>
      <c r="W4" s="309"/>
    </row>
    <row r="5" spans="1:35" ht="35.1" customHeight="1" x14ac:dyDescent="0.25">
      <c r="A5" s="115" t="s">
        <v>407</v>
      </c>
      <c r="B5" s="115" t="s">
        <v>408</v>
      </c>
      <c r="C5" s="115" t="s">
        <v>409</v>
      </c>
      <c r="D5" s="115" t="s">
        <v>410</v>
      </c>
      <c r="E5" s="115"/>
      <c r="F5" s="115"/>
      <c r="H5" s="115" t="s">
        <v>411</v>
      </c>
      <c r="I5" s="115" t="s">
        <v>412</v>
      </c>
      <c r="J5" s="115" t="s">
        <v>413</v>
      </c>
      <c r="K5" s="115" t="s">
        <v>414</v>
      </c>
      <c r="L5" s="115"/>
      <c r="M5" s="115"/>
      <c r="O5" s="115" t="s">
        <v>415</v>
      </c>
      <c r="P5" s="115" t="s">
        <v>416</v>
      </c>
      <c r="Q5" s="115" t="s">
        <v>417</v>
      </c>
      <c r="R5" s="115" t="s">
        <v>418</v>
      </c>
      <c r="S5" s="115"/>
      <c r="T5" s="115"/>
      <c r="V5" s="115" t="s">
        <v>419</v>
      </c>
      <c r="W5" s="115" t="s">
        <v>420</v>
      </c>
      <c r="X5" s="115" t="s">
        <v>421</v>
      </c>
      <c r="Y5" s="115" t="s">
        <v>422</v>
      </c>
      <c r="Z5" s="115"/>
      <c r="AA5" s="115"/>
      <c r="AI5" t="s">
        <v>423</v>
      </c>
    </row>
    <row r="6" spans="1:35" ht="34.5" customHeight="1" x14ac:dyDescent="0.3">
      <c r="A6" s="116"/>
      <c r="B6" s="117" t="s">
        <v>153</v>
      </c>
      <c r="C6" s="117" t="s">
        <v>154</v>
      </c>
      <c r="D6" s="117" t="s">
        <v>155</v>
      </c>
      <c r="E6" s="117" t="s">
        <v>156</v>
      </c>
      <c r="F6" s="117" t="s">
        <v>157</v>
      </c>
      <c r="H6" s="116"/>
      <c r="I6" s="117" t="s">
        <v>153</v>
      </c>
      <c r="J6" s="160" t="s">
        <v>154</v>
      </c>
      <c r="K6" s="117" t="s">
        <v>155</v>
      </c>
      <c r="L6" s="117" t="s">
        <v>156</v>
      </c>
      <c r="M6" s="117" t="s">
        <v>157</v>
      </c>
      <c r="N6" s="112"/>
      <c r="O6" s="116"/>
      <c r="P6" s="117" t="s">
        <v>153</v>
      </c>
      <c r="Q6" s="117" t="s">
        <v>154</v>
      </c>
      <c r="R6" s="117" t="s">
        <v>155</v>
      </c>
      <c r="S6" s="117" t="s">
        <v>156</v>
      </c>
      <c r="T6" s="117" t="s">
        <v>157</v>
      </c>
      <c r="U6" s="112"/>
      <c r="V6" s="116"/>
      <c r="W6" s="117" t="s">
        <v>153</v>
      </c>
      <c r="X6" s="117" t="s">
        <v>154</v>
      </c>
      <c r="Y6" s="117" t="s">
        <v>155</v>
      </c>
      <c r="Z6" s="117" t="s">
        <v>156</v>
      </c>
      <c r="AA6" s="117" t="s">
        <v>157</v>
      </c>
      <c r="AB6" s="112"/>
      <c r="AI6" t="s">
        <v>424</v>
      </c>
    </row>
    <row r="7" spans="1:35" ht="32.25" customHeight="1" x14ac:dyDescent="0.35">
      <c r="A7" s="118" t="s">
        <v>343</v>
      </c>
      <c r="B7" s="213"/>
      <c r="C7" s="267" t="s">
        <v>425</v>
      </c>
      <c r="D7" s="213"/>
      <c r="E7" s="209"/>
      <c r="F7" s="299"/>
      <c r="H7" s="118" t="s">
        <v>343</v>
      </c>
      <c r="I7" s="242"/>
      <c r="J7" s="558" t="s">
        <v>381</v>
      </c>
      <c r="K7" s="560" t="s">
        <v>381</v>
      </c>
      <c r="L7" s="411"/>
      <c r="M7" s="209"/>
      <c r="O7" s="118" t="s">
        <v>343</v>
      </c>
      <c r="P7" s="209"/>
      <c r="Q7" s="475" t="s">
        <v>380</v>
      </c>
      <c r="R7" s="475" t="s">
        <v>380</v>
      </c>
      <c r="S7" s="269"/>
      <c r="T7" s="212"/>
      <c r="V7" s="118" t="s">
        <v>343</v>
      </c>
      <c r="W7" s="264" t="s">
        <v>426</v>
      </c>
      <c r="X7" s="209"/>
      <c r="Y7" s="264" t="s">
        <v>426</v>
      </c>
      <c r="Z7" s="264" t="s">
        <v>427</v>
      </c>
      <c r="AA7" s="213"/>
      <c r="AI7" t="s">
        <v>428</v>
      </c>
    </row>
    <row r="8" spans="1:35" ht="35.1" customHeight="1" x14ac:dyDescent="0.35">
      <c r="A8" s="118" t="s">
        <v>349</v>
      </c>
      <c r="B8" s="264" t="s">
        <v>429</v>
      </c>
      <c r="C8" s="267" t="s">
        <v>425</v>
      </c>
      <c r="D8" s="264" t="s">
        <v>429</v>
      </c>
      <c r="E8" s="209"/>
      <c r="F8" s="299"/>
      <c r="H8" s="118" t="s">
        <v>349</v>
      </c>
      <c r="I8" s="243"/>
      <c r="J8" s="559"/>
      <c r="K8" s="561"/>
      <c r="L8" s="411"/>
      <c r="M8" s="209"/>
      <c r="O8" s="118" t="s">
        <v>349</v>
      </c>
      <c r="P8" s="288"/>
      <c r="Q8" s="258"/>
      <c r="R8" s="258"/>
      <c r="S8" s="269"/>
      <c r="T8" s="212"/>
      <c r="V8" s="118" t="s">
        <v>349</v>
      </c>
      <c r="W8" s="264" t="s">
        <v>426</v>
      </c>
      <c r="X8" s="209"/>
      <c r="Y8" s="264" t="s">
        <v>426</v>
      </c>
      <c r="Z8" s="264" t="s">
        <v>427</v>
      </c>
      <c r="AA8" s="264" t="s">
        <v>427</v>
      </c>
      <c r="AI8" t="s">
        <v>430</v>
      </c>
    </row>
    <row r="9" spans="1:35" ht="47.25" customHeight="1" x14ac:dyDescent="0.35">
      <c r="A9" s="118" t="s">
        <v>305</v>
      </c>
      <c r="B9" s="264" t="s">
        <v>429</v>
      </c>
      <c r="C9" s="267" t="s">
        <v>425</v>
      </c>
      <c r="D9" s="264" t="s">
        <v>429</v>
      </c>
      <c r="E9" s="244"/>
      <c r="F9" s="267" t="s">
        <v>425</v>
      </c>
      <c r="H9" s="118" t="s">
        <v>305</v>
      </c>
      <c r="I9" s="556" t="s">
        <v>381</v>
      </c>
      <c r="J9" s="244"/>
      <c r="K9" s="265" t="s">
        <v>431</v>
      </c>
      <c r="L9" s="265" t="s">
        <v>431</v>
      </c>
      <c r="M9" s="209"/>
      <c r="O9" s="118" t="s">
        <v>305</v>
      </c>
      <c r="P9" s="476" t="s">
        <v>432</v>
      </c>
      <c r="Q9" s="258"/>
      <c r="R9" s="258"/>
      <c r="S9" s="269"/>
      <c r="T9" s="475" t="s">
        <v>380</v>
      </c>
      <c r="V9" s="118" t="s">
        <v>305</v>
      </c>
      <c r="W9" s="264" t="s">
        <v>426</v>
      </c>
      <c r="X9" s="209"/>
      <c r="Y9" s="264" t="s">
        <v>426</v>
      </c>
      <c r="Z9" s="264" t="s">
        <v>427</v>
      </c>
      <c r="AA9" s="264" t="s">
        <v>427</v>
      </c>
      <c r="AI9" t="s">
        <v>433</v>
      </c>
    </row>
    <row r="10" spans="1:35" ht="35.1" customHeight="1" x14ac:dyDescent="0.25">
      <c r="A10" s="118" t="s">
        <v>308</v>
      </c>
      <c r="B10" s="264" t="s">
        <v>429</v>
      </c>
      <c r="C10" s="267" t="s">
        <v>425</v>
      </c>
      <c r="D10" s="264" t="s">
        <v>429</v>
      </c>
      <c r="E10" s="209"/>
      <c r="F10" s="267" t="s">
        <v>425</v>
      </c>
      <c r="H10" s="118" t="s">
        <v>308</v>
      </c>
      <c r="I10" s="557"/>
      <c r="J10" s="209"/>
      <c r="K10" s="265" t="s">
        <v>431</v>
      </c>
      <c r="L10" s="265" t="s">
        <v>431</v>
      </c>
      <c r="M10" s="209"/>
      <c r="O10" s="118" t="s">
        <v>308</v>
      </c>
      <c r="P10" s="476" t="s">
        <v>432</v>
      </c>
      <c r="Q10" s="258"/>
      <c r="R10" s="258"/>
      <c r="S10" s="269"/>
      <c r="T10" s="258"/>
      <c r="V10" s="118" t="s">
        <v>308</v>
      </c>
      <c r="W10" s="264" t="s">
        <v>426</v>
      </c>
      <c r="X10" s="209"/>
      <c r="Y10" s="264" t="s">
        <v>426</v>
      </c>
      <c r="Z10" s="264" t="s">
        <v>427</v>
      </c>
      <c r="AA10" s="264" t="s">
        <v>427</v>
      </c>
      <c r="AI10" t="s">
        <v>434</v>
      </c>
    </row>
    <row r="11" spans="1:35" ht="35.1" customHeight="1" x14ac:dyDescent="0.35">
      <c r="A11" s="118" t="s">
        <v>310</v>
      </c>
      <c r="B11" s="264" t="s">
        <v>429</v>
      </c>
      <c r="C11" s="267" t="s">
        <v>425</v>
      </c>
      <c r="D11" s="264" t="s">
        <v>429</v>
      </c>
      <c r="E11" s="209"/>
      <c r="F11" s="267" t="s">
        <v>425</v>
      </c>
      <c r="H11" s="118" t="s">
        <v>310</v>
      </c>
      <c r="I11" s="242"/>
      <c r="J11" s="209"/>
      <c r="L11" s="265" t="s">
        <v>431</v>
      </c>
      <c r="M11" s="209"/>
      <c r="O11" s="118" t="s">
        <v>310</v>
      </c>
      <c r="P11" s="476" t="s">
        <v>432</v>
      </c>
      <c r="Q11" s="475" t="s">
        <v>380</v>
      </c>
      <c r="R11" s="475" t="s">
        <v>380</v>
      </c>
      <c r="S11" s="477" t="s">
        <v>435</v>
      </c>
      <c r="T11" s="258"/>
      <c r="V11" s="118" t="s">
        <v>310</v>
      </c>
      <c r="W11" s="264" t="s">
        <v>426</v>
      </c>
      <c r="X11" s="209"/>
      <c r="Y11" s="264" t="s">
        <v>426</v>
      </c>
      <c r="Z11" s="213"/>
      <c r="AA11" s="213"/>
      <c r="AI11" t="s">
        <v>436</v>
      </c>
    </row>
    <row r="12" spans="1:35" ht="35.1" customHeight="1" x14ac:dyDescent="0.35">
      <c r="A12" s="118" t="s">
        <v>312</v>
      </c>
      <c r="B12" s="264" t="s">
        <v>429</v>
      </c>
      <c r="C12" s="267" t="s">
        <v>425</v>
      </c>
      <c r="D12" s="264" t="s">
        <v>429</v>
      </c>
      <c r="E12" s="209"/>
      <c r="F12" s="267" t="s">
        <v>425</v>
      </c>
      <c r="H12" s="118" t="s">
        <v>312</v>
      </c>
      <c r="I12" s="243"/>
      <c r="J12" s="209"/>
      <c r="K12" s="417" t="s">
        <v>381</v>
      </c>
      <c r="L12" s="265" t="s">
        <v>431</v>
      </c>
      <c r="M12" s="209"/>
      <c r="O12" s="118" t="s">
        <v>312</v>
      </c>
      <c r="P12" s="476" t="s">
        <v>432</v>
      </c>
      <c r="Q12" s="258"/>
      <c r="R12" s="258"/>
      <c r="S12" s="477" t="s">
        <v>435</v>
      </c>
      <c r="T12" s="258"/>
      <c r="V12" s="118" t="s">
        <v>312</v>
      </c>
      <c r="W12" s="264" t="s">
        <v>426</v>
      </c>
      <c r="X12" s="209"/>
      <c r="Y12" s="264" t="s">
        <v>426</v>
      </c>
      <c r="Z12" s="264" t="s">
        <v>427</v>
      </c>
      <c r="AA12" s="264" t="s">
        <v>427</v>
      </c>
      <c r="AI12" t="s">
        <v>437</v>
      </c>
    </row>
    <row r="13" spans="1:35" ht="35.1" customHeight="1" x14ac:dyDescent="0.25">
      <c r="A13" s="118" t="s">
        <v>315</v>
      </c>
      <c r="B13" s="264" t="s">
        <v>429</v>
      </c>
      <c r="C13" s="299"/>
      <c r="D13" s="213"/>
      <c r="E13" s="209"/>
      <c r="F13" s="267" t="s">
        <v>425</v>
      </c>
      <c r="H13" s="118" t="s">
        <v>315</v>
      </c>
      <c r="I13" s="209"/>
      <c r="J13" s="209"/>
      <c r="K13" s="474"/>
      <c r="L13" s="265" t="s">
        <v>431</v>
      </c>
      <c r="M13" s="209"/>
      <c r="O13" s="118" t="s">
        <v>315</v>
      </c>
      <c r="P13" s="476" t="s">
        <v>432</v>
      </c>
      <c r="Q13" s="258"/>
      <c r="R13" s="258"/>
      <c r="S13" s="477" t="s">
        <v>435</v>
      </c>
      <c r="T13" s="258"/>
      <c r="V13" s="118" t="s">
        <v>315</v>
      </c>
      <c r="W13" s="213"/>
      <c r="X13" s="209"/>
      <c r="Y13" s="213"/>
      <c r="Z13" s="264" t="s">
        <v>427</v>
      </c>
      <c r="AA13" s="264" t="s">
        <v>427</v>
      </c>
      <c r="AI13" t="s">
        <v>438</v>
      </c>
    </row>
    <row r="14" spans="1:35" ht="35.1" customHeight="1" x14ac:dyDescent="0.25">
      <c r="A14" s="118" t="s">
        <v>352</v>
      </c>
      <c r="B14" s="264" t="s">
        <v>429</v>
      </c>
      <c r="C14" s="299"/>
      <c r="D14" s="213"/>
      <c r="E14" s="209"/>
      <c r="F14" s="267" t="s">
        <v>425</v>
      </c>
      <c r="H14" s="118" t="s">
        <v>352</v>
      </c>
      <c r="I14" s="209"/>
      <c r="J14" s="209"/>
      <c r="K14" s="411"/>
      <c r="L14" s="265" t="s">
        <v>431</v>
      </c>
      <c r="M14" s="209"/>
      <c r="O14" s="118" t="s">
        <v>352</v>
      </c>
      <c r="P14" s="476" t="s">
        <v>432</v>
      </c>
      <c r="Q14" s="258"/>
      <c r="R14" s="258"/>
      <c r="S14" s="477" t="s">
        <v>435</v>
      </c>
      <c r="T14" s="258"/>
      <c r="V14" s="118" t="s">
        <v>352</v>
      </c>
      <c r="W14" s="213"/>
      <c r="X14" s="209"/>
      <c r="Y14" s="213"/>
      <c r="Z14" s="264" t="s">
        <v>427</v>
      </c>
      <c r="AA14" s="264" t="s">
        <v>427</v>
      </c>
      <c r="AI14" t="s">
        <v>439</v>
      </c>
    </row>
    <row r="15" spans="1:35" ht="35.1" customHeight="1" x14ac:dyDescent="0.25">
      <c r="A15" s="118" t="s">
        <v>353</v>
      </c>
      <c r="B15" s="545" t="s">
        <v>354</v>
      </c>
      <c r="C15" s="546"/>
      <c r="D15" s="546"/>
      <c r="E15" s="546"/>
      <c r="F15" s="547"/>
      <c r="H15" s="118" t="s">
        <v>353</v>
      </c>
      <c r="I15" s="545" t="s">
        <v>354</v>
      </c>
      <c r="J15" s="546"/>
      <c r="K15" s="546"/>
      <c r="L15" s="546"/>
      <c r="M15" s="547"/>
      <c r="O15" s="118" t="s">
        <v>353</v>
      </c>
      <c r="P15" s="545" t="s">
        <v>354</v>
      </c>
      <c r="Q15" s="546"/>
      <c r="R15" s="546"/>
      <c r="S15" s="546"/>
      <c r="T15" s="547"/>
      <c r="V15" s="118" t="s">
        <v>353</v>
      </c>
      <c r="W15" s="545" t="s">
        <v>354</v>
      </c>
      <c r="X15" s="546"/>
      <c r="Y15" s="546"/>
      <c r="Z15" s="546"/>
      <c r="AA15" s="547"/>
      <c r="AI15" t="s">
        <v>440</v>
      </c>
    </row>
    <row r="16" spans="1:35" ht="35.1" customHeight="1" x14ac:dyDescent="0.25">
      <c r="A16" s="118" t="s">
        <v>355</v>
      </c>
      <c r="B16" s="548"/>
      <c r="C16" s="549"/>
      <c r="D16" s="549"/>
      <c r="E16" s="549"/>
      <c r="F16" s="550"/>
      <c r="H16" s="118" t="s">
        <v>355</v>
      </c>
      <c r="I16" s="548"/>
      <c r="J16" s="549"/>
      <c r="K16" s="549"/>
      <c r="L16" s="549"/>
      <c r="M16" s="550"/>
      <c r="O16" s="118" t="s">
        <v>355</v>
      </c>
      <c r="P16" s="548"/>
      <c r="Q16" s="549"/>
      <c r="R16" s="549"/>
      <c r="S16" s="549"/>
      <c r="T16" s="550"/>
      <c r="V16" s="118" t="s">
        <v>355</v>
      </c>
      <c r="W16" s="548"/>
      <c r="X16" s="549"/>
      <c r="Y16" s="549"/>
      <c r="Z16" s="549"/>
      <c r="AA16" s="550"/>
      <c r="AI16" t="s">
        <v>441</v>
      </c>
    </row>
    <row r="17" spans="1:35" ht="35.1" customHeight="1" x14ac:dyDescent="0.35">
      <c r="A17" s="118" t="s">
        <v>318</v>
      </c>
      <c r="B17" s="264" t="s">
        <v>429</v>
      </c>
      <c r="C17" s="267" t="s">
        <v>425</v>
      </c>
      <c r="D17" s="264" t="s">
        <v>429</v>
      </c>
      <c r="E17" s="213"/>
      <c r="F17" s="258"/>
      <c r="H17" s="118" t="s">
        <v>318</v>
      </c>
      <c r="I17" s="265" t="s">
        <v>427</v>
      </c>
      <c r="J17" s="417" t="s">
        <v>381</v>
      </c>
      <c r="K17" s="265" t="s">
        <v>431</v>
      </c>
      <c r="L17" s="417" t="s">
        <v>381</v>
      </c>
      <c r="M17" s="213"/>
      <c r="O17" s="118" t="s">
        <v>318</v>
      </c>
      <c r="P17" s="258"/>
      <c r="Q17" s="475" t="s">
        <v>380</v>
      </c>
      <c r="R17" s="417" t="s">
        <v>381</v>
      </c>
      <c r="S17" s="209"/>
      <c r="T17" s="209"/>
      <c r="V17" s="118" t="s">
        <v>318</v>
      </c>
      <c r="W17" s="264" t="s">
        <v>426</v>
      </c>
      <c r="X17" s="210" t="s">
        <v>442</v>
      </c>
      <c r="Y17" s="210" t="s">
        <v>442</v>
      </c>
      <c r="Z17" s="264" t="s">
        <v>427</v>
      </c>
      <c r="AA17" s="264" t="s">
        <v>427</v>
      </c>
      <c r="AI17" t="s">
        <v>443</v>
      </c>
    </row>
    <row r="18" spans="1:35" ht="35.1" customHeight="1" x14ac:dyDescent="0.25">
      <c r="A18" s="118" t="s">
        <v>321</v>
      </c>
      <c r="B18" s="264" t="s">
        <v>429</v>
      </c>
      <c r="C18" s="267" t="s">
        <v>425</v>
      </c>
      <c r="D18" s="264" t="s">
        <v>429</v>
      </c>
      <c r="E18" s="213"/>
      <c r="F18" s="258"/>
      <c r="H18" s="118" t="s">
        <v>321</v>
      </c>
      <c r="I18" s="265" t="s">
        <v>427</v>
      </c>
      <c r="J18" s="299"/>
      <c r="K18" s="265" t="s">
        <v>431</v>
      </c>
      <c r="L18" s="299"/>
      <c r="M18" s="213"/>
      <c r="O18" s="118" t="s">
        <v>321</v>
      </c>
      <c r="P18" s="258"/>
      <c r="Q18" s="258"/>
      <c r="R18" s="478"/>
      <c r="S18" s="209"/>
      <c r="T18" s="209"/>
      <c r="V18" s="118" t="s">
        <v>321</v>
      </c>
      <c r="W18" s="264" t="s">
        <v>426</v>
      </c>
      <c r="X18" s="210" t="s">
        <v>442</v>
      </c>
      <c r="Y18" s="210" t="s">
        <v>442</v>
      </c>
      <c r="Z18" s="264" t="s">
        <v>427</v>
      </c>
      <c r="AA18" s="264" t="s">
        <v>427</v>
      </c>
      <c r="AI18" t="s">
        <v>444</v>
      </c>
    </row>
    <row r="19" spans="1:35" ht="35.1" customHeight="1" x14ac:dyDescent="0.35">
      <c r="A19" s="118" t="s">
        <v>324</v>
      </c>
      <c r="B19" s="264" t="s">
        <v>429</v>
      </c>
      <c r="C19" s="267" t="s">
        <v>425</v>
      </c>
      <c r="D19" s="264" t="s">
        <v>429</v>
      </c>
      <c r="E19" s="213"/>
      <c r="F19" s="258"/>
      <c r="H19" s="118" t="s">
        <v>324</v>
      </c>
      <c r="I19" s="265" t="s">
        <v>427</v>
      </c>
      <c r="J19" s="299"/>
      <c r="K19" s="265" t="s">
        <v>431</v>
      </c>
      <c r="L19" s="213"/>
      <c r="M19" s="213"/>
      <c r="O19" s="118" t="s">
        <v>324</v>
      </c>
      <c r="P19" s="475" t="s">
        <v>380</v>
      </c>
      <c r="Q19" s="209"/>
      <c r="R19" s="288"/>
      <c r="S19" s="209"/>
      <c r="T19" s="209"/>
      <c r="V19" s="118" t="s">
        <v>324</v>
      </c>
      <c r="W19" s="264" t="s">
        <v>426</v>
      </c>
      <c r="X19" s="213"/>
      <c r="Y19" s="213"/>
      <c r="Z19" s="264" t="s">
        <v>427</v>
      </c>
      <c r="AA19" s="264" t="s">
        <v>427</v>
      </c>
      <c r="AI19" t="s">
        <v>445</v>
      </c>
    </row>
    <row r="20" spans="1:35" ht="35.1" customHeight="1" x14ac:dyDescent="0.35">
      <c r="A20" s="118" t="s">
        <v>325</v>
      </c>
      <c r="B20" s="264" t="s">
        <v>429</v>
      </c>
      <c r="C20" s="267" t="s">
        <v>425</v>
      </c>
      <c r="D20" s="264" t="s">
        <v>429</v>
      </c>
      <c r="E20" s="266" t="s">
        <v>446</v>
      </c>
      <c r="F20" s="258"/>
      <c r="H20" s="118" t="s">
        <v>325</v>
      </c>
      <c r="I20" s="265" t="s">
        <v>427</v>
      </c>
      <c r="J20" s="299"/>
      <c r="K20" s="265" t="s">
        <v>431</v>
      </c>
      <c r="L20" s="266" t="s">
        <v>446</v>
      </c>
      <c r="M20" s="213"/>
      <c r="O20" s="118" t="s">
        <v>325</v>
      </c>
      <c r="P20" s="258"/>
      <c r="Q20" s="152" t="s">
        <v>446</v>
      </c>
      <c r="R20" s="288"/>
      <c r="S20" s="209"/>
      <c r="T20" s="152" t="s">
        <v>446</v>
      </c>
      <c r="V20" s="118" t="s">
        <v>325</v>
      </c>
      <c r="W20" s="264" t="s">
        <v>426</v>
      </c>
      <c r="X20" s="213"/>
      <c r="Y20" s="213"/>
      <c r="Z20" s="264" t="s">
        <v>427</v>
      </c>
      <c r="AA20" s="264" t="s">
        <v>427</v>
      </c>
      <c r="AI20" t="s">
        <v>447</v>
      </c>
    </row>
    <row r="21" spans="1:35" ht="35.1" customHeight="1" x14ac:dyDescent="0.35">
      <c r="A21" s="118" t="s">
        <v>357</v>
      </c>
      <c r="B21" s="264" t="s">
        <v>429</v>
      </c>
      <c r="C21" s="267" t="s">
        <v>425</v>
      </c>
      <c r="D21" s="264" t="s">
        <v>429</v>
      </c>
      <c r="E21" s="266" t="s">
        <v>446</v>
      </c>
      <c r="F21" s="258"/>
      <c r="H21" s="118" t="s">
        <v>357</v>
      </c>
      <c r="I21" s="265" t="s">
        <v>427</v>
      </c>
      <c r="J21" s="213"/>
      <c r="K21" s="265" t="s">
        <v>431</v>
      </c>
      <c r="L21" s="266" t="s">
        <v>446</v>
      </c>
      <c r="M21" s="213"/>
      <c r="O21" s="118" t="s">
        <v>357</v>
      </c>
      <c r="P21" s="258"/>
      <c r="Q21" s="152" t="s">
        <v>446</v>
      </c>
      <c r="R21" s="288"/>
      <c r="S21" s="475" t="s">
        <v>380</v>
      </c>
      <c r="T21" s="152" t="s">
        <v>446</v>
      </c>
      <c r="V21" s="118" t="s">
        <v>357</v>
      </c>
      <c r="W21" s="264" t="s">
        <v>426</v>
      </c>
      <c r="X21" s="213"/>
      <c r="Y21" s="213"/>
      <c r="Z21" s="264" t="s">
        <v>427</v>
      </c>
      <c r="AA21" s="264" t="s">
        <v>427</v>
      </c>
      <c r="AI21" s="457" t="s">
        <v>448</v>
      </c>
    </row>
    <row r="22" spans="1:35" ht="35.1" customHeight="1" x14ac:dyDescent="0.35">
      <c r="A22" s="118" t="s">
        <v>358</v>
      </c>
      <c r="B22" s="264" t="s">
        <v>429</v>
      </c>
      <c r="C22" s="267" t="s">
        <v>425</v>
      </c>
      <c r="D22" s="264" t="s">
        <v>429</v>
      </c>
      <c r="E22" s="266" t="s">
        <v>446</v>
      </c>
      <c r="F22" s="258"/>
      <c r="H22" s="118" t="s">
        <v>358</v>
      </c>
      <c r="I22" s="265" t="s">
        <v>427</v>
      </c>
      <c r="J22" s="213"/>
      <c r="K22" s="265" t="s">
        <v>431</v>
      </c>
      <c r="L22" s="266" t="s">
        <v>446</v>
      </c>
      <c r="M22" s="213"/>
      <c r="O22" s="118" t="s">
        <v>358</v>
      </c>
      <c r="P22" s="258"/>
      <c r="Q22" s="152" t="s">
        <v>446</v>
      </c>
      <c r="R22" s="288"/>
      <c r="S22" s="258"/>
      <c r="T22" s="152" t="s">
        <v>446</v>
      </c>
      <c r="V22" s="118" t="s">
        <v>358</v>
      </c>
      <c r="W22" s="213"/>
      <c r="X22" s="213"/>
      <c r="Y22" s="213"/>
      <c r="Z22" s="264" t="s">
        <v>427</v>
      </c>
      <c r="AA22" s="264" t="s">
        <v>427</v>
      </c>
      <c r="AI22" s="457" t="s">
        <v>449</v>
      </c>
    </row>
    <row r="23" spans="1:35" ht="35.1" customHeight="1" x14ac:dyDescent="0.35">
      <c r="I23" s="1"/>
      <c r="J23" s="1"/>
      <c r="K23" s="141"/>
      <c r="L23" s="141"/>
      <c r="M23" s="1"/>
      <c r="N23" s="1"/>
      <c r="W23" s="309"/>
      <c r="Y23" s="309"/>
      <c r="AI23" s="457" t="s">
        <v>450</v>
      </c>
    </row>
    <row r="24" spans="1:35" ht="35.1" customHeight="1" x14ac:dyDescent="0.25">
      <c r="AI24" s="457" t="s">
        <v>451</v>
      </c>
    </row>
    <row r="25" spans="1:35" ht="35.1" customHeight="1" x14ac:dyDescent="0.25">
      <c r="AI25" t="s">
        <v>452</v>
      </c>
    </row>
    <row r="26" spans="1:35" ht="45.75" customHeight="1" x14ac:dyDescent="0.25">
      <c r="AI26" t="s">
        <v>453</v>
      </c>
    </row>
    <row r="27" spans="1:35" ht="35.1" customHeight="1" x14ac:dyDescent="0.25">
      <c r="AI27" s="457" t="s">
        <v>454</v>
      </c>
    </row>
    <row r="28" spans="1:35" ht="35.1" customHeight="1" x14ac:dyDescent="0.25">
      <c r="AI28" s="457" t="s">
        <v>455</v>
      </c>
    </row>
    <row r="29" spans="1:35" ht="38.25" customHeight="1" x14ac:dyDescent="0.25">
      <c r="AI29" t="s">
        <v>456</v>
      </c>
    </row>
    <row r="30" spans="1:35" ht="53.25" customHeight="1" x14ac:dyDescent="0.45">
      <c r="A30" s="551" t="s">
        <v>457</v>
      </c>
      <c r="B30" s="551"/>
      <c r="C30" s="551"/>
      <c r="D30" s="551"/>
      <c r="E30" s="551"/>
      <c r="F30" s="551"/>
      <c r="H30" s="551" t="s">
        <v>457</v>
      </c>
      <c r="I30" s="551"/>
      <c r="J30" s="551"/>
      <c r="K30" s="551"/>
      <c r="L30" s="551"/>
      <c r="M30" s="551"/>
      <c r="O30" s="551" t="s">
        <v>457</v>
      </c>
      <c r="P30" s="551"/>
      <c r="Q30" s="551"/>
      <c r="R30" s="551"/>
      <c r="S30" s="551"/>
      <c r="T30" s="551"/>
      <c r="AI30" t="s">
        <v>458</v>
      </c>
    </row>
    <row r="31" spans="1:35" ht="64.5" customHeight="1" x14ac:dyDescent="0.25">
      <c r="A31" s="115" t="s">
        <v>459</v>
      </c>
      <c r="B31" s="115" t="s">
        <v>460</v>
      </c>
      <c r="C31" s="115" t="s">
        <v>461</v>
      </c>
      <c r="D31" s="115" t="s">
        <v>462</v>
      </c>
      <c r="E31" s="115"/>
      <c r="F31" s="115"/>
      <c r="H31" s="115" t="s">
        <v>463</v>
      </c>
      <c r="I31" s="115" t="s">
        <v>464</v>
      </c>
      <c r="J31" s="115" t="s">
        <v>465</v>
      </c>
      <c r="K31" s="115" t="s">
        <v>466</v>
      </c>
      <c r="L31" s="115"/>
      <c r="M31" s="115"/>
      <c r="O31" s="294" t="s">
        <v>467</v>
      </c>
      <c r="P31" s="293" t="s">
        <v>468</v>
      </c>
      <c r="Q31" s="115" t="s">
        <v>469</v>
      </c>
      <c r="R31" s="115" t="s">
        <v>470</v>
      </c>
      <c r="S31" s="115"/>
      <c r="T31" s="115"/>
      <c r="AI31" t="s">
        <v>471</v>
      </c>
    </row>
    <row r="32" spans="1:35" ht="48" customHeight="1" x14ac:dyDescent="0.3">
      <c r="A32" s="116"/>
      <c r="B32" s="117" t="s">
        <v>153</v>
      </c>
      <c r="C32" s="117" t="s">
        <v>154</v>
      </c>
      <c r="D32" s="117" t="s">
        <v>155</v>
      </c>
      <c r="E32" s="117" t="s">
        <v>156</v>
      </c>
      <c r="F32" s="117" t="s">
        <v>157</v>
      </c>
      <c r="H32" s="116"/>
      <c r="I32" s="117" t="s">
        <v>153</v>
      </c>
      <c r="J32" s="117" t="s">
        <v>154</v>
      </c>
      <c r="K32" s="140" t="s">
        <v>155</v>
      </c>
      <c r="L32" s="140" t="s">
        <v>156</v>
      </c>
      <c r="M32" s="117" t="s">
        <v>157</v>
      </c>
      <c r="O32" s="273"/>
      <c r="P32" s="296" t="s">
        <v>153</v>
      </c>
      <c r="Q32" s="117" t="s">
        <v>154</v>
      </c>
      <c r="R32" s="117" t="s">
        <v>155</v>
      </c>
      <c r="S32" s="117" t="s">
        <v>156</v>
      </c>
      <c r="T32" s="117" t="s">
        <v>157</v>
      </c>
      <c r="AI32" s="457" t="s">
        <v>472</v>
      </c>
    </row>
    <row r="33" spans="1:35" ht="50.25" customHeight="1" x14ac:dyDescent="0.25">
      <c r="A33" s="118" t="s">
        <v>343</v>
      </c>
      <c r="B33" s="491" t="s">
        <v>432</v>
      </c>
      <c r="C33" s="491" t="s">
        <v>432</v>
      </c>
      <c r="D33" s="213"/>
      <c r="E33" s="491" t="s">
        <v>432</v>
      </c>
      <c r="F33" s="116"/>
      <c r="H33" s="118" t="s">
        <v>343</v>
      </c>
      <c r="I33" s="209"/>
      <c r="J33" s="209"/>
      <c r="K33" s="209"/>
      <c r="L33" s="552" t="s">
        <v>435</v>
      </c>
      <c r="M33" s="209"/>
      <c r="O33" s="295" t="s">
        <v>343</v>
      </c>
      <c r="P33" s="297"/>
      <c r="Q33" s="192" t="s">
        <v>350</v>
      </c>
      <c r="R33" s="192" t="s">
        <v>350</v>
      </c>
      <c r="S33" s="156"/>
      <c r="T33" s="209"/>
      <c r="AI33" s="457" t="s">
        <v>473</v>
      </c>
    </row>
    <row r="34" spans="1:35" ht="49.5" customHeight="1" x14ac:dyDescent="0.25">
      <c r="A34" s="118" t="s">
        <v>349</v>
      </c>
      <c r="B34" s="491" t="s">
        <v>432</v>
      </c>
      <c r="C34" s="491" t="s">
        <v>432</v>
      </c>
      <c r="D34" s="213"/>
      <c r="E34" s="491" t="s">
        <v>432</v>
      </c>
      <c r="F34" s="116"/>
      <c r="H34" s="118" t="s">
        <v>349</v>
      </c>
      <c r="I34" s="209"/>
      <c r="J34" s="209"/>
      <c r="K34" s="209"/>
      <c r="L34" s="552"/>
      <c r="M34" s="209"/>
      <c r="O34" s="295" t="s">
        <v>349</v>
      </c>
      <c r="P34" s="297"/>
      <c r="Q34" s="192" t="s">
        <v>350</v>
      </c>
      <c r="R34" s="192" t="s">
        <v>350</v>
      </c>
      <c r="S34" s="209"/>
      <c r="T34" s="209"/>
    </row>
    <row r="35" spans="1:35" ht="48.75" customHeight="1" x14ac:dyDescent="0.25">
      <c r="A35" s="118" t="s">
        <v>305</v>
      </c>
      <c r="B35" s="213"/>
      <c r="C35" s="491" t="s">
        <v>432</v>
      </c>
      <c r="D35" s="491" t="s">
        <v>432</v>
      </c>
      <c r="E35" s="491" t="s">
        <v>432</v>
      </c>
      <c r="F35" s="116"/>
      <c r="H35" s="118" t="s">
        <v>305</v>
      </c>
      <c r="I35" s="209"/>
      <c r="J35" s="209"/>
      <c r="K35" s="209"/>
      <c r="L35" s="552" t="s">
        <v>435</v>
      </c>
      <c r="M35" s="210" t="s">
        <v>442</v>
      </c>
      <c r="O35" s="295" t="s">
        <v>305</v>
      </c>
      <c r="P35" s="298"/>
      <c r="Q35" s="192" t="s">
        <v>350</v>
      </c>
      <c r="R35" s="192" t="s">
        <v>350</v>
      </c>
      <c r="S35" s="209"/>
      <c r="T35" s="209"/>
    </row>
    <row r="36" spans="1:35" ht="35.1" customHeight="1" x14ac:dyDescent="0.25">
      <c r="A36" s="118" t="s">
        <v>308</v>
      </c>
      <c r="B36" s="213"/>
      <c r="C36" s="491" t="s">
        <v>432</v>
      </c>
      <c r="D36" s="491" t="s">
        <v>432</v>
      </c>
      <c r="E36" s="491" t="s">
        <v>432</v>
      </c>
      <c r="F36" s="116"/>
      <c r="H36" s="118" t="s">
        <v>308</v>
      </c>
      <c r="I36" s="209"/>
      <c r="J36" s="209"/>
      <c r="K36" s="209"/>
      <c r="L36" s="552"/>
      <c r="M36" s="210" t="s">
        <v>442</v>
      </c>
      <c r="O36" s="295" t="s">
        <v>308</v>
      </c>
      <c r="P36" s="298"/>
      <c r="Q36" s="192" t="s">
        <v>350</v>
      </c>
      <c r="R36" s="192" t="s">
        <v>350</v>
      </c>
      <c r="S36" s="209"/>
      <c r="T36" s="209"/>
    </row>
    <row r="37" spans="1:35" ht="35.1" customHeight="1" x14ac:dyDescent="0.25">
      <c r="A37" s="118" t="s">
        <v>310</v>
      </c>
      <c r="B37" s="213"/>
      <c r="C37" s="491" t="s">
        <v>432</v>
      </c>
      <c r="D37" s="491" t="s">
        <v>432</v>
      </c>
      <c r="E37" s="491" t="s">
        <v>432</v>
      </c>
      <c r="F37" s="116"/>
      <c r="H37" s="118" t="s">
        <v>310</v>
      </c>
      <c r="I37" s="209"/>
      <c r="J37" s="209"/>
      <c r="K37" s="209"/>
      <c r="L37" s="412"/>
      <c r="M37" s="209"/>
      <c r="O37" s="295" t="s">
        <v>310</v>
      </c>
      <c r="P37" s="298"/>
      <c r="Q37" s="192" t="s">
        <v>350</v>
      </c>
      <c r="R37" s="192" t="s">
        <v>350</v>
      </c>
      <c r="S37" s="152"/>
      <c r="T37" s="209"/>
    </row>
    <row r="38" spans="1:35" ht="57" customHeight="1" x14ac:dyDescent="0.25">
      <c r="A38" s="118" t="s">
        <v>312</v>
      </c>
      <c r="B38" s="213"/>
      <c r="C38" s="491" t="s">
        <v>432</v>
      </c>
      <c r="D38" s="491" t="s">
        <v>432</v>
      </c>
      <c r="E38" s="491" t="s">
        <v>432</v>
      </c>
      <c r="F38" s="116"/>
      <c r="H38" s="118" t="s">
        <v>312</v>
      </c>
      <c r="I38" s="209"/>
      <c r="J38" s="209"/>
      <c r="K38" s="209"/>
      <c r="L38" s="412"/>
      <c r="M38" s="209"/>
      <c r="O38" s="295" t="s">
        <v>312</v>
      </c>
      <c r="P38" s="298"/>
      <c r="Q38" s="192" t="s">
        <v>350</v>
      </c>
      <c r="R38" s="192" t="s">
        <v>350</v>
      </c>
      <c r="S38" s="152"/>
      <c r="T38" s="209"/>
    </row>
    <row r="39" spans="1:35" ht="143.25" customHeight="1" x14ac:dyDescent="0.25">
      <c r="A39" s="118" t="s">
        <v>315</v>
      </c>
      <c r="B39" s="213"/>
      <c r="C39" s="491" t="s">
        <v>432</v>
      </c>
      <c r="D39" s="213"/>
      <c r="E39" s="491" t="s">
        <v>432</v>
      </c>
      <c r="F39" s="116"/>
      <c r="H39" s="118" t="s">
        <v>315</v>
      </c>
      <c r="I39" s="414"/>
      <c r="J39" s="414"/>
      <c r="K39" s="209"/>
      <c r="L39" s="412"/>
      <c r="M39" s="209"/>
      <c r="O39" s="295" t="s">
        <v>315</v>
      </c>
      <c r="P39" s="297"/>
      <c r="Q39" s="291"/>
      <c r="R39" s="192" t="s">
        <v>350</v>
      </c>
      <c r="S39" s="209"/>
      <c r="T39" s="209"/>
    </row>
    <row r="40" spans="1:35" ht="148.5" customHeight="1" x14ac:dyDescent="0.25">
      <c r="A40" s="118" t="s">
        <v>352</v>
      </c>
      <c r="B40" s="213"/>
      <c r="C40" s="491" t="s">
        <v>432</v>
      </c>
      <c r="D40" s="213"/>
      <c r="E40" s="491" t="s">
        <v>432</v>
      </c>
      <c r="F40" s="116"/>
      <c r="H40" s="118" t="s">
        <v>352</v>
      </c>
      <c r="I40" s="414"/>
      <c r="J40" s="414"/>
      <c r="K40" s="209"/>
      <c r="L40" s="412"/>
      <c r="M40" s="209"/>
      <c r="O40" s="295" t="s">
        <v>352</v>
      </c>
      <c r="P40" s="297"/>
      <c r="Q40" s="291"/>
      <c r="R40" s="192" t="s">
        <v>350</v>
      </c>
      <c r="S40" s="209"/>
      <c r="T40" s="209"/>
    </row>
    <row r="41" spans="1:35" ht="64.5" customHeight="1" x14ac:dyDescent="0.25">
      <c r="A41" s="118" t="s">
        <v>353</v>
      </c>
      <c r="B41" s="545" t="s">
        <v>354</v>
      </c>
      <c r="C41" s="546"/>
      <c r="D41" s="546"/>
      <c r="E41" s="546"/>
      <c r="F41" s="547"/>
      <c r="H41" s="118" t="s">
        <v>353</v>
      </c>
      <c r="I41" s="499" t="s">
        <v>354</v>
      </c>
      <c r="J41" s="499"/>
      <c r="K41" s="499"/>
      <c r="L41" s="499"/>
      <c r="M41" s="499"/>
      <c r="O41" s="295" t="s">
        <v>353</v>
      </c>
      <c r="P41" s="553" t="s">
        <v>354</v>
      </c>
      <c r="Q41" s="546"/>
      <c r="R41" s="546"/>
      <c r="S41" s="546"/>
      <c r="T41" s="547"/>
    </row>
    <row r="42" spans="1:35" ht="93" customHeight="1" x14ac:dyDescent="0.25">
      <c r="A42" s="118" t="s">
        <v>355</v>
      </c>
      <c r="B42" s="548"/>
      <c r="C42" s="549"/>
      <c r="D42" s="549"/>
      <c r="E42" s="549"/>
      <c r="F42" s="550"/>
      <c r="H42" s="118" t="s">
        <v>355</v>
      </c>
      <c r="I42" s="499"/>
      <c r="J42" s="499"/>
      <c r="K42" s="499"/>
      <c r="L42" s="499"/>
      <c r="M42" s="499"/>
      <c r="O42" s="295" t="s">
        <v>355</v>
      </c>
      <c r="P42" s="554"/>
      <c r="Q42" s="549"/>
      <c r="R42" s="549"/>
      <c r="S42" s="549"/>
      <c r="T42" s="550"/>
    </row>
    <row r="43" spans="1:35" ht="87.75" customHeight="1" x14ac:dyDescent="0.25">
      <c r="A43" s="118" t="s">
        <v>318</v>
      </c>
      <c r="B43" s="491" t="s">
        <v>432</v>
      </c>
      <c r="C43" s="491" t="s">
        <v>432</v>
      </c>
      <c r="D43" s="116"/>
      <c r="E43" s="491" t="s">
        <v>432</v>
      </c>
      <c r="F43" s="116"/>
      <c r="H43" s="118" t="s">
        <v>318</v>
      </c>
      <c r="I43" s="258"/>
      <c r="J43" s="209"/>
      <c r="K43" s="209"/>
      <c r="L43" s="552" t="s">
        <v>435</v>
      </c>
      <c r="M43" s="150"/>
      <c r="O43" s="295" t="s">
        <v>318</v>
      </c>
      <c r="P43" s="411"/>
      <c r="Q43" s="250"/>
      <c r="R43" s="192" t="s">
        <v>350</v>
      </c>
      <c r="S43" s="250"/>
      <c r="T43" s="209"/>
    </row>
    <row r="44" spans="1:35" ht="35.1" customHeight="1" x14ac:dyDescent="0.25">
      <c r="A44" s="118" t="s">
        <v>321</v>
      </c>
      <c r="B44" s="491" t="s">
        <v>432</v>
      </c>
      <c r="C44" s="491" t="s">
        <v>432</v>
      </c>
      <c r="D44" s="116"/>
      <c r="E44" s="491" t="s">
        <v>432</v>
      </c>
      <c r="F44" s="116"/>
      <c r="H44" s="118" t="s">
        <v>321</v>
      </c>
      <c r="I44" s="258"/>
      <c r="J44" s="209"/>
      <c r="K44" s="209"/>
      <c r="L44" s="552"/>
      <c r="M44" s="150"/>
      <c r="O44" s="295" t="s">
        <v>321</v>
      </c>
      <c r="P44" s="411"/>
      <c r="Q44" s="250"/>
      <c r="R44" s="192" t="s">
        <v>350</v>
      </c>
      <c r="S44" s="250"/>
      <c r="T44" s="209"/>
    </row>
    <row r="45" spans="1:35" ht="63" customHeight="1" x14ac:dyDescent="0.25">
      <c r="A45" s="118" t="s">
        <v>324</v>
      </c>
      <c r="B45" s="116"/>
      <c r="C45" s="116"/>
      <c r="D45" s="116"/>
      <c r="E45" s="116"/>
      <c r="F45" s="116"/>
      <c r="H45" s="118" t="s">
        <v>324</v>
      </c>
      <c r="I45" s="258"/>
      <c r="J45" s="150"/>
      <c r="K45" s="150"/>
      <c r="L45" s="552" t="s">
        <v>435</v>
      </c>
      <c r="M45" s="152"/>
      <c r="O45" s="295" t="s">
        <v>324</v>
      </c>
      <c r="P45" s="411"/>
      <c r="Q45" s="250"/>
      <c r="R45" s="250"/>
      <c r="S45" s="250"/>
      <c r="T45" s="152"/>
    </row>
    <row r="46" spans="1:35" ht="35.1" customHeight="1" x14ac:dyDescent="0.25">
      <c r="A46" s="118" t="s">
        <v>325</v>
      </c>
      <c r="B46" s="116"/>
      <c r="C46" s="116"/>
      <c r="D46" s="116"/>
      <c r="E46" s="116"/>
      <c r="F46" s="116"/>
      <c r="H46" s="118" t="s">
        <v>325</v>
      </c>
      <c r="I46" s="258"/>
      <c r="J46" s="150"/>
      <c r="K46" s="150"/>
      <c r="L46" s="552"/>
      <c r="M46" s="152"/>
      <c r="O46" s="295" t="s">
        <v>325</v>
      </c>
      <c r="P46" s="411"/>
      <c r="Q46" s="250"/>
      <c r="R46" s="250"/>
      <c r="S46" s="250"/>
      <c r="T46" s="152"/>
    </row>
    <row r="47" spans="1:35" ht="35.1" customHeight="1" x14ac:dyDescent="0.25">
      <c r="A47" s="118" t="s">
        <v>357</v>
      </c>
      <c r="B47" s="116"/>
      <c r="C47" s="116"/>
      <c r="D47" s="116"/>
      <c r="E47" s="116"/>
      <c r="F47" s="116"/>
      <c r="H47" s="118" t="s">
        <v>357</v>
      </c>
      <c r="I47" s="258"/>
      <c r="J47" s="150"/>
      <c r="K47" s="150"/>
      <c r="L47" s="552" t="s">
        <v>435</v>
      </c>
      <c r="M47" s="150"/>
      <c r="O47" s="295" t="s">
        <v>357</v>
      </c>
      <c r="P47" s="411"/>
      <c r="Q47" s="250"/>
      <c r="R47" s="209"/>
      <c r="S47" s="209"/>
      <c r="T47" s="209"/>
    </row>
    <row r="48" spans="1:35" ht="35.1" customHeight="1" x14ac:dyDescent="0.25">
      <c r="A48" s="118" t="s">
        <v>358</v>
      </c>
      <c r="B48" s="116"/>
      <c r="C48" s="116"/>
      <c r="D48" s="116"/>
      <c r="E48" s="116"/>
      <c r="F48" s="116"/>
      <c r="H48" s="118" t="s">
        <v>358</v>
      </c>
      <c r="I48" s="258"/>
      <c r="J48" s="150"/>
      <c r="K48" s="152"/>
      <c r="L48" s="552"/>
      <c r="M48" s="150"/>
      <c r="O48" s="295" t="s">
        <v>358</v>
      </c>
      <c r="P48" s="411"/>
      <c r="Q48" s="250"/>
      <c r="R48" s="152"/>
      <c r="S48" s="209"/>
      <c r="T48" s="209"/>
    </row>
    <row r="49" ht="35.1" customHeight="1" x14ac:dyDescent="0.25"/>
    <row r="50" ht="35.1" customHeight="1" x14ac:dyDescent="0.25"/>
    <row r="51" ht="35.1" customHeight="1" x14ac:dyDescent="0.25"/>
    <row r="52" ht="35.1" customHeight="1" x14ac:dyDescent="0.25"/>
    <row r="53" ht="35.1" customHeight="1" x14ac:dyDescent="0.25"/>
    <row r="54" ht="35.1" customHeight="1" x14ac:dyDescent="0.25"/>
    <row r="55" ht="35.1" customHeight="1" x14ac:dyDescent="0.25"/>
    <row r="56" ht="35.1" customHeight="1" x14ac:dyDescent="0.25"/>
    <row r="57" ht="35.1" customHeight="1" x14ac:dyDescent="0.25"/>
    <row r="58" ht="35.1" customHeight="1" x14ac:dyDescent="0.25"/>
    <row r="59" ht="35.1" customHeight="1" x14ac:dyDescent="0.25"/>
    <row r="60" ht="35.1" customHeight="1" x14ac:dyDescent="0.25"/>
    <row r="61" ht="35.1" customHeight="1" x14ac:dyDescent="0.25"/>
    <row r="62" ht="35.1" customHeight="1" x14ac:dyDescent="0.25"/>
    <row r="63" ht="35.1" customHeight="1" x14ac:dyDescent="0.25"/>
    <row r="64" ht="35.1" customHeight="1" x14ac:dyDescent="0.25"/>
    <row r="65" ht="35.1" customHeight="1" x14ac:dyDescent="0.25"/>
    <row r="66" ht="35.1" customHeight="1" x14ac:dyDescent="0.25"/>
    <row r="67" ht="35.1" customHeight="1" x14ac:dyDescent="0.25"/>
    <row r="68" ht="35.1" customHeight="1" x14ac:dyDescent="0.25"/>
    <row r="69" ht="35.1" customHeight="1" x14ac:dyDescent="0.25"/>
    <row r="70" ht="35.1" customHeight="1" x14ac:dyDescent="0.25"/>
    <row r="71" ht="35.1" customHeight="1" x14ac:dyDescent="0.25"/>
    <row r="72" ht="35.1" customHeight="1" x14ac:dyDescent="0.25"/>
    <row r="73" ht="35.1" customHeight="1" x14ac:dyDescent="0.25"/>
    <row r="74" ht="35.1" customHeight="1" x14ac:dyDescent="0.25"/>
    <row r="75" ht="35.1" customHeight="1" x14ac:dyDescent="0.25"/>
    <row r="76" ht="35.1" customHeight="1" x14ac:dyDescent="0.25"/>
    <row r="77" ht="35.1" customHeight="1" x14ac:dyDescent="0.25"/>
    <row r="78" ht="35.1" customHeight="1" x14ac:dyDescent="0.25"/>
    <row r="79" ht="35.1" customHeight="1" x14ac:dyDescent="0.25"/>
    <row r="80" ht="35.1" customHeight="1" x14ac:dyDescent="0.25"/>
    <row r="81" spans="1:27" ht="35.1" customHeight="1" x14ac:dyDescent="0.25"/>
    <row r="82" spans="1:27" ht="35.1" customHeight="1" x14ac:dyDescent="0.25"/>
    <row r="83" spans="1:27" ht="35.1" customHeight="1" x14ac:dyDescent="0.25"/>
    <row r="84" spans="1:27" ht="35.1" customHeight="1" x14ac:dyDescent="0.25"/>
    <row r="85" spans="1:27" ht="35.1" customHeight="1" x14ac:dyDescent="0.25"/>
    <row r="86" spans="1:27" ht="35.1" customHeight="1" x14ac:dyDescent="0.25"/>
    <row r="87" spans="1:27" ht="35.1" customHeight="1" x14ac:dyDescent="0.25"/>
    <row r="88" spans="1:27" ht="35.1" customHeight="1" x14ac:dyDescent="0.25"/>
    <row r="89" spans="1:27" ht="35.1" customHeight="1" x14ac:dyDescent="0.25"/>
    <row r="90" spans="1:27" ht="35.1" customHeight="1" x14ac:dyDescent="0.25"/>
    <row r="91" spans="1:27" ht="35.1" customHeight="1" x14ac:dyDescent="0.25"/>
    <row r="92" spans="1:27" ht="35.1" customHeight="1" x14ac:dyDescent="0.25"/>
    <row r="93" spans="1:27" ht="35.1" customHeight="1" x14ac:dyDescent="0.25"/>
    <row r="94" spans="1:27" ht="35.1" customHeight="1" x14ac:dyDescent="0.25"/>
    <row r="95" spans="1:27" ht="35.1" customHeight="1" x14ac:dyDescent="0.3">
      <c r="A95" s="120" t="s">
        <v>474</v>
      </c>
      <c r="B95" s="121" t="s">
        <v>475</v>
      </c>
      <c r="C95" s="121" t="s">
        <v>476</v>
      </c>
      <c r="D95" s="121" t="s">
        <v>477</v>
      </c>
      <c r="E95" s="121"/>
      <c r="F95" s="121"/>
      <c r="H95" s="120" t="s">
        <v>478</v>
      </c>
      <c r="I95" s="121" t="s">
        <v>479</v>
      </c>
      <c r="J95" s="121" t="s">
        <v>480</v>
      </c>
      <c r="K95" s="121" t="s">
        <v>481</v>
      </c>
      <c r="L95" s="121"/>
      <c r="M95" s="121" t="s">
        <v>482</v>
      </c>
      <c r="O95" s="280" t="s">
        <v>483</v>
      </c>
      <c r="P95" s="121" t="s">
        <v>484</v>
      </c>
      <c r="Q95" s="121" t="s">
        <v>485</v>
      </c>
      <c r="R95" s="121" t="s">
        <v>486</v>
      </c>
      <c r="S95" s="121"/>
      <c r="T95" s="281" t="s">
        <v>487</v>
      </c>
      <c r="V95" s="120" t="s">
        <v>488</v>
      </c>
      <c r="W95" s="121" t="s">
        <v>489</v>
      </c>
      <c r="X95" s="121" t="s">
        <v>490</v>
      </c>
      <c r="Y95" s="121" t="s">
        <v>491</v>
      </c>
      <c r="Z95" s="121"/>
      <c r="AA95" s="121"/>
    </row>
    <row r="96" spans="1:27" ht="35.1" customHeight="1" x14ac:dyDescent="0.25">
      <c r="A96" s="116"/>
      <c r="B96" s="122" t="s">
        <v>153</v>
      </c>
      <c r="C96" s="122" t="s">
        <v>154</v>
      </c>
      <c r="D96" s="122" t="s">
        <v>155</v>
      </c>
      <c r="E96" s="122" t="s">
        <v>156</v>
      </c>
      <c r="F96" s="122" t="s">
        <v>157</v>
      </c>
      <c r="H96" s="116"/>
      <c r="I96" s="122" t="s">
        <v>153</v>
      </c>
      <c r="J96" s="122" t="s">
        <v>154</v>
      </c>
      <c r="K96" s="122" t="s">
        <v>155</v>
      </c>
      <c r="L96" s="122" t="s">
        <v>156</v>
      </c>
      <c r="M96" s="122" t="s">
        <v>157</v>
      </c>
      <c r="O96" s="116"/>
      <c r="P96" s="122" t="s">
        <v>153</v>
      </c>
      <c r="Q96" s="122" t="s">
        <v>154</v>
      </c>
      <c r="R96" s="122" t="s">
        <v>155</v>
      </c>
      <c r="S96" s="122" t="s">
        <v>156</v>
      </c>
      <c r="T96" s="122" t="s">
        <v>157</v>
      </c>
      <c r="V96" s="116"/>
      <c r="W96" s="122" t="s">
        <v>153</v>
      </c>
      <c r="X96" s="122" t="s">
        <v>154</v>
      </c>
      <c r="Y96" s="122" t="s">
        <v>155</v>
      </c>
      <c r="Z96" s="122" t="s">
        <v>156</v>
      </c>
      <c r="AA96" s="122" t="s">
        <v>157</v>
      </c>
    </row>
    <row r="97" spans="1:27" ht="35.1" customHeight="1" x14ac:dyDescent="0.25">
      <c r="A97" s="118" t="s">
        <v>343</v>
      </c>
      <c r="B97" s="209"/>
      <c r="C97" s="175" t="s">
        <v>492</v>
      </c>
      <c r="D97" s="150"/>
      <c r="E97" s="159" t="s">
        <v>493</v>
      </c>
      <c r="F97" s="150"/>
      <c r="H97" s="118" t="s">
        <v>343</v>
      </c>
      <c r="I97" s="209"/>
      <c r="J97" s="209"/>
      <c r="K97" s="209"/>
      <c r="L97" s="209"/>
      <c r="M97" s="209"/>
      <c r="O97" s="118" t="s">
        <v>343</v>
      </c>
      <c r="P97" s="150"/>
      <c r="Q97" s="116"/>
      <c r="R97" s="116"/>
      <c r="S97" s="116"/>
      <c r="T97" s="150"/>
      <c r="V97" s="118" t="s">
        <v>343</v>
      </c>
      <c r="W97" s="116"/>
      <c r="X97" s="116"/>
      <c r="Y97" s="116"/>
      <c r="Z97" s="116"/>
      <c r="AA97" s="116"/>
    </row>
    <row r="98" spans="1:27" ht="35.1" customHeight="1" x14ac:dyDescent="0.25">
      <c r="A98" s="118" t="s">
        <v>349</v>
      </c>
      <c r="B98" s="209"/>
      <c r="C98" s="175" t="s">
        <v>492</v>
      </c>
      <c r="D98" s="176" t="s">
        <v>494</v>
      </c>
      <c r="E98" s="159" t="s">
        <v>495</v>
      </c>
      <c r="F98" s="150"/>
      <c r="H98" s="118" t="s">
        <v>349</v>
      </c>
      <c r="I98" s="209"/>
      <c r="J98" s="164" t="s">
        <v>496</v>
      </c>
      <c r="K98" s="209"/>
      <c r="L98" s="209"/>
      <c r="M98" s="209"/>
      <c r="O98" s="118" t="s">
        <v>349</v>
      </c>
      <c r="P98" s="189"/>
      <c r="Q98" s="116"/>
      <c r="R98" s="116"/>
      <c r="S98" s="116"/>
      <c r="T98" s="150"/>
      <c r="V98" s="118" t="s">
        <v>349</v>
      </c>
      <c r="W98" s="116"/>
      <c r="X98" s="116"/>
      <c r="Y98" s="116"/>
      <c r="Z98" s="116"/>
      <c r="AA98" s="116"/>
    </row>
    <row r="99" spans="1:27" ht="35.1" customHeight="1" x14ac:dyDescent="0.25">
      <c r="A99" s="118" t="s">
        <v>305</v>
      </c>
      <c r="B99" s="168" t="s">
        <v>497</v>
      </c>
      <c r="C99" s="156"/>
      <c r="D99" s="176" t="s">
        <v>494</v>
      </c>
      <c r="E99" s="209"/>
      <c r="F99" s="168" t="s">
        <v>498</v>
      </c>
      <c r="H99" s="118" t="s">
        <v>305</v>
      </c>
      <c r="I99" s="209"/>
      <c r="J99" s="186" t="s">
        <v>496</v>
      </c>
      <c r="K99" s="209"/>
      <c r="L99" s="209"/>
      <c r="M99" s="209"/>
      <c r="O99" s="118" t="s">
        <v>305</v>
      </c>
      <c r="P99" s="190"/>
      <c r="Q99" s="116"/>
      <c r="R99" s="116"/>
      <c r="S99" s="116"/>
      <c r="T99" s="209"/>
      <c r="V99" s="118" t="s">
        <v>305</v>
      </c>
      <c r="W99" s="116"/>
      <c r="X99" s="116"/>
      <c r="Y99" s="116"/>
      <c r="Z99" s="116"/>
      <c r="AA99" s="116"/>
    </row>
    <row r="100" spans="1:27" ht="35.1" customHeight="1" x14ac:dyDescent="0.25">
      <c r="A100" s="118" t="s">
        <v>308</v>
      </c>
      <c r="B100" s="168" t="s">
        <v>497</v>
      </c>
      <c r="C100" s="209"/>
      <c r="D100" s="176" t="s">
        <v>494</v>
      </c>
      <c r="E100" s="209"/>
      <c r="F100" s="168" t="s">
        <v>498</v>
      </c>
      <c r="H100" s="118" t="s">
        <v>308</v>
      </c>
      <c r="I100" s="209"/>
      <c r="J100" s="186" t="s">
        <v>496</v>
      </c>
      <c r="K100" s="209"/>
      <c r="L100" s="209"/>
      <c r="M100" s="209"/>
      <c r="O100" s="118" t="s">
        <v>308</v>
      </c>
      <c r="P100" s="209"/>
      <c r="Q100" s="116"/>
      <c r="R100" s="116"/>
      <c r="S100" s="116"/>
      <c r="T100" s="209"/>
      <c r="V100" s="118" t="s">
        <v>308</v>
      </c>
      <c r="W100" s="116"/>
      <c r="X100" s="116"/>
      <c r="Y100" s="116"/>
      <c r="Z100" s="116"/>
      <c r="AA100" s="116"/>
    </row>
    <row r="101" spans="1:27" ht="35.1" customHeight="1" x14ac:dyDescent="0.25">
      <c r="A101" s="118" t="s">
        <v>310</v>
      </c>
      <c r="B101" s="209"/>
      <c r="C101" s="177" t="s">
        <v>499</v>
      </c>
      <c r="D101" s="176" t="s">
        <v>494</v>
      </c>
      <c r="E101" s="209" t="s">
        <v>500</v>
      </c>
      <c r="F101" s="209"/>
      <c r="H101" s="118" t="s">
        <v>310</v>
      </c>
      <c r="I101" s="168" t="s">
        <v>501</v>
      </c>
      <c r="J101" s="156"/>
      <c r="K101" s="209"/>
      <c r="L101" s="287" t="s">
        <v>502</v>
      </c>
      <c r="M101" s="209"/>
      <c r="O101" s="118" t="s">
        <v>310</v>
      </c>
      <c r="P101" s="305" t="s">
        <v>503</v>
      </c>
      <c r="Q101" s="116"/>
      <c r="R101" s="116"/>
      <c r="S101" s="116"/>
      <c r="T101" s="209"/>
      <c r="V101" s="118" t="s">
        <v>310</v>
      </c>
      <c r="W101" s="116"/>
      <c r="X101" s="116"/>
      <c r="Y101" s="116"/>
      <c r="Z101" s="116"/>
      <c r="AA101" s="116"/>
    </row>
    <row r="102" spans="1:27" ht="35.1" customHeight="1" x14ac:dyDescent="0.25">
      <c r="A102" s="118" t="s">
        <v>312</v>
      </c>
      <c r="B102" s="209"/>
      <c r="C102" s="178" t="s">
        <v>499</v>
      </c>
      <c r="D102" s="179"/>
      <c r="E102" s="161" t="s">
        <v>504</v>
      </c>
      <c r="F102" s="180" t="s">
        <v>505</v>
      </c>
      <c r="H102" s="118" t="s">
        <v>312</v>
      </c>
      <c r="I102" s="168" t="s">
        <v>501</v>
      </c>
      <c r="J102" s="156"/>
      <c r="K102" s="209"/>
      <c r="L102" s="287" t="s">
        <v>502</v>
      </c>
      <c r="M102" s="209"/>
      <c r="O102" s="118" t="s">
        <v>312</v>
      </c>
      <c r="P102" s="209"/>
      <c r="Q102" s="116"/>
      <c r="R102" s="116"/>
      <c r="S102" s="116"/>
      <c r="T102" s="209"/>
      <c r="V102" s="118" t="s">
        <v>312</v>
      </c>
      <c r="W102" s="116"/>
      <c r="X102" s="116"/>
      <c r="Y102" s="116"/>
      <c r="Z102" s="116"/>
      <c r="AA102" s="116"/>
    </row>
    <row r="103" spans="1:27" ht="35.1" customHeight="1" x14ac:dyDescent="0.25">
      <c r="A103" s="118" t="s">
        <v>315</v>
      </c>
      <c r="B103" s="209"/>
      <c r="C103" s="178" t="s">
        <v>499</v>
      </c>
      <c r="D103" s="181" t="s">
        <v>506</v>
      </c>
      <c r="E103" s="161" t="s">
        <v>504</v>
      </c>
      <c r="F103" s="180" t="s">
        <v>505</v>
      </c>
      <c r="H103" s="118" t="s">
        <v>315</v>
      </c>
      <c r="I103" s="168" t="s">
        <v>501</v>
      </c>
      <c r="J103" s="148" t="s">
        <v>507</v>
      </c>
      <c r="K103" s="150"/>
      <c r="L103" s="184"/>
      <c r="M103" s="209"/>
      <c r="O103" s="118" t="s">
        <v>315</v>
      </c>
      <c r="P103" s="209"/>
      <c r="Q103" s="116"/>
      <c r="R103" s="116"/>
      <c r="S103" s="116"/>
      <c r="T103" s="214" t="s">
        <v>508</v>
      </c>
      <c r="V103" s="118" t="s">
        <v>315</v>
      </c>
      <c r="W103" s="116"/>
      <c r="X103" s="116"/>
      <c r="Y103" s="116"/>
      <c r="Z103" s="116"/>
      <c r="AA103" s="116"/>
    </row>
    <row r="104" spans="1:27" ht="39.950000000000003" customHeight="1" x14ac:dyDescent="0.25">
      <c r="A104" s="118" t="s">
        <v>352</v>
      </c>
      <c r="B104" s="209"/>
      <c r="C104" s="177" t="s">
        <v>499</v>
      </c>
      <c r="D104" s="181" t="s">
        <v>506</v>
      </c>
      <c r="E104" s="161" t="s">
        <v>504</v>
      </c>
      <c r="F104" s="180" t="s">
        <v>505</v>
      </c>
      <c r="H104" s="118" t="s">
        <v>352</v>
      </c>
      <c r="I104" s="209"/>
      <c r="J104" s="148" t="s">
        <v>507</v>
      </c>
      <c r="K104" s="290"/>
      <c r="L104" s="150"/>
      <c r="M104" s="209"/>
      <c r="O104" s="118" t="s">
        <v>352</v>
      </c>
      <c r="P104" s="209"/>
      <c r="Q104" s="116"/>
      <c r="R104" s="116"/>
      <c r="S104" s="116"/>
      <c r="T104" s="214" t="s">
        <v>508</v>
      </c>
      <c r="V104" s="118" t="s">
        <v>352</v>
      </c>
      <c r="W104" s="116"/>
      <c r="X104" s="116"/>
      <c r="Y104" s="116"/>
      <c r="Z104" s="116"/>
      <c r="AA104" s="116"/>
    </row>
    <row r="105" spans="1:27" ht="36" x14ac:dyDescent="0.25">
      <c r="A105" s="118" t="s">
        <v>353</v>
      </c>
      <c r="B105" s="499" t="s">
        <v>354</v>
      </c>
      <c r="C105" s="499"/>
      <c r="D105" s="499"/>
      <c r="E105" s="499"/>
      <c r="F105" s="499"/>
      <c r="H105" s="118" t="s">
        <v>353</v>
      </c>
      <c r="I105" s="499" t="s">
        <v>354</v>
      </c>
      <c r="J105" s="499"/>
      <c r="K105" s="499"/>
      <c r="L105" s="499"/>
      <c r="M105" s="499"/>
      <c r="O105" s="118" t="s">
        <v>353</v>
      </c>
      <c r="P105" s="499" t="s">
        <v>354</v>
      </c>
      <c r="Q105" s="499"/>
      <c r="R105" s="499"/>
      <c r="S105" s="499"/>
      <c r="T105" s="499"/>
      <c r="V105" s="118" t="s">
        <v>353</v>
      </c>
      <c r="W105" s="499" t="s">
        <v>354</v>
      </c>
      <c r="X105" s="499"/>
      <c r="Y105" s="499"/>
      <c r="Z105" s="499"/>
      <c r="AA105" s="499"/>
    </row>
    <row r="106" spans="1:27" ht="18" x14ac:dyDescent="0.25">
      <c r="A106" s="118" t="s">
        <v>355</v>
      </c>
      <c r="B106" s="499"/>
      <c r="C106" s="499"/>
      <c r="D106" s="499"/>
      <c r="E106" s="499"/>
      <c r="F106" s="499"/>
      <c r="H106" s="118" t="s">
        <v>355</v>
      </c>
      <c r="I106" s="499"/>
      <c r="J106" s="499"/>
      <c r="K106" s="499"/>
      <c r="L106" s="499"/>
      <c r="M106" s="499"/>
      <c r="O106" s="118" t="s">
        <v>355</v>
      </c>
      <c r="P106" s="499"/>
      <c r="Q106" s="499"/>
      <c r="R106" s="499"/>
      <c r="S106" s="499"/>
      <c r="T106" s="499"/>
      <c r="V106" s="118" t="s">
        <v>355</v>
      </c>
      <c r="W106" s="499"/>
      <c r="X106" s="499"/>
      <c r="Y106" s="499"/>
      <c r="Z106" s="499"/>
      <c r="AA106" s="499"/>
    </row>
    <row r="107" spans="1:27" ht="45" x14ac:dyDescent="0.25">
      <c r="A107" s="118" t="s">
        <v>318</v>
      </c>
      <c r="B107" s="209"/>
      <c r="C107" s="209"/>
      <c r="D107" s="150"/>
      <c r="E107" s="209"/>
      <c r="F107" s="209"/>
      <c r="H107" s="118" t="s">
        <v>318</v>
      </c>
      <c r="I107" s="161" t="s">
        <v>509</v>
      </c>
      <c r="J107" s="209"/>
      <c r="K107" s="150"/>
      <c r="L107" s="154" t="s">
        <v>510</v>
      </c>
      <c r="M107" s="209"/>
      <c r="O107" s="118" t="s">
        <v>318</v>
      </c>
      <c r="P107" s="245"/>
      <c r="Q107" s="159" t="s">
        <v>511</v>
      </c>
      <c r="R107" s="116"/>
      <c r="S107" s="116"/>
      <c r="T107" s="286" t="s">
        <v>512</v>
      </c>
      <c r="V107" s="118" t="s">
        <v>318</v>
      </c>
      <c r="W107" s="116"/>
      <c r="X107" s="116"/>
      <c r="Y107" s="116"/>
      <c r="Z107" s="116"/>
      <c r="AA107" s="116"/>
    </row>
    <row r="108" spans="1:27" ht="112.5" x14ac:dyDescent="0.25">
      <c r="A108" s="118" t="s">
        <v>321</v>
      </c>
      <c r="B108" s="209"/>
      <c r="C108" s="182"/>
      <c r="D108" s="184"/>
      <c r="E108" s="209"/>
      <c r="F108" s="209"/>
      <c r="H108" s="118" t="s">
        <v>321</v>
      </c>
      <c r="I108" s="161" t="s">
        <v>509</v>
      </c>
      <c r="J108" s="209"/>
      <c r="K108" s="187"/>
      <c r="L108" s="154" t="s">
        <v>510</v>
      </c>
      <c r="M108" s="209"/>
      <c r="O108" s="118" t="s">
        <v>321</v>
      </c>
      <c r="P108" s="304" t="s">
        <v>513</v>
      </c>
      <c r="Q108" s="159" t="s">
        <v>511</v>
      </c>
      <c r="R108" s="116"/>
      <c r="S108" s="116"/>
      <c r="T108" s="286" t="s">
        <v>512</v>
      </c>
      <c r="V108" s="118" t="s">
        <v>321</v>
      </c>
      <c r="W108" s="116"/>
      <c r="X108" s="116"/>
      <c r="Y108" s="116"/>
      <c r="Z108" s="116"/>
      <c r="AA108" s="116"/>
    </row>
    <row r="109" spans="1:27" ht="112.5" x14ac:dyDescent="0.25">
      <c r="A109" s="118" t="s">
        <v>324</v>
      </c>
      <c r="B109" s="209"/>
      <c r="C109" s="183" t="s">
        <v>514</v>
      </c>
      <c r="D109" s="184"/>
      <c r="E109" s="209"/>
      <c r="F109" s="209"/>
      <c r="H109" s="118" t="s">
        <v>324</v>
      </c>
      <c r="I109" s="161" t="s">
        <v>509</v>
      </c>
      <c r="J109" s="209"/>
      <c r="K109" s="209"/>
      <c r="L109" s="188" t="s">
        <v>510</v>
      </c>
      <c r="M109" s="209"/>
      <c r="O109" s="118" t="s">
        <v>324</v>
      </c>
      <c r="P109" s="304" t="s">
        <v>513</v>
      </c>
      <c r="Q109" s="282" t="s">
        <v>515</v>
      </c>
      <c r="R109" s="116"/>
      <c r="S109" s="116"/>
      <c r="T109" s="304" t="s">
        <v>516</v>
      </c>
      <c r="V109" s="118" t="s">
        <v>324</v>
      </c>
      <c r="W109" s="116"/>
      <c r="X109" s="116"/>
      <c r="Y109" s="116"/>
      <c r="Z109" s="116"/>
      <c r="AA109" s="116"/>
    </row>
    <row r="110" spans="1:27" ht="56.25" x14ac:dyDescent="0.25">
      <c r="A110" s="118" t="s">
        <v>325</v>
      </c>
      <c r="B110" s="209"/>
      <c r="C110" s="183" t="s">
        <v>514</v>
      </c>
      <c r="D110" s="150"/>
      <c r="E110" s="209"/>
      <c r="F110" s="209"/>
      <c r="H110" s="118" t="s">
        <v>325</v>
      </c>
      <c r="I110" s="161" t="s">
        <v>509</v>
      </c>
      <c r="J110" s="209"/>
      <c r="K110" s="209"/>
      <c r="L110" s="152"/>
      <c r="M110" s="209"/>
      <c r="O110" s="118" t="s">
        <v>325</v>
      </c>
      <c r="P110" s="209"/>
      <c r="Q110" s="282" t="s">
        <v>515</v>
      </c>
      <c r="R110" s="116"/>
      <c r="S110" s="116"/>
      <c r="T110" s="304" t="s">
        <v>516</v>
      </c>
      <c r="V110" s="118" t="s">
        <v>325</v>
      </c>
      <c r="W110" s="116"/>
      <c r="X110" s="116"/>
      <c r="Y110" s="116"/>
      <c r="Z110" s="116"/>
      <c r="AA110" s="116"/>
    </row>
    <row r="111" spans="1:27" ht="45" x14ac:dyDescent="0.25">
      <c r="A111" s="118" t="s">
        <v>357</v>
      </c>
      <c r="B111" s="209"/>
      <c r="C111" s="155" t="s">
        <v>517</v>
      </c>
      <c r="D111" s="185" t="s">
        <v>518</v>
      </c>
      <c r="E111" s="150"/>
      <c r="F111" s="150"/>
      <c r="H111" s="118" t="s">
        <v>357</v>
      </c>
      <c r="I111" s="209"/>
      <c r="J111" s="150"/>
      <c r="K111" s="209"/>
      <c r="L111" s="209"/>
      <c r="M111" s="209"/>
      <c r="O111" s="118" t="s">
        <v>357</v>
      </c>
      <c r="P111" s="283" t="s">
        <v>519</v>
      </c>
      <c r="Q111" s="282" t="s">
        <v>515</v>
      </c>
      <c r="R111" s="116"/>
      <c r="S111" s="116"/>
      <c r="T111" s="209"/>
      <c r="V111" s="118" t="s">
        <v>357</v>
      </c>
      <c r="W111" s="116"/>
      <c r="X111" s="116"/>
      <c r="Y111" s="116"/>
      <c r="Z111" s="116"/>
      <c r="AA111" s="116"/>
    </row>
    <row r="112" spans="1:27" ht="45" x14ac:dyDescent="0.25">
      <c r="A112" s="118" t="s">
        <v>358</v>
      </c>
      <c r="B112" s="209"/>
      <c r="C112" s="155" t="s">
        <v>517</v>
      </c>
      <c r="D112" s="168" t="s">
        <v>518</v>
      </c>
      <c r="E112" s="150"/>
      <c r="F112" s="150"/>
      <c r="H112" s="118" t="s">
        <v>358</v>
      </c>
      <c r="I112" s="209"/>
      <c r="J112" s="150"/>
      <c r="K112" s="209"/>
      <c r="L112" s="209"/>
      <c r="M112" s="209"/>
      <c r="O112" s="118" t="s">
        <v>358</v>
      </c>
      <c r="P112" s="283" t="s">
        <v>519</v>
      </c>
      <c r="Q112" s="282" t="s">
        <v>515</v>
      </c>
      <c r="R112" s="116"/>
      <c r="S112" s="116"/>
      <c r="T112" s="209"/>
      <c r="V112" s="118" t="s">
        <v>358</v>
      </c>
      <c r="W112" s="116"/>
      <c r="X112" s="116"/>
      <c r="Y112" s="116"/>
      <c r="Z112" s="116"/>
      <c r="AA112" s="116"/>
    </row>
    <row r="113" spans="1:17" x14ac:dyDescent="0.25">
      <c r="Q113" s="285" t="s">
        <v>520</v>
      </c>
    </row>
    <row r="114" spans="1:17" x14ac:dyDescent="0.25">
      <c r="Q114" s="285" t="s">
        <v>521</v>
      </c>
    </row>
    <row r="116" spans="1:17" ht="15.75" x14ac:dyDescent="0.25">
      <c r="A116" s="123" t="s">
        <v>522</v>
      </c>
      <c r="B116" s="124" t="s">
        <v>523</v>
      </c>
      <c r="C116" s="124" t="s">
        <v>524</v>
      </c>
      <c r="D116" s="544" t="s">
        <v>525</v>
      </c>
      <c r="E116" s="544"/>
      <c r="F116" s="544"/>
    </row>
    <row r="117" spans="1:17" x14ac:dyDescent="0.25">
      <c r="A117" s="116"/>
      <c r="B117" s="122" t="s">
        <v>153</v>
      </c>
      <c r="C117" s="122" t="s">
        <v>154</v>
      </c>
      <c r="D117" s="122" t="s">
        <v>155</v>
      </c>
      <c r="E117" s="122" t="s">
        <v>156</v>
      </c>
      <c r="F117" s="122" t="s">
        <v>157</v>
      </c>
    </row>
    <row r="118" spans="1:17" ht="18" x14ac:dyDescent="0.25">
      <c r="A118" s="118" t="s">
        <v>343</v>
      </c>
      <c r="B118" s="162" t="s">
        <v>526</v>
      </c>
      <c r="C118" s="162" t="s">
        <v>526</v>
      </c>
      <c r="D118" s="162" t="s">
        <v>526</v>
      </c>
      <c r="E118" s="162" t="s">
        <v>526</v>
      </c>
      <c r="F118" s="162" t="s">
        <v>526</v>
      </c>
    </row>
    <row r="119" spans="1:17" ht="18" x14ac:dyDescent="0.25">
      <c r="A119" s="118" t="s">
        <v>349</v>
      </c>
      <c r="B119" s="162" t="s">
        <v>526</v>
      </c>
      <c r="C119" s="162" t="s">
        <v>526</v>
      </c>
      <c r="D119" s="162" t="s">
        <v>526</v>
      </c>
      <c r="E119" s="162" t="s">
        <v>526</v>
      </c>
      <c r="F119" s="162" t="s">
        <v>526</v>
      </c>
    </row>
    <row r="120" spans="1:17" ht="18" x14ac:dyDescent="0.25">
      <c r="A120" s="118" t="s">
        <v>305</v>
      </c>
      <c r="B120" s="162" t="s">
        <v>526</v>
      </c>
      <c r="C120" s="162" t="s">
        <v>526</v>
      </c>
      <c r="D120" s="162" t="s">
        <v>526</v>
      </c>
      <c r="E120" s="162" t="s">
        <v>526</v>
      </c>
      <c r="F120" s="162" t="s">
        <v>526</v>
      </c>
    </row>
    <row r="121" spans="1:17" ht="18" x14ac:dyDescent="0.25">
      <c r="A121" s="118" t="s">
        <v>308</v>
      </c>
      <c r="B121" s="162" t="s">
        <v>526</v>
      </c>
      <c r="C121" s="162" t="s">
        <v>526</v>
      </c>
      <c r="D121" s="162" t="s">
        <v>526</v>
      </c>
      <c r="E121" s="162" t="s">
        <v>526</v>
      </c>
      <c r="F121" s="162" t="s">
        <v>526</v>
      </c>
    </row>
    <row r="122" spans="1:17" ht="36" x14ac:dyDescent="0.25">
      <c r="A122" s="118" t="s">
        <v>310</v>
      </c>
      <c r="B122" s="162" t="s">
        <v>526</v>
      </c>
      <c r="C122" s="162" t="s">
        <v>526</v>
      </c>
      <c r="D122" s="162" t="s">
        <v>526</v>
      </c>
      <c r="E122" s="162" t="s">
        <v>526</v>
      </c>
      <c r="F122" s="162" t="s">
        <v>526</v>
      </c>
    </row>
    <row r="123" spans="1:17" ht="36" x14ac:dyDescent="0.25">
      <c r="A123" s="118" t="s">
        <v>312</v>
      </c>
      <c r="B123" s="162" t="s">
        <v>526</v>
      </c>
      <c r="C123" s="162" t="s">
        <v>526</v>
      </c>
      <c r="D123" s="162" t="s">
        <v>526</v>
      </c>
      <c r="E123" s="162" t="s">
        <v>526</v>
      </c>
      <c r="F123" s="162" t="s">
        <v>526</v>
      </c>
    </row>
    <row r="124" spans="1:17" ht="36" x14ac:dyDescent="0.25">
      <c r="A124" s="118" t="s">
        <v>315</v>
      </c>
      <c r="B124" s="162" t="s">
        <v>526</v>
      </c>
      <c r="C124" s="162" t="s">
        <v>526</v>
      </c>
      <c r="D124" s="162" t="s">
        <v>526</v>
      </c>
      <c r="E124" s="162" t="s">
        <v>526</v>
      </c>
      <c r="F124" s="162" t="s">
        <v>526</v>
      </c>
    </row>
    <row r="125" spans="1:17" ht="36" x14ac:dyDescent="0.25">
      <c r="A125" s="118" t="s">
        <v>352</v>
      </c>
      <c r="B125" s="162" t="s">
        <v>526</v>
      </c>
      <c r="C125" s="162" t="s">
        <v>526</v>
      </c>
      <c r="D125" s="162" t="s">
        <v>526</v>
      </c>
      <c r="E125" s="162" t="s">
        <v>526</v>
      </c>
      <c r="F125" s="162" t="s">
        <v>526</v>
      </c>
    </row>
    <row r="126" spans="1:17" ht="36" x14ac:dyDescent="0.25">
      <c r="A126" s="118" t="s">
        <v>353</v>
      </c>
      <c r="B126" s="499" t="s">
        <v>354</v>
      </c>
      <c r="C126" s="499"/>
      <c r="D126" s="499"/>
      <c r="E126" s="499"/>
      <c r="F126" s="499"/>
    </row>
    <row r="127" spans="1:17" ht="18" x14ac:dyDescent="0.25">
      <c r="A127" s="118" t="s">
        <v>355</v>
      </c>
      <c r="B127" s="499"/>
      <c r="C127" s="499"/>
      <c r="D127" s="499"/>
      <c r="E127" s="499"/>
      <c r="F127" s="499"/>
    </row>
    <row r="128" spans="1:17" ht="18" x14ac:dyDescent="0.25">
      <c r="A128" s="118" t="s">
        <v>318</v>
      </c>
      <c r="B128" s="162" t="s">
        <v>526</v>
      </c>
      <c r="C128" s="162" t="s">
        <v>526</v>
      </c>
      <c r="D128" s="162" t="s">
        <v>526</v>
      </c>
      <c r="E128" s="162" t="s">
        <v>526</v>
      </c>
      <c r="F128" s="162" t="s">
        <v>526</v>
      </c>
    </row>
    <row r="129" spans="1:6" ht="18" x14ac:dyDescent="0.25">
      <c r="A129" s="118" t="s">
        <v>321</v>
      </c>
      <c r="B129" s="162" t="s">
        <v>526</v>
      </c>
      <c r="C129" s="162" t="s">
        <v>527</v>
      </c>
      <c r="D129" s="162" t="s">
        <v>526</v>
      </c>
      <c r="E129" s="162" t="s">
        <v>526</v>
      </c>
      <c r="F129" s="162" t="s">
        <v>526</v>
      </c>
    </row>
    <row r="130" spans="1:6" ht="18" x14ac:dyDescent="0.25">
      <c r="A130" s="118" t="s">
        <v>324</v>
      </c>
      <c r="B130" s="162" t="s">
        <v>526</v>
      </c>
      <c r="C130" s="162" t="s">
        <v>527</v>
      </c>
      <c r="D130" s="162" t="s">
        <v>526</v>
      </c>
      <c r="E130" s="162" t="s">
        <v>526</v>
      </c>
      <c r="F130" s="162" t="s">
        <v>526</v>
      </c>
    </row>
    <row r="131" spans="1:6" ht="18" x14ac:dyDescent="0.25">
      <c r="A131" s="118" t="s">
        <v>325</v>
      </c>
      <c r="B131" s="162" t="s">
        <v>526</v>
      </c>
      <c r="C131" s="162" t="s">
        <v>526</v>
      </c>
      <c r="D131" s="162" t="s">
        <v>526</v>
      </c>
      <c r="E131" s="191" t="s">
        <v>526</v>
      </c>
      <c r="F131" s="162" t="s">
        <v>526</v>
      </c>
    </row>
    <row r="132" spans="1:6" ht="18" x14ac:dyDescent="0.25">
      <c r="A132" s="118" t="s">
        <v>357</v>
      </c>
      <c r="B132" s="162" t="s">
        <v>526</v>
      </c>
      <c r="C132" s="162" t="s">
        <v>526</v>
      </c>
      <c r="D132" s="162" t="s">
        <v>526</v>
      </c>
      <c r="E132" s="191" t="s">
        <v>526</v>
      </c>
      <c r="F132" s="162" t="s">
        <v>526</v>
      </c>
    </row>
    <row r="133" spans="1:6" ht="18" x14ac:dyDescent="0.25">
      <c r="A133" s="118" t="s">
        <v>358</v>
      </c>
      <c r="B133" s="162" t="s">
        <v>526</v>
      </c>
      <c r="C133" s="162" t="s">
        <v>526</v>
      </c>
      <c r="D133" s="162" t="s">
        <v>526</v>
      </c>
      <c r="E133" s="191" t="s">
        <v>526</v>
      </c>
      <c r="F133" s="162" t="s">
        <v>526</v>
      </c>
    </row>
  </sheetData>
  <mergeCells count="26">
    <mergeCell ref="B1:C1"/>
    <mergeCell ref="I9:I10"/>
    <mergeCell ref="J7:J8"/>
    <mergeCell ref="O2:R2"/>
    <mergeCell ref="K7:K8"/>
    <mergeCell ref="W105:AA106"/>
    <mergeCell ref="W15:AA16"/>
    <mergeCell ref="I15:M16"/>
    <mergeCell ref="B15:F16"/>
    <mergeCell ref="P15:T16"/>
    <mergeCell ref="A30:F30"/>
    <mergeCell ref="H30:M30"/>
    <mergeCell ref="L33:L34"/>
    <mergeCell ref="L35:L36"/>
    <mergeCell ref="O30:T30"/>
    <mergeCell ref="P41:T42"/>
    <mergeCell ref="B41:F42"/>
    <mergeCell ref="I41:M42"/>
    <mergeCell ref="L43:L44"/>
    <mergeCell ref="L45:L46"/>
    <mergeCell ref="L47:L48"/>
    <mergeCell ref="B126:F127"/>
    <mergeCell ref="D116:F116"/>
    <mergeCell ref="B105:F106"/>
    <mergeCell ref="I105:M106"/>
    <mergeCell ref="P105:T106"/>
  </mergeCells>
  <phoneticPr fontId="43" type="noConversion"/>
  <pageMargins left="0.7" right="0.7" top="0.75" bottom="0.75" header="0.3" footer="0.3"/>
  <pageSetup orientation="portrait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A8D36-F840-4CF4-8852-BC62D0B51CDF}">
  <sheetPr codeName="Sheet7">
    <pageSetUpPr fitToPage="1"/>
  </sheetPr>
  <dimension ref="A1:AQ160"/>
  <sheetViews>
    <sheetView zoomScale="50" zoomScaleNormal="50" workbookViewId="0">
      <selection activeCell="E13" sqref="E13"/>
    </sheetView>
  </sheetViews>
  <sheetFormatPr defaultRowHeight="15" x14ac:dyDescent="0.25"/>
  <cols>
    <col min="1" max="1" width="20.5703125" customWidth="1"/>
    <col min="2" max="2" width="43.85546875" customWidth="1"/>
    <col min="3" max="3" width="34.5703125" customWidth="1"/>
    <col min="4" max="4" width="40.28515625" customWidth="1"/>
    <col min="5" max="5" width="38" customWidth="1"/>
    <col min="6" max="6" width="50.7109375" customWidth="1"/>
    <col min="7" max="7" width="15.7109375" customWidth="1"/>
    <col min="8" max="8" width="23.28515625" customWidth="1"/>
    <col min="9" max="9" width="31.85546875" customWidth="1"/>
    <col min="10" max="10" width="24.85546875" customWidth="1"/>
    <col min="11" max="11" width="28.28515625" customWidth="1"/>
    <col min="12" max="12" width="37" customWidth="1"/>
    <col min="13" max="13" width="49.42578125" customWidth="1"/>
    <col min="14" max="14" width="15.7109375" customWidth="1"/>
    <col min="15" max="15" width="19.7109375" customWidth="1"/>
    <col min="16" max="16" width="25.85546875" customWidth="1"/>
    <col min="17" max="17" width="19.42578125" customWidth="1"/>
    <col min="18" max="18" width="21.28515625" customWidth="1"/>
    <col min="19" max="19" width="28.85546875" customWidth="1"/>
    <col min="20" max="20" width="26.7109375" customWidth="1"/>
    <col min="21" max="21" width="15.7109375" customWidth="1"/>
    <col min="22" max="22" width="19.5703125" customWidth="1"/>
    <col min="23" max="23" width="20" customWidth="1"/>
    <col min="24" max="24" width="23.140625" customWidth="1"/>
    <col min="25" max="25" width="18.85546875" customWidth="1"/>
    <col min="26" max="26" width="27.42578125" customWidth="1"/>
    <col min="27" max="27" width="30.42578125" customWidth="1"/>
    <col min="28" max="28" width="15.7109375" customWidth="1"/>
    <col min="29" max="29" width="17.42578125" customWidth="1"/>
    <col min="30" max="30" width="21.28515625" customWidth="1"/>
    <col min="31" max="31" width="20.42578125" customWidth="1"/>
    <col min="32" max="32" width="21.42578125" customWidth="1"/>
    <col min="33" max="33" width="22.7109375" customWidth="1"/>
    <col min="34" max="34" width="22.42578125" customWidth="1"/>
    <col min="35" max="35" width="27.42578125" customWidth="1"/>
    <col min="36" max="36" width="18" customWidth="1"/>
    <col min="37" max="42" width="15.7109375" customWidth="1"/>
    <col min="43" max="43" width="131.140625" customWidth="1"/>
    <col min="44" max="153" width="15.7109375" customWidth="1"/>
  </cols>
  <sheetData>
    <row r="1" spans="1:43" ht="35.1" customHeight="1" x14ac:dyDescent="0.4">
      <c r="A1" s="204" t="s">
        <v>326</v>
      </c>
      <c r="B1" s="500" t="s">
        <v>589</v>
      </c>
      <c r="C1" s="500"/>
      <c r="D1" s="500" t="s">
        <v>590</v>
      </c>
      <c r="E1" s="500"/>
      <c r="F1" s="194"/>
      <c r="G1" s="194" t="s">
        <v>372</v>
      </c>
      <c r="H1" s="194"/>
      <c r="I1" s="195"/>
      <c r="J1" s="201"/>
      <c r="K1" s="195"/>
      <c r="L1" s="200"/>
    </row>
    <row r="2" spans="1:43" ht="35.1" customHeight="1" x14ac:dyDescent="0.4">
      <c r="A2" s="205" t="s">
        <v>331</v>
      </c>
      <c r="B2" s="500" t="s">
        <v>591</v>
      </c>
      <c r="C2" s="500"/>
      <c r="D2" s="500" t="s">
        <v>592</v>
      </c>
      <c r="E2" s="500"/>
      <c r="F2" s="194"/>
      <c r="G2" s="501" t="s">
        <v>374</v>
      </c>
      <c r="H2" s="501"/>
      <c r="I2" s="501"/>
      <c r="J2" s="501"/>
      <c r="K2" s="195"/>
      <c r="AJ2" s="429"/>
      <c r="AQ2" s="456" t="s">
        <v>593</v>
      </c>
    </row>
    <row r="3" spans="1:43" ht="35.1" customHeight="1" x14ac:dyDescent="0.25"/>
    <row r="4" spans="1:43" ht="35.1" customHeight="1" x14ac:dyDescent="0.45">
      <c r="B4" s="431" t="s">
        <v>594</v>
      </c>
      <c r="F4" s="424" t="s">
        <v>595</v>
      </c>
      <c r="M4" s="424" t="s">
        <v>595</v>
      </c>
      <c r="O4" s="551" t="s">
        <v>457</v>
      </c>
      <c r="P4" s="551"/>
      <c r="Q4" s="551"/>
      <c r="R4" s="551"/>
      <c r="S4" s="551"/>
      <c r="T4" s="551"/>
      <c r="V4" s="551" t="s">
        <v>457</v>
      </c>
      <c r="W4" s="551"/>
      <c r="X4" s="551"/>
      <c r="Y4" s="551"/>
      <c r="Z4" s="551"/>
      <c r="AA4" s="551"/>
    </row>
    <row r="5" spans="1:43" ht="35.1" customHeight="1" x14ac:dyDescent="0.4">
      <c r="A5" s="115" t="s">
        <v>596</v>
      </c>
      <c r="B5" s="115" t="s">
        <v>597</v>
      </c>
      <c r="C5" s="115" t="s">
        <v>598</v>
      </c>
      <c r="D5" s="115" t="s">
        <v>599</v>
      </c>
      <c r="E5" s="115"/>
      <c r="F5" s="115"/>
      <c r="H5" s="115" t="s">
        <v>600</v>
      </c>
      <c r="I5" s="115" t="s">
        <v>601</v>
      </c>
      <c r="J5" s="115" t="s">
        <v>602</v>
      </c>
      <c r="K5" s="115" t="s">
        <v>603</v>
      </c>
      <c r="L5" s="115"/>
      <c r="M5" s="115"/>
      <c r="O5" s="115" t="s">
        <v>604</v>
      </c>
      <c r="P5" s="115" t="s">
        <v>605</v>
      </c>
      <c r="Q5" s="115" t="s">
        <v>606</v>
      </c>
      <c r="R5" s="115" t="s">
        <v>607</v>
      </c>
      <c r="S5" s="115"/>
      <c r="T5" s="115"/>
      <c r="V5" s="115" t="s">
        <v>608</v>
      </c>
      <c r="W5" s="115" t="s">
        <v>609</v>
      </c>
      <c r="X5" s="115" t="s">
        <v>610</v>
      </c>
      <c r="Y5" s="115" t="s">
        <v>611</v>
      </c>
      <c r="Z5" s="115"/>
      <c r="AA5" s="115"/>
      <c r="AC5" s="115" t="s">
        <v>612</v>
      </c>
      <c r="AD5" s="115" t="s">
        <v>361</v>
      </c>
      <c r="AE5" s="115" t="s">
        <v>613</v>
      </c>
      <c r="AF5" s="115" t="s">
        <v>339</v>
      </c>
      <c r="AG5" s="115"/>
      <c r="AH5" s="115"/>
      <c r="AJ5" s="315"/>
      <c r="AQ5" s="428" t="s">
        <v>614</v>
      </c>
    </row>
    <row r="6" spans="1:43" ht="35.1" customHeight="1" x14ac:dyDescent="0.4">
      <c r="A6" s="116"/>
      <c r="B6" s="117" t="s">
        <v>153</v>
      </c>
      <c r="C6" s="117" t="s">
        <v>154</v>
      </c>
      <c r="D6" s="117" t="s">
        <v>155</v>
      </c>
      <c r="E6" s="117" t="s">
        <v>156</v>
      </c>
      <c r="F6" s="117" t="s">
        <v>157</v>
      </c>
      <c r="H6" s="116"/>
      <c r="I6" s="117" t="s">
        <v>153</v>
      </c>
      <c r="J6" s="117" t="s">
        <v>154</v>
      </c>
      <c r="K6" s="117" t="s">
        <v>155</v>
      </c>
      <c r="L6" s="117" t="s">
        <v>156</v>
      </c>
      <c r="M6" s="117" t="s">
        <v>157</v>
      </c>
      <c r="N6" s="112"/>
      <c r="O6" s="116"/>
      <c r="P6" s="117" t="s">
        <v>153</v>
      </c>
      <c r="Q6" s="117" t="s">
        <v>154</v>
      </c>
      <c r="R6" s="117" t="s">
        <v>155</v>
      </c>
      <c r="S6" s="117" t="s">
        <v>156</v>
      </c>
      <c r="T6" s="117" t="s">
        <v>157</v>
      </c>
      <c r="U6" s="112"/>
      <c r="V6" s="116"/>
      <c r="W6" s="117" t="s">
        <v>153</v>
      </c>
      <c r="X6" s="117" t="s">
        <v>154</v>
      </c>
      <c r="Y6" s="117" t="s">
        <v>155</v>
      </c>
      <c r="Z6" s="117" t="s">
        <v>156</v>
      </c>
      <c r="AA6" s="117" t="s">
        <v>157</v>
      </c>
      <c r="AB6" s="112"/>
      <c r="AC6" s="122" t="s">
        <v>615</v>
      </c>
      <c r="AD6" s="117" t="s">
        <v>153</v>
      </c>
      <c r="AE6" s="117" t="s">
        <v>154</v>
      </c>
      <c r="AF6" s="117" t="s">
        <v>155</v>
      </c>
      <c r="AG6" s="117" t="s">
        <v>156</v>
      </c>
      <c r="AH6" s="117" t="s">
        <v>157</v>
      </c>
      <c r="AI6" s="112"/>
      <c r="AJ6" s="428"/>
      <c r="AK6" s="112"/>
      <c r="AL6" s="112"/>
      <c r="AM6" s="112"/>
      <c r="AN6" s="112"/>
      <c r="AQ6" s="428" t="s">
        <v>616</v>
      </c>
    </row>
    <row r="7" spans="1:43" ht="35.1" customHeight="1" x14ac:dyDescent="0.4">
      <c r="A7" s="118" t="s">
        <v>343</v>
      </c>
      <c r="B7" s="302"/>
      <c r="C7" s="116"/>
      <c r="D7" s="418" t="s">
        <v>381</v>
      </c>
      <c r="E7" s="302"/>
      <c r="F7" s="420"/>
      <c r="H7" s="118" t="s">
        <v>343</v>
      </c>
      <c r="I7" s="418" t="s">
        <v>381</v>
      </c>
      <c r="J7" s="422" t="s">
        <v>380</v>
      </c>
      <c r="K7" s="116"/>
      <c r="L7" s="116"/>
      <c r="M7" s="420"/>
      <c r="O7" s="118" t="s">
        <v>343</v>
      </c>
      <c r="P7" s="302"/>
      <c r="Q7" s="302"/>
      <c r="R7" s="302"/>
      <c r="S7" s="302"/>
      <c r="T7" s="187"/>
      <c r="V7" s="118" t="s">
        <v>343</v>
      </c>
      <c r="W7" s="302"/>
      <c r="X7" s="419"/>
      <c r="Y7" s="187"/>
      <c r="Z7" s="302"/>
      <c r="AA7" s="302"/>
      <c r="AC7" s="118" t="s">
        <v>343</v>
      </c>
      <c r="AD7" s="187"/>
      <c r="AE7" s="187"/>
      <c r="AF7" s="187"/>
      <c r="AG7" s="187"/>
      <c r="AH7" s="187"/>
      <c r="AJ7" s="428"/>
      <c r="AQ7" s="428" t="s">
        <v>617</v>
      </c>
    </row>
    <row r="8" spans="1:43" ht="35.1" customHeight="1" x14ac:dyDescent="0.4">
      <c r="A8" s="118" t="s">
        <v>349</v>
      </c>
      <c r="B8" s="253" t="s">
        <v>618</v>
      </c>
      <c r="C8" s="419"/>
      <c r="D8" s="302"/>
      <c r="E8" s="302"/>
      <c r="F8" s="420"/>
      <c r="H8" s="118" t="s">
        <v>349</v>
      </c>
      <c r="I8" s="116"/>
      <c r="J8" s="307" t="s">
        <v>619</v>
      </c>
      <c r="K8" s="116"/>
      <c r="L8" s="307" t="s">
        <v>619</v>
      </c>
      <c r="M8" s="420"/>
      <c r="O8" s="118" t="s">
        <v>349</v>
      </c>
      <c r="P8" s="302"/>
      <c r="Q8" s="302"/>
      <c r="R8" s="302"/>
      <c r="S8" s="302"/>
      <c r="T8" s="187"/>
      <c r="V8" s="118" t="s">
        <v>349</v>
      </c>
      <c r="W8" s="302"/>
      <c r="X8" s="419"/>
      <c r="Y8" s="187"/>
      <c r="Z8" s="302"/>
      <c r="AA8" s="302"/>
      <c r="AC8" s="118" t="s">
        <v>349</v>
      </c>
      <c r="AD8" s="187"/>
      <c r="AE8" s="187"/>
      <c r="AF8" s="187"/>
      <c r="AG8" s="187"/>
      <c r="AH8" s="187"/>
      <c r="AJ8" s="428"/>
      <c r="AQ8" s="428" t="s">
        <v>620</v>
      </c>
    </row>
    <row r="9" spans="1:43" ht="35.1" customHeight="1" x14ac:dyDescent="0.4">
      <c r="A9" s="118" t="s">
        <v>305</v>
      </c>
      <c r="B9" s="253" t="s">
        <v>618</v>
      </c>
      <c r="C9" s="419"/>
      <c r="D9" s="302"/>
      <c r="E9" s="302"/>
      <c r="F9" s="420"/>
      <c r="H9" s="118" t="s">
        <v>305</v>
      </c>
      <c r="I9" s="116"/>
      <c r="J9" s="307" t="s">
        <v>619</v>
      </c>
      <c r="K9" s="116"/>
      <c r="L9" s="307" t="s">
        <v>619</v>
      </c>
      <c r="M9" s="420"/>
      <c r="O9" s="118" t="s">
        <v>305</v>
      </c>
      <c r="P9" s="302"/>
      <c r="Q9" s="302"/>
      <c r="R9" s="302"/>
      <c r="S9" s="302"/>
      <c r="T9" s="187"/>
      <c r="V9" s="118" t="s">
        <v>305</v>
      </c>
      <c r="W9" s="302"/>
      <c r="X9" s="419"/>
      <c r="Y9" s="302"/>
      <c r="Z9" s="302"/>
      <c r="AA9" s="302"/>
      <c r="AC9" s="118" t="s">
        <v>305</v>
      </c>
      <c r="AD9" s="187"/>
      <c r="AE9" s="187"/>
      <c r="AF9" s="187"/>
      <c r="AG9" s="187"/>
      <c r="AH9" s="187"/>
      <c r="AJ9" s="428"/>
      <c r="AQ9" s="428" t="s">
        <v>621</v>
      </c>
    </row>
    <row r="10" spans="1:43" ht="35.1" customHeight="1" x14ac:dyDescent="0.4">
      <c r="A10" s="118" t="s">
        <v>308</v>
      </c>
      <c r="B10" s="253" t="s">
        <v>618</v>
      </c>
      <c r="C10" s="419"/>
      <c r="D10" s="302"/>
      <c r="E10" s="302"/>
      <c r="F10" s="420"/>
      <c r="H10" s="118" t="s">
        <v>308</v>
      </c>
      <c r="I10" s="422" t="s">
        <v>380</v>
      </c>
      <c r="J10" s="307" t="s">
        <v>619</v>
      </c>
      <c r="K10" s="116"/>
      <c r="L10" s="307" t="s">
        <v>619</v>
      </c>
      <c r="M10" s="420"/>
      <c r="O10" s="118" t="s">
        <v>308</v>
      </c>
      <c r="P10" s="302"/>
      <c r="Q10" s="302"/>
      <c r="R10" s="302"/>
      <c r="S10" s="302"/>
      <c r="T10" s="187"/>
      <c r="V10" s="118" t="s">
        <v>308</v>
      </c>
      <c r="W10" s="302"/>
      <c r="X10" s="419"/>
      <c r="Y10" s="302"/>
      <c r="Z10" s="302"/>
      <c r="AA10" s="302"/>
      <c r="AC10" s="118" t="s">
        <v>308</v>
      </c>
      <c r="AD10" s="187"/>
      <c r="AE10" s="187"/>
      <c r="AF10" s="187"/>
      <c r="AG10" s="187"/>
      <c r="AH10" s="187"/>
      <c r="AJ10" s="428"/>
      <c r="AQ10" s="428" t="s">
        <v>622</v>
      </c>
    </row>
    <row r="11" spans="1:43" ht="35.1" customHeight="1" x14ac:dyDescent="0.4">
      <c r="A11" s="118" t="s">
        <v>310</v>
      </c>
      <c r="B11" s="253" t="s">
        <v>618</v>
      </c>
      <c r="C11" s="299"/>
      <c r="D11" s="302"/>
      <c r="E11" s="422" t="s">
        <v>380</v>
      </c>
      <c r="F11" s="420"/>
      <c r="H11" s="118" t="s">
        <v>310</v>
      </c>
      <c r="I11" s="423"/>
      <c r="J11" s="299"/>
      <c r="K11" s="422" t="s">
        <v>380</v>
      </c>
      <c r="L11" s="299"/>
      <c r="M11" s="420"/>
      <c r="O11" s="118" t="s">
        <v>310</v>
      </c>
      <c r="P11" s="302"/>
      <c r="Q11" s="302"/>
      <c r="R11" s="302"/>
      <c r="S11" s="302"/>
      <c r="T11" s="187"/>
      <c r="V11" s="118" t="s">
        <v>310</v>
      </c>
      <c r="W11" s="302"/>
      <c r="X11" s="419"/>
      <c r="Y11" s="302"/>
      <c r="Z11" s="302"/>
      <c r="AA11" s="302"/>
      <c r="AC11" s="118" t="s">
        <v>310</v>
      </c>
      <c r="AD11" s="187"/>
      <c r="AE11" s="187"/>
      <c r="AF11" s="187"/>
      <c r="AG11" s="187"/>
      <c r="AH11" s="187"/>
      <c r="AJ11" s="428"/>
      <c r="AQ11" s="428" t="s">
        <v>623</v>
      </c>
    </row>
    <row r="12" spans="1:43" ht="35.1" customHeight="1" x14ac:dyDescent="0.4">
      <c r="A12" s="118" t="s">
        <v>312</v>
      </c>
      <c r="B12" s="253" t="s">
        <v>618</v>
      </c>
      <c r="C12" s="419"/>
      <c r="D12" s="302"/>
      <c r="E12" s="302"/>
      <c r="F12" s="420"/>
      <c r="H12" s="118" t="s">
        <v>312</v>
      </c>
      <c r="I12" s="422" t="s">
        <v>380</v>
      </c>
      <c r="J12" s="307" t="s">
        <v>619</v>
      </c>
      <c r="K12" s="187"/>
      <c r="L12" s="307" t="s">
        <v>619</v>
      </c>
      <c r="M12" s="420"/>
      <c r="O12" s="118" t="s">
        <v>312</v>
      </c>
      <c r="P12" s="302"/>
      <c r="Q12" s="302"/>
      <c r="R12" s="302"/>
      <c r="S12" s="302"/>
      <c r="T12" s="187"/>
      <c r="V12" s="118" t="s">
        <v>312</v>
      </c>
      <c r="W12" s="302"/>
      <c r="X12" s="419"/>
      <c r="Y12" s="302"/>
      <c r="Z12" s="302"/>
      <c r="AA12" s="302"/>
      <c r="AC12" s="118" t="s">
        <v>312</v>
      </c>
      <c r="AD12" s="187"/>
      <c r="AE12" s="187"/>
      <c r="AF12" s="187"/>
      <c r="AG12" s="187"/>
      <c r="AH12" s="187"/>
      <c r="AJ12" s="428"/>
      <c r="AQ12" s="428" t="s">
        <v>624</v>
      </c>
    </row>
    <row r="13" spans="1:43" ht="35.1" customHeight="1" x14ac:dyDescent="0.4">
      <c r="A13" s="118" t="s">
        <v>315</v>
      </c>
      <c r="B13" s="253" t="s">
        <v>618</v>
      </c>
      <c r="C13" s="419"/>
      <c r="D13" s="302"/>
      <c r="E13" s="187"/>
      <c r="F13" s="420"/>
      <c r="H13" s="118" t="s">
        <v>315</v>
      </c>
      <c r="I13" s="116"/>
      <c r="J13" s="307" t="s">
        <v>619</v>
      </c>
      <c r="K13" s="422" t="s">
        <v>380</v>
      </c>
      <c r="L13" s="307" t="s">
        <v>619</v>
      </c>
      <c r="M13" s="420"/>
      <c r="O13" s="118" t="s">
        <v>315</v>
      </c>
      <c r="P13" s="302"/>
      <c r="Q13" s="302"/>
      <c r="R13" s="302"/>
      <c r="S13" s="302"/>
      <c r="T13" s="187"/>
      <c r="V13" s="118" t="s">
        <v>315</v>
      </c>
      <c r="W13" s="302"/>
      <c r="X13" s="419"/>
      <c r="Y13" s="187"/>
      <c r="Z13" s="302"/>
      <c r="AA13" s="187"/>
      <c r="AC13" s="118" t="s">
        <v>315</v>
      </c>
      <c r="AD13" s="187"/>
      <c r="AE13" s="187"/>
      <c r="AF13" s="187"/>
      <c r="AG13" s="187"/>
      <c r="AH13" s="187"/>
      <c r="AJ13" s="428"/>
      <c r="AQ13" s="428" t="s">
        <v>625</v>
      </c>
    </row>
    <row r="14" spans="1:43" ht="35.1" customHeight="1" thickBot="1" x14ac:dyDescent="0.45">
      <c r="A14" s="118" t="s">
        <v>352</v>
      </c>
      <c r="B14" s="253" t="s">
        <v>618</v>
      </c>
      <c r="C14" s="419"/>
      <c r="D14" s="302"/>
      <c r="E14" s="187"/>
      <c r="F14" s="421"/>
      <c r="H14" s="118" t="s">
        <v>352</v>
      </c>
      <c r="I14" s="196"/>
      <c r="J14" s="307" t="s">
        <v>619</v>
      </c>
      <c r="K14" s="207"/>
      <c r="L14" s="307" t="s">
        <v>619</v>
      </c>
      <c r="M14" s="421"/>
      <c r="O14" s="118" t="s">
        <v>352</v>
      </c>
      <c r="P14" s="302"/>
      <c r="Q14" s="302"/>
      <c r="R14" s="302"/>
      <c r="S14" s="302"/>
      <c r="T14" s="207"/>
      <c r="V14" s="118" t="s">
        <v>352</v>
      </c>
      <c r="W14" s="302"/>
      <c r="X14" s="419"/>
      <c r="Y14" s="187"/>
      <c r="Z14" s="302"/>
      <c r="AA14" s="187"/>
      <c r="AC14" s="118" t="s">
        <v>352</v>
      </c>
      <c r="AD14" s="187"/>
      <c r="AE14" s="187"/>
      <c r="AF14" s="187"/>
      <c r="AG14" s="187"/>
      <c r="AH14" s="207"/>
      <c r="AJ14" s="428"/>
      <c r="AQ14" s="428" t="s">
        <v>626</v>
      </c>
    </row>
    <row r="15" spans="1:43" ht="35.1" customHeight="1" thickTop="1" x14ac:dyDescent="0.4">
      <c r="A15" s="118" t="s">
        <v>353</v>
      </c>
      <c r="B15" s="601" t="s">
        <v>354</v>
      </c>
      <c r="C15" s="602"/>
      <c r="D15" s="602"/>
      <c r="E15" s="602"/>
      <c r="F15" s="602"/>
      <c r="H15" s="119" t="s">
        <v>353</v>
      </c>
      <c r="I15" s="603" t="s">
        <v>354</v>
      </c>
      <c r="J15" s="604"/>
      <c r="K15" s="604"/>
      <c r="L15" s="604"/>
      <c r="M15" s="605"/>
      <c r="O15" s="119" t="s">
        <v>353</v>
      </c>
      <c r="P15" s="562" t="s">
        <v>354</v>
      </c>
      <c r="Q15" s="574"/>
      <c r="R15" s="574"/>
      <c r="S15" s="574"/>
      <c r="T15" s="575"/>
      <c r="V15" s="119" t="s">
        <v>353</v>
      </c>
      <c r="W15" s="562" t="s">
        <v>354</v>
      </c>
      <c r="X15" s="574"/>
      <c r="Y15" s="574"/>
      <c r="Z15" s="574"/>
      <c r="AA15" s="575"/>
      <c r="AC15" s="119" t="s">
        <v>353</v>
      </c>
      <c r="AD15" s="562" t="s">
        <v>354</v>
      </c>
      <c r="AE15" s="574"/>
      <c r="AF15" s="574"/>
      <c r="AG15" s="574"/>
      <c r="AH15" s="575"/>
      <c r="AJ15" s="428"/>
      <c r="AQ15" s="428" t="s">
        <v>627</v>
      </c>
    </row>
    <row r="16" spans="1:43" ht="35.1" customHeight="1" thickBot="1" x14ac:dyDescent="0.45">
      <c r="A16" s="118" t="s">
        <v>355</v>
      </c>
      <c r="B16" s="602"/>
      <c r="C16" s="602"/>
      <c r="D16" s="602"/>
      <c r="E16" s="602"/>
      <c r="F16" s="602"/>
      <c r="H16" s="119" t="s">
        <v>355</v>
      </c>
      <c r="I16" s="606"/>
      <c r="J16" s="607"/>
      <c r="K16" s="607"/>
      <c r="L16" s="607"/>
      <c r="M16" s="608"/>
      <c r="O16" s="119" t="s">
        <v>355</v>
      </c>
      <c r="P16" s="576"/>
      <c r="Q16" s="577"/>
      <c r="R16" s="577"/>
      <c r="S16" s="577"/>
      <c r="T16" s="578"/>
      <c r="V16" s="119" t="s">
        <v>355</v>
      </c>
      <c r="W16" s="576"/>
      <c r="X16" s="577"/>
      <c r="Y16" s="577"/>
      <c r="Z16" s="577"/>
      <c r="AA16" s="578"/>
      <c r="AC16" s="119" t="s">
        <v>355</v>
      </c>
      <c r="AD16" s="576"/>
      <c r="AE16" s="577"/>
      <c r="AF16" s="577"/>
      <c r="AG16" s="577"/>
      <c r="AH16" s="578"/>
      <c r="AJ16" s="428"/>
      <c r="AQ16" s="428" t="s">
        <v>628</v>
      </c>
    </row>
    <row r="17" spans="1:43" ht="35.1" customHeight="1" x14ac:dyDescent="0.4">
      <c r="A17" s="118" t="s">
        <v>318</v>
      </c>
      <c r="B17" s="430" t="s">
        <v>629</v>
      </c>
      <c r="C17" s="187"/>
      <c r="D17" s="187"/>
      <c r="E17" s="253" t="s">
        <v>618</v>
      </c>
      <c r="F17" s="420"/>
      <c r="H17" s="118" t="s">
        <v>318</v>
      </c>
      <c r="I17" s="198"/>
      <c r="J17" s="307" t="s">
        <v>619</v>
      </c>
      <c r="K17" s="422" t="s">
        <v>380</v>
      </c>
      <c r="L17" s="307" t="s">
        <v>619</v>
      </c>
      <c r="M17" s="420"/>
      <c r="O17" s="118" t="s">
        <v>318</v>
      </c>
      <c r="P17" s="302"/>
      <c r="Q17" s="208"/>
      <c r="R17" s="208"/>
      <c r="S17" s="302"/>
      <c r="T17" s="425" t="s">
        <v>630</v>
      </c>
      <c r="V17" s="118" t="s">
        <v>318</v>
      </c>
      <c r="W17" s="302"/>
      <c r="X17" s="419"/>
      <c r="Y17" s="208"/>
      <c r="Z17" s="302"/>
      <c r="AA17" s="302"/>
      <c r="AC17" s="118" t="s">
        <v>318</v>
      </c>
      <c r="AD17" s="208"/>
      <c r="AE17" s="208"/>
      <c r="AF17" s="208"/>
      <c r="AG17" s="208"/>
      <c r="AH17" s="208"/>
      <c r="AJ17" s="428"/>
      <c r="AQ17" s="428" t="s">
        <v>631</v>
      </c>
    </row>
    <row r="18" spans="1:43" ht="35.1" customHeight="1" x14ac:dyDescent="0.4">
      <c r="A18" s="118" t="s">
        <v>321</v>
      </c>
      <c r="B18" s="430" t="s">
        <v>629</v>
      </c>
      <c r="C18" s="187"/>
      <c r="D18" s="116"/>
      <c r="E18" s="253" t="s">
        <v>618</v>
      </c>
      <c r="F18" s="420"/>
      <c r="H18" s="118" t="s">
        <v>321</v>
      </c>
      <c r="I18" s="116"/>
      <c r="J18" s="307" t="s">
        <v>619</v>
      </c>
      <c r="K18" s="116"/>
      <c r="L18" s="307" t="s">
        <v>619</v>
      </c>
      <c r="M18" s="420"/>
      <c r="O18" s="118" t="s">
        <v>321</v>
      </c>
      <c r="P18" s="302"/>
      <c r="Q18" s="187"/>
      <c r="R18" s="187"/>
      <c r="S18" s="302"/>
      <c r="T18" s="425" t="s">
        <v>630</v>
      </c>
      <c r="V18" s="118" t="s">
        <v>321</v>
      </c>
      <c r="W18" s="302"/>
      <c r="X18" s="419"/>
      <c r="Y18" s="187"/>
      <c r="Z18" s="302"/>
      <c r="AA18" s="302"/>
      <c r="AC18" s="118" t="s">
        <v>321</v>
      </c>
      <c r="AD18" s="187"/>
      <c r="AE18" s="187"/>
      <c r="AF18" s="187"/>
      <c r="AG18" s="187"/>
      <c r="AH18" s="187"/>
      <c r="AJ18" s="428"/>
      <c r="AQ18" s="458" t="s">
        <v>632</v>
      </c>
    </row>
    <row r="19" spans="1:43" ht="35.1" customHeight="1" x14ac:dyDescent="0.4">
      <c r="A19" s="118" t="s">
        <v>324</v>
      </c>
      <c r="B19" s="430" t="s">
        <v>629</v>
      </c>
      <c r="C19" s="418" t="s">
        <v>381</v>
      </c>
      <c r="D19" s="116"/>
      <c r="E19" s="253" t="s">
        <v>618</v>
      </c>
      <c r="F19" s="420"/>
      <c r="H19" s="118" t="s">
        <v>324</v>
      </c>
      <c r="I19" s="116"/>
      <c r="J19" s="307" t="s">
        <v>619</v>
      </c>
      <c r="K19" s="116"/>
      <c r="L19" s="307" t="s">
        <v>619</v>
      </c>
      <c r="M19" s="420"/>
      <c r="O19" s="118" t="s">
        <v>324</v>
      </c>
      <c r="P19" s="302"/>
      <c r="Q19" s="187"/>
      <c r="R19" s="187"/>
      <c r="S19" s="302"/>
      <c r="T19" s="425" t="s">
        <v>630</v>
      </c>
      <c r="V19" s="118" t="s">
        <v>324</v>
      </c>
      <c r="W19" s="302"/>
      <c r="X19" s="419"/>
      <c r="Y19" s="187"/>
      <c r="Z19" s="302"/>
      <c r="AA19" s="302"/>
      <c r="AC19" s="118" t="s">
        <v>324</v>
      </c>
      <c r="AD19" s="187"/>
      <c r="AE19" s="187"/>
      <c r="AF19" s="187"/>
      <c r="AG19" s="187"/>
      <c r="AH19" s="187"/>
      <c r="AJ19" s="428"/>
      <c r="AQ19" s="458" t="s">
        <v>633</v>
      </c>
    </row>
    <row r="20" spans="1:43" ht="35.1" customHeight="1" x14ac:dyDescent="0.4">
      <c r="A20" s="118" t="s">
        <v>325</v>
      </c>
      <c r="B20" s="430" t="s">
        <v>629</v>
      </c>
      <c r="C20" s="415"/>
      <c r="D20" s="418" t="s">
        <v>381</v>
      </c>
      <c r="E20" s="253" t="s">
        <v>618</v>
      </c>
      <c r="F20" s="420"/>
      <c r="H20" s="118" t="s">
        <v>325</v>
      </c>
      <c r="I20" s="116"/>
      <c r="J20" s="307" t="s">
        <v>619</v>
      </c>
      <c r="K20" s="116"/>
      <c r="L20" s="307" t="s">
        <v>619</v>
      </c>
      <c r="M20" s="420"/>
      <c r="O20" s="118" t="s">
        <v>325</v>
      </c>
      <c r="P20" s="302"/>
      <c r="Q20" s="187"/>
      <c r="R20" s="187"/>
      <c r="S20" s="302"/>
      <c r="T20" s="425" t="s">
        <v>630</v>
      </c>
      <c r="V20" s="118" t="s">
        <v>325</v>
      </c>
      <c r="W20" s="302"/>
      <c r="X20" s="419"/>
      <c r="Y20" s="187"/>
      <c r="Z20" s="302"/>
      <c r="AA20" s="302"/>
      <c r="AC20" s="118" t="s">
        <v>325</v>
      </c>
      <c r="AD20" s="187"/>
      <c r="AE20" s="187"/>
      <c r="AF20" s="187"/>
      <c r="AG20" s="187"/>
      <c r="AH20" s="187"/>
      <c r="AJ20" s="428"/>
      <c r="AQ20" s="428" t="s">
        <v>634</v>
      </c>
    </row>
    <row r="21" spans="1:43" ht="35.1" customHeight="1" x14ac:dyDescent="0.4">
      <c r="A21" s="118" t="s">
        <v>357</v>
      </c>
      <c r="B21" s="430" t="s">
        <v>629</v>
      </c>
      <c r="C21" s="415"/>
      <c r="D21" s="116"/>
      <c r="E21" s="253" t="s">
        <v>618</v>
      </c>
      <c r="F21" s="420"/>
      <c r="H21" s="118" t="s">
        <v>357</v>
      </c>
      <c r="I21" s="116"/>
      <c r="J21" s="307" t="s">
        <v>619</v>
      </c>
      <c r="K21" s="116"/>
      <c r="L21" s="307" t="s">
        <v>619</v>
      </c>
      <c r="M21" s="420"/>
      <c r="O21" s="118" t="s">
        <v>357</v>
      </c>
      <c r="P21" s="302"/>
      <c r="Q21" s="187"/>
      <c r="R21" s="187"/>
      <c r="S21" s="302"/>
      <c r="T21" s="187"/>
      <c r="V21" s="118" t="s">
        <v>357</v>
      </c>
      <c r="W21" s="302"/>
      <c r="X21" s="419"/>
      <c r="Y21" s="187"/>
      <c r="Z21" s="302"/>
      <c r="AA21" s="187"/>
      <c r="AC21" s="118" t="s">
        <v>357</v>
      </c>
      <c r="AD21" s="187"/>
      <c r="AE21" s="187"/>
      <c r="AF21" s="187"/>
      <c r="AG21" s="187"/>
      <c r="AH21" s="187"/>
      <c r="AJ21" s="428"/>
      <c r="AQ21" s="428" t="s">
        <v>635</v>
      </c>
    </row>
    <row r="22" spans="1:43" ht="35.1" customHeight="1" x14ac:dyDescent="0.4">
      <c r="A22" s="118" t="s">
        <v>358</v>
      </c>
      <c r="B22" s="430" t="s">
        <v>629</v>
      </c>
      <c r="C22" s="415"/>
      <c r="D22" s="116"/>
      <c r="E22" s="253" t="s">
        <v>618</v>
      </c>
      <c r="F22" s="420"/>
      <c r="H22" s="118" t="s">
        <v>358</v>
      </c>
      <c r="I22" s="116"/>
      <c r="J22" s="307" t="s">
        <v>619</v>
      </c>
      <c r="K22" s="116"/>
      <c r="L22" s="307" t="s">
        <v>619</v>
      </c>
      <c r="M22" s="420"/>
      <c r="O22" s="118" t="s">
        <v>358</v>
      </c>
      <c r="P22" s="302"/>
      <c r="Q22" s="187"/>
      <c r="R22" s="187"/>
      <c r="S22" s="302"/>
      <c r="T22" s="187"/>
      <c r="V22" s="118" t="s">
        <v>358</v>
      </c>
      <c r="W22" s="426"/>
      <c r="X22" s="419"/>
      <c r="Y22" s="187"/>
      <c r="Z22" s="187"/>
      <c r="AA22" s="187"/>
      <c r="AC22" s="118" t="s">
        <v>358</v>
      </c>
      <c r="AD22" s="187"/>
      <c r="AE22" s="187"/>
      <c r="AF22" s="187"/>
      <c r="AG22" s="187"/>
      <c r="AH22" s="187"/>
      <c r="AJ22" s="428"/>
      <c r="AQ22" s="428" t="s">
        <v>636</v>
      </c>
    </row>
    <row r="23" spans="1:43" ht="35.1" customHeight="1" x14ac:dyDescent="0.4">
      <c r="R23" s="303"/>
      <c r="S23" s="303"/>
      <c r="AJ23" s="428"/>
      <c r="AQ23" s="428" t="s">
        <v>637</v>
      </c>
    </row>
    <row r="24" spans="1:43" ht="35.1" customHeight="1" x14ac:dyDescent="0.4">
      <c r="AJ24" s="428"/>
      <c r="AQ24" s="428" t="s">
        <v>638</v>
      </c>
    </row>
    <row r="25" spans="1:43" ht="35.1" customHeight="1" x14ac:dyDescent="0.4">
      <c r="AJ25" s="428"/>
      <c r="AQ25" s="428" t="s">
        <v>639</v>
      </c>
    </row>
    <row r="26" spans="1:43" ht="35.1" customHeight="1" x14ac:dyDescent="0.4">
      <c r="AJ26" s="428"/>
      <c r="AQ26" s="428" t="s">
        <v>640</v>
      </c>
    </row>
    <row r="27" spans="1:43" ht="35.1" customHeight="1" x14ac:dyDescent="0.4">
      <c r="AJ27" s="428"/>
      <c r="AQ27" s="428" t="s">
        <v>641</v>
      </c>
    </row>
    <row r="28" spans="1:43" ht="35.1" customHeight="1" x14ac:dyDescent="0.4">
      <c r="AJ28" s="428"/>
      <c r="AQ28" s="428" t="s">
        <v>642</v>
      </c>
    </row>
    <row r="29" spans="1:43" ht="34.5" customHeight="1" x14ac:dyDescent="0.4">
      <c r="AJ29" s="428"/>
    </row>
    <row r="30" spans="1:43" ht="35.1" customHeight="1" x14ac:dyDescent="0.25"/>
    <row r="31" spans="1:43" ht="35.1" customHeight="1" x14ac:dyDescent="0.25"/>
    <row r="32" spans="1:43" ht="34.5" customHeight="1" x14ac:dyDescent="0.25"/>
    <row r="33" ht="34.5" customHeight="1" x14ac:dyDescent="0.25"/>
    <row r="34" ht="35.1" customHeight="1" x14ac:dyDescent="0.25"/>
    <row r="35" ht="35.1" customHeight="1" x14ac:dyDescent="0.25"/>
    <row r="36" ht="35.1" customHeight="1" x14ac:dyDescent="0.25"/>
    <row r="37" ht="35.1" customHeight="1" x14ac:dyDescent="0.25"/>
    <row r="38" ht="35.1" customHeight="1" x14ac:dyDescent="0.25"/>
    <row r="39" ht="35.1" customHeight="1" x14ac:dyDescent="0.25"/>
    <row r="40" ht="35.1" customHeight="1" x14ac:dyDescent="0.25"/>
    <row r="41" ht="35.1" customHeight="1" x14ac:dyDescent="0.25"/>
    <row r="42" ht="35.1" customHeight="1" x14ac:dyDescent="0.25"/>
    <row r="43" ht="35.1" customHeight="1" x14ac:dyDescent="0.25"/>
    <row r="44" ht="35.1" customHeight="1" x14ac:dyDescent="0.25"/>
    <row r="45" ht="35.1" customHeight="1" x14ac:dyDescent="0.25"/>
    <row r="46" ht="35.1" customHeight="1" x14ac:dyDescent="0.25"/>
    <row r="47" ht="35.1" customHeight="1" x14ac:dyDescent="0.25"/>
    <row r="48" ht="35.1" customHeight="1" x14ac:dyDescent="0.25"/>
    <row r="49" spans="15:20" ht="35.1" customHeight="1" x14ac:dyDescent="0.25"/>
    <row r="50" spans="15:20" ht="35.1" customHeight="1" x14ac:dyDescent="0.25"/>
    <row r="51" spans="15:20" ht="35.1" customHeight="1" x14ac:dyDescent="0.25"/>
    <row r="52" spans="15:20" ht="35.1" customHeight="1" x14ac:dyDescent="0.25"/>
    <row r="53" spans="15:20" ht="35.1" customHeight="1" x14ac:dyDescent="0.25"/>
    <row r="54" spans="15:20" ht="35.1" customHeight="1" x14ac:dyDescent="0.25"/>
    <row r="55" spans="15:20" ht="35.1" customHeight="1" x14ac:dyDescent="0.35">
      <c r="O55" s="126" t="s">
        <v>643</v>
      </c>
      <c r="P55" s="240" t="s">
        <v>644</v>
      </c>
      <c r="Q55" s="240" t="s">
        <v>645</v>
      </c>
      <c r="R55" s="240" t="s">
        <v>339</v>
      </c>
      <c r="S55" s="124"/>
      <c r="T55" s="124"/>
    </row>
    <row r="56" spans="15:20" ht="35.1" customHeight="1" x14ac:dyDescent="0.25">
      <c r="O56" s="116"/>
      <c r="P56" s="122" t="s">
        <v>153</v>
      </c>
      <c r="Q56" s="122" t="s">
        <v>154</v>
      </c>
      <c r="R56" s="122" t="s">
        <v>155</v>
      </c>
      <c r="S56" s="122" t="s">
        <v>156</v>
      </c>
      <c r="T56" s="122" t="s">
        <v>157</v>
      </c>
    </row>
    <row r="57" spans="15:20" ht="35.1" customHeight="1" x14ac:dyDescent="0.25">
      <c r="O57" s="118" t="s">
        <v>343</v>
      </c>
      <c r="P57" s="116"/>
      <c r="Q57" s="116"/>
      <c r="R57" s="116"/>
      <c r="S57" s="116"/>
      <c r="T57" s="116"/>
    </row>
    <row r="58" spans="15:20" ht="35.1" customHeight="1" x14ac:dyDescent="0.25">
      <c r="O58" s="118" t="s">
        <v>349</v>
      </c>
      <c r="P58" s="116"/>
      <c r="Q58" s="116"/>
      <c r="R58" s="116"/>
      <c r="S58" s="116"/>
      <c r="T58" s="116"/>
    </row>
    <row r="59" spans="15:20" ht="35.1" customHeight="1" x14ac:dyDescent="0.25">
      <c r="O59" s="118" t="s">
        <v>305</v>
      </c>
      <c r="P59" s="116"/>
      <c r="Q59" s="116"/>
      <c r="R59" s="116"/>
      <c r="S59" s="116"/>
      <c r="T59" s="116"/>
    </row>
    <row r="60" spans="15:20" ht="35.1" customHeight="1" x14ac:dyDescent="0.25">
      <c r="O60" s="118" t="s">
        <v>308</v>
      </c>
      <c r="P60" s="116"/>
      <c r="Q60" s="116"/>
      <c r="R60" s="116"/>
      <c r="S60" s="116"/>
      <c r="T60" s="116"/>
    </row>
    <row r="61" spans="15:20" ht="35.1" customHeight="1" x14ac:dyDescent="0.25">
      <c r="O61" s="118" t="s">
        <v>310</v>
      </c>
      <c r="P61" s="116"/>
      <c r="Q61" s="116"/>
      <c r="R61" s="116"/>
      <c r="S61" s="116"/>
      <c r="T61" s="116"/>
    </row>
    <row r="62" spans="15:20" ht="35.1" customHeight="1" x14ac:dyDescent="0.25">
      <c r="O62" s="118" t="s">
        <v>312</v>
      </c>
      <c r="P62" s="116"/>
      <c r="Q62" s="116"/>
      <c r="R62" s="116"/>
      <c r="S62" s="116"/>
      <c r="T62" s="116"/>
    </row>
    <row r="63" spans="15:20" ht="35.1" customHeight="1" x14ac:dyDescent="0.25">
      <c r="O63" s="118" t="s">
        <v>315</v>
      </c>
      <c r="P63" s="116"/>
      <c r="Q63" s="116"/>
      <c r="R63" s="116"/>
      <c r="S63" s="116"/>
      <c r="T63" s="116"/>
    </row>
    <row r="64" spans="15:20" ht="35.1" customHeight="1" thickBot="1" x14ac:dyDescent="0.3">
      <c r="O64" s="118" t="s">
        <v>352</v>
      </c>
      <c r="P64" s="196"/>
      <c r="Q64" s="196"/>
      <c r="R64" s="196"/>
      <c r="S64" s="196"/>
      <c r="T64" s="196"/>
    </row>
    <row r="65" spans="15:20" ht="35.1" customHeight="1" thickTop="1" x14ac:dyDescent="0.25">
      <c r="O65" s="119" t="s">
        <v>353</v>
      </c>
      <c r="P65" s="562" t="s">
        <v>354</v>
      </c>
      <c r="Q65" s="574"/>
      <c r="R65" s="574"/>
      <c r="S65" s="574"/>
      <c r="T65" s="575"/>
    </row>
    <row r="66" spans="15:20" ht="35.1" customHeight="1" thickBot="1" x14ac:dyDescent="0.3">
      <c r="O66" s="119" t="s">
        <v>355</v>
      </c>
      <c r="P66" s="576"/>
      <c r="Q66" s="577"/>
      <c r="R66" s="577"/>
      <c r="S66" s="577"/>
      <c r="T66" s="578"/>
    </row>
    <row r="67" spans="15:20" ht="35.1" customHeight="1" thickTop="1" x14ac:dyDescent="0.25">
      <c r="O67" s="118" t="s">
        <v>318</v>
      </c>
      <c r="P67" s="198"/>
      <c r="Q67" s="198"/>
      <c r="R67" s="198"/>
      <c r="S67" s="198"/>
      <c r="T67" s="198"/>
    </row>
    <row r="68" spans="15:20" ht="35.1" customHeight="1" x14ac:dyDescent="0.25">
      <c r="O68" s="118" t="s">
        <v>321</v>
      </c>
      <c r="P68" s="116"/>
      <c r="Q68" s="116"/>
      <c r="R68" s="116"/>
      <c r="S68" s="116"/>
      <c r="T68" s="116"/>
    </row>
    <row r="69" spans="15:20" ht="35.1" customHeight="1" x14ac:dyDescent="0.25">
      <c r="O69" s="118" t="s">
        <v>324</v>
      </c>
      <c r="P69" s="116"/>
      <c r="Q69" s="116"/>
      <c r="R69" s="116"/>
      <c r="S69" s="116"/>
      <c r="T69" s="116"/>
    </row>
    <row r="70" spans="15:20" ht="35.1" customHeight="1" x14ac:dyDescent="0.25">
      <c r="O70" s="118" t="s">
        <v>325</v>
      </c>
      <c r="P70" s="116"/>
      <c r="Q70" s="116"/>
      <c r="R70" s="116"/>
      <c r="S70" s="116"/>
      <c r="T70" s="116"/>
    </row>
    <row r="71" spans="15:20" ht="35.1" customHeight="1" x14ac:dyDescent="0.25">
      <c r="O71" s="118" t="s">
        <v>357</v>
      </c>
      <c r="P71" s="116"/>
      <c r="Q71" s="116"/>
      <c r="R71" s="116"/>
      <c r="S71" s="116"/>
      <c r="T71" s="116"/>
    </row>
    <row r="72" spans="15:20" ht="35.1" customHeight="1" x14ac:dyDescent="0.25">
      <c r="O72" s="118" t="s">
        <v>358</v>
      </c>
      <c r="P72" s="116"/>
      <c r="Q72" s="116"/>
      <c r="R72" s="116"/>
      <c r="S72" s="116"/>
      <c r="T72" s="116"/>
    </row>
    <row r="73" spans="15:20" ht="35.1" customHeight="1" x14ac:dyDescent="0.25"/>
    <row r="114" spans="1:13" ht="31.5" x14ac:dyDescent="0.25">
      <c r="A114" s="120" t="s">
        <v>646</v>
      </c>
      <c r="B114" s="121" t="s">
        <v>647</v>
      </c>
      <c r="C114" s="121" t="s">
        <v>648</v>
      </c>
      <c r="D114" s="121" t="s">
        <v>339</v>
      </c>
      <c r="E114" s="121"/>
      <c r="F114" s="121"/>
      <c r="H114" s="120" t="s">
        <v>649</v>
      </c>
      <c r="I114" s="121" t="s">
        <v>650</v>
      </c>
      <c r="J114" s="121" t="s">
        <v>651</v>
      </c>
      <c r="K114" s="121" t="s">
        <v>339</v>
      </c>
      <c r="L114" s="121"/>
      <c r="M114" s="121"/>
    </row>
    <row r="115" spans="1:13" x14ac:dyDescent="0.25">
      <c r="A115" s="116"/>
      <c r="B115" s="122" t="s">
        <v>153</v>
      </c>
      <c r="C115" s="122" t="s">
        <v>154</v>
      </c>
      <c r="D115" s="122" t="s">
        <v>155</v>
      </c>
      <c r="E115" s="122" t="s">
        <v>156</v>
      </c>
      <c r="F115" s="122" t="s">
        <v>157</v>
      </c>
      <c r="H115" s="116"/>
      <c r="I115" s="122" t="s">
        <v>153</v>
      </c>
      <c r="J115" s="122" t="s">
        <v>154</v>
      </c>
      <c r="K115" s="122" t="s">
        <v>155</v>
      </c>
      <c r="L115" s="122" t="s">
        <v>156</v>
      </c>
      <c r="M115" s="122" t="s">
        <v>157</v>
      </c>
    </row>
    <row r="116" spans="1:13" ht="18" x14ac:dyDescent="0.25">
      <c r="A116" s="118" t="s">
        <v>343</v>
      </c>
      <c r="B116" s="127" t="s">
        <v>652</v>
      </c>
      <c r="C116" s="135" t="s">
        <v>653</v>
      </c>
      <c r="D116" s="116"/>
      <c r="E116" s="116"/>
      <c r="F116" s="116"/>
      <c r="H116" s="579" t="s">
        <v>343</v>
      </c>
      <c r="I116" s="599" t="s">
        <v>654</v>
      </c>
      <c r="J116" s="583" t="s">
        <v>655</v>
      </c>
      <c r="K116" s="595"/>
      <c r="L116" s="144" t="s">
        <v>656</v>
      </c>
      <c r="M116" s="595"/>
    </row>
    <row r="117" spans="1:13" ht="18" x14ac:dyDescent="0.25">
      <c r="A117" s="118" t="s">
        <v>349</v>
      </c>
      <c r="B117" s="127" t="s">
        <v>652</v>
      </c>
      <c r="C117" s="135" t="s">
        <v>653</v>
      </c>
      <c r="D117" s="196"/>
      <c r="E117" s="116"/>
      <c r="F117" s="116"/>
      <c r="H117" s="580"/>
      <c r="I117" s="600"/>
      <c r="J117" s="588"/>
      <c r="K117" s="596"/>
      <c r="L117" s="131" t="s">
        <v>657</v>
      </c>
      <c r="M117" s="596"/>
    </row>
    <row r="118" spans="1:13" x14ac:dyDescent="0.25">
      <c r="A118" s="579" t="s">
        <v>305</v>
      </c>
      <c r="B118" s="128" t="s">
        <v>652</v>
      </c>
      <c r="C118" s="590"/>
      <c r="D118" s="138" t="s">
        <v>658</v>
      </c>
      <c r="E118" s="590"/>
      <c r="F118" s="590"/>
      <c r="H118" s="579" t="s">
        <v>349</v>
      </c>
      <c r="I118" s="599" t="s">
        <v>654</v>
      </c>
      <c r="J118" s="583" t="s">
        <v>655</v>
      </c>
      <c r="K118" s="595"/>
      <c r="L118" s="144" t="s">
        <v>656</v>
      </c>
      <c r="M118" s="595"/>
    </row>
    <row r="119" spans="1:13" x14ac:dyDescent="0.25">
      <c r="A119" s="580"/>
      <c r="B119" s="129"/>
      <c r="C119" s="591"/>
      <c r="D119" s="127" t="s">
        <v>659</v>
      </c>
      <c r="E119" s="591"/>
      <c r="F119" s="591"/>
      <c r="H119" s="580"/>
      <c r="I119" s="600"/>
      <c r="J119" s="588"/>
      <c r="K119" s="596"/>
      <c r="L119" s="131" t="s">
        <v>657</v>
      </c>
      <c r="M119" s="596"/>
    </row>
    <row r="120" spans="1:13" x14ac:dyDescent="0.25">
      <c r="A120" s="579" t="s">
        <v>308</v>
      </c>
      <c r="B120" s="597" t="s">
        <v>660</v>
      </c>
      <c r="C120" s="590"/>
      <c r="D120" s="138" t="s">
        <v>658</v>
      </c>
      <c r="E120" s="590"/>
      <c r="F120" s="590"/>
      <c r="H120" s="579" t="s">
        <v>305</v>
      </c>
      <c r="I120" s="593" t="s">
        <v>661</v>
      </c>
      <c r="J120" s="583" t="s">
        <v>655</v>
      </c>
      <c r="K120" s="595"/>
      <c r="L120" s="144" t="s">
        <v>656</v>
      </c>
      <c r="M120" s="595"/>
    </row>
    <row r="121" spans="1:13" x14ac:dyDescent="0.25">
      <c r="A121" s="580"/>
      <c r="B121" s="598"/>
      <c r="C121" s="591"/>
      <c r="D121" s="127" t="s">
        <v>662</v>
      </c>
      <c r="E121" s="591"/>
      <c r="F121" s="591"/>
      <c r="H121" s="580"/>
      <c r="I121" s="594"/>
      <c r="J121" s="588"/>
      <c r="K121" s="596"/>
      <c r="L121" s="131" t="s">
        <v>657</v>
      </c>
      <c r="M121" s="596"/>
    </row>
    <row r="122" spans="1:13" ht="18" x14ac:dyDescent="0.25">
      <c r="A122" s="118" t="s">
        <v>310</v>
      </c>
      <c r="B122" s="127" t="s">
        <v>660</v>
      </c>
      <c r="C122" s="136" t="s">
        <v>663</v>
      </c>
      <c r="D122" s="127" t="s">
        <v>662</v>
      </c>
      <c r="E122" s="127" t="s">
        <v>664</v>
      </c>
      <c r="F122" s="116"/>
      <c r="H122" s="579" t="s">
        <v>308</v>
      </c>
      <c r="I122" s="593" t="s">
        <v>661</v>
      </c>
      <c r="J122" s="583" t="s">
        <v>655</v>
      </c>
      <c r="K122" s="581"/>
      <c r="L122" s="144" t="s">
        <v>656</v>
      </c>
      <c r="M122" s="581"/>
    </row>
    <row r="123" spans="1:13" ht="18" x14ac:dyDescent="0.25">
      <c r="A123" s="118" t="s">
        <v>312</v>
      </c>
      <c r="B123" s="127" t="s">
        <v>660</v>
      </c>
      <c r="C123" s="136" t="s">
        <v>665</v>
      </c>
      <c r="D123" s="127" t="s">
        <v>666</v>
      </c>
      <c r="E123" s="127" t="s">
        <v>664</v>
      </c>
      <c r="F123" s="116"/>
      <c r="H123" s="580"/>
      <c r="I123" s="594"/>
      <c r="J123" s="588"/>
      <c r="K123" s="587"/>
      <c r="L123" s="131" t="s">
        <v>657</v>
      </c>
      <c r="M123" s="587"/>
    </row>
    <row r="124" spans="1:13" ht="18" x14ac:dyDescent="0.25">
      <c r="A124" s="118" t="s">
        <v>315</v>
      </c>
      <c r="B124" s="127" t="s">
        <v>667</v>
      </c>
      <c r="C124" s="136" t="s">
        <v>665</v>
      </c>
      <c r="D124" s="116"/>
      <c r="E124" s="127" t="s">
        <v>664</v>
      </c>
      <c r="F124" s="127" t="s">
        <v>667</v>
      </c>
      <c r="H124" s="579" t="s">
        <v>310</v>
      </c>
      <c r="I124" s="593" t="s">
        <v>661</v>
      </c>
      <c r="J124" s="583" t="s">
        <v>655</v>
      </c>
      <c r="K124" s="585" t="s">
        <v>668</v>
      </c>
      <c r="L124" s="144" t="s">
        <v>656</v>
      </c>
      <c r="M124" s="581"/>
    </row>
    <row r="125" spans="1:13" ht="18.75" thickBot="1" x14ac:dyDescent="0.3">
      <c r="A125" s="118" t="s">
        <v>352</v>
      </c>
      <c r="B125" s="128" t="s">
        <v>667</v>
      </c>
      <c r="C125" s="137" t="s">
        <v>665</v>
      </c>
      <c r="D125" s="196"/>
      <c r="E125" s="196"/>
      <c r="F125" s="128" t="s">
        <v>667</v>
      </c>
      <c r="H125" s="580"/>
      <c r="I125" s="594"/>
      <c r="J125" s="588"/>
      <c r="K125" s="589"/>
      <c r="L125" s="131" t="s">
        <v>657</v>
      </c>
      <c r="M125" s="587"/>
    </row>
    <row r="126" spans="1:13" ht="18.75" thickTop="1" x14ac:dyDescent="0.25">
      <c r="A126" s="119" t="s">
        <v>353</v>
      </c>
      <c r="B126" s="568" t="s">
        <v>354</v>
      </c>
      <c r="C126" s="569"/>
      <c r="D126" s="569"/>
      <c r="E126" s="569"/>
      <c r="F126" s="570"/>
      <c r="H126" s="579" t="s">
        <v>312</v>
      </c>
      <c r="I126" s="593" t="s">
        <v>661</v>
      </c>
      <c r="J126" s="583" t="s">
        <v>655</v>
      </c>
      <c r="K126" s="585" t="s">
        <v>668</v>
      </c>
      <c r="L126" s="144" t="s">
        <v>656</v>
      </c>
      <c r="M126" s="581"/>
    </row>
    <row r="127" spans="1:13" ht="18.75" thickBot="1" x14ac:dyDescent="0.3">
      <c r="A127" s="119" t="s">
        <v>355</v>
      </c>
      <c r="B127" s="571"/>
      <c r="C127" s="572"/>
      <c r="D127" s="572"/>
      <c r="E127" s="572"/>
      <c r="F127" s="573"/>
      <c r="H127" s="580"/>
      <c r="I127" s="594"/>
      <c r="J127" s="588"/>
      <c r="K127" s="589"/>
      <c r="L127" s="131" t="s">
        <v>657</v>
      </c>
      <c r="M127" s="587"/>
    </row>
    <row r="128" spans="1:13" ht="15.75" thickTop="1" x14ac:dyDescent="0.25">
      <c r="A128" s="579" t="s">
        <v>318</v>
      </c>
      <c r="B128" s="592"/>
      <c r="C128" s="592"/>
      <c r="D128" s="139" t="s">
        <v>669</v>
      </c>
      <c r="E128" s="592"/>
      <c r="F128" s="592"/>
      <c r="H128" s="579" t="s">
        <v>315</v>
      </c>
      <c r="I128" s="581"/>
      <c r="J128" s="583" t="s">
        <v>655</v>
      </c>
      <c r="K128" s="585" t="s">
        <v>668</v>
      </c>
      <c r="L128" s="144" t="s">
        <v>656</v>
      </c>
      <c r="M128" s="581"/>
    </row>
    <row r="129" spans="1:13" x14ac:dyDescent="0.25">
      <c r="A129" s="580"/>
      <c r="B129" s="591"/>
      <c r="C129" s="591"/>
      <c r="D129" s="129" t="s">
        <v>670</v>
      </c>
      <c r="E129" s="591"/>
      <c r="F129" s="591"/>
      <c r="H129" s="580"/>
      <c r="I129" s="587"/>
      <c r="J129" s="588"/>
      <c r="K129" s="589"/>
      <c r="L129" s="131" t="s">
        <v>657</v>
      </c>
      <c r="M129" s="587"/>
    </row>
    <row r="130" spans="1:13" x14ac:dyDescent="0.25">
      <c r="A130" s="579" t="s">
        <v>321</v>
      </c>
      <c r="B130" s="590"/>
      <c r="C130" s="590"/>
      <c r="D130" s="139" t="s">
        <v>669</v>
      </c>
      <c r="E130" s="590"/>
      <c r="F130" s="590"/>
      <c r="H130" s="579" t="s">
        <v>352</v>
      </c>
      <c r="I130" s="581"/>
      <c r="J130" s="583" t="s">
        <v>655</v>
      </c>
      <c r="K130" s="585" t="s">
        <v>668</v>
      </c>
      <c r="L130" s="145" t="s">
        <v>656</v>
      </c>
      <c r="M130" s="581"/>
    </row>
    <row r="131" spans="1:13" ht="15.75" thickBot="1" x14ac:dyDescent="0.3">
      <c r="A131" s="580"/>
      <c r="B131" s="591"/>
      <c r="C131" s="591"/>
      <c r="D131" s="129" t="s">
        <v>670</v>
      </c>
      <c r="E131" s="591"/>
      <c r="F131" s="591"/>
      <c r="H131" s="580"/>
      <c r="I131" s="582"/>
      <c r="J131" s="584"/>
      <c r="K131" s="586"/>
      <c r="L131" s="197" t="s">
        <v>657</v>
      </c>
      <c r="M131" s="582"/>
    </row>
    <row r="132" spans="1:13" ht="18.75" thickTop="1" x14ac:dyDescent="0.25">
      <c r="A132" s="118" t="s">
        <v>324</v>
      </c>
      <c r="B132" s="116"/>
      <c r="C132" s="116"/>
      <c r="D132" s="138" t="s">
        <v>669</v>
      </c>
      <c r="E132" s="146" t="s">
        <v>671</v>
      </c>
      <c r="F132" s="116"/>
      <c r="H132" s="119" t="s">
        <v>353</v>
      </c>
      <c r="I132" s="562" t="s">
        <v>354</v>
      </c>
      <c r="J132" s="563"/>
      <c r="K132" s="563"/>
      <c r="L132" s="563"/>
      <c r="M132" s="564"/>
    </row>
    <row r="133" spans="1:13" ht="18.75" thickBot="1" x14ac:dyDescent="0.3">
      <c r="A133" s="118" t="s">
        <v>325</v>
      </c>
      <c r="B133" s="116"/>
      <c r="C133" s="116"/>
      <c r="D133" s="138" t="s">
        <v>669</v>
      </c>
      <c r="E133" s="146" t="s">
        <v>671</v>
      </c>
      <c r="F133" s="116"/>
      <c r="H133" s="119" t="s">
        <v>355</v>
      </c>
      <c r="I133" s="565"/>
      <c r="J133" s="566"/>
      <c r="K133" s="566"/>
      <c r="L133" s="566"/>
      <c r="M133" s="567"/>
    </row>
    <row r="134" spans="1:13" ht="18.75" thickTop="1" x14ac:dyDescent="0.25">
      <c r="A134" s="118" t="s">
        <v>357</v>
      </c>
      <c r="B134" s="127" t="s">
        <v>664</v>
      </c>
      <c r="C134" s="127" t="s">
        <v>664</v>
      </c>
      <c r="D134" s="116"/>
      <c r="E134" s="116"/>
      <c r="F134" s="116"/>
      <c r="H134" s="118" t="s">
        <v>318</v>
      </c>
      <c r="I134" s="198"/>
      <c r="J134" s="199" t="s">
        <v>655</v>
      </c>
      <c r="K134" s="198"/>
      <c r="L134" s="199" t="s">
        <v>657</v>
      </c>
      <c r="M134" s="198"/>
    </row>
    <row r="135" spans="1:13" ht="18" x14ac:dyDescent="0.25">
      <c r="A135" s="118" t="s">
        <v>358</v>
      </c>
      <c r="B135" s="127" t="s">
        <v>664</v>
      </c>
      <c r="C135" s="127" t="s">
        <v>664</v>
      </c>
      <c r="D135" s="116"/>
      <c r="E135" s="116"/>
      <c r="F135" s="116"/>
      <c r="H135" s="118" t="s">
        <v>321</v>
      </c>
      <c r="I135" s="116"/>
      <c r="J135" s="131" t="s">
        <v>655</v>
      </c>
      <c r="K135" s="116"/>
      <c r="L135" s="131" t="s">
        <v>657</v>
      </c>
      <c r="M135" s="116"/>
    </row>
    <row r="136" spans="1:13" ht="18" x14ac:dyDescent="0.25">
      <c r="H136" s="118" t="s">
        <v>324</v>
      </c>
      <c r="I136" s="116"/>
      <c r="J136" s="131" t="s">
        <v>655</v>
      </c>
      <c r="K136" s="116"/>
      <c r="L136" s="131" t="s">
        <v>657</v>
      </c>
      <c r="M136" s="116"/>
    </row>
    <row r="137" spans="1:13" ht="18" x14ac:dyDescent="0.25">
      <c r="H137" s="118" t="s">
        <v>325</v>
      </c>
      <c r="I137" s="146" t="s">
        <v>672</v>
      </c>
      <c r="J137" s="131" t="s">
        <v>655</v>
      </c>
      <c r="K137" s="116"/>
      <c r="L137" s="131" t="s">
        <v>657</v>
      </c>
      <c r="M137" s="116"/>
    </row>
    <row r="138" spans="1:13" ht="18" x14ac:dyDescent="0.25">
      <c r="H138" s="118" t="s">
        <v>357</v>
      </c>
      <c r="I138" s="146" t="s">
        <v>672</v>
      </c>
      <c r="J138" s="131" t="s">
        <v>655</v>
      </c>
      <c r="K138" s="116"/>
      <c r="L138" s="131" t="s">
        <v>657</v>
      </c>
      <c r="M138" s="116"/>
    </row>
    <row r="139" spans="1:13" ht="18" x14ac:dyDescent="0.25">
      <c r="H139" s="118" t="s">
        <v>358</v>
      </c>
      <c r="I139" s="146" t="s">
        <v>672</v>
      </c>
      <c r="J139" s="116"/>
      <c r="K139" s="116"/>
      <c r="L139" s="116"/>
      <c r="M139" s="116"/>
    </row>
    <row r="140" spans="1:13" ht="18" x14ac:dyDescent="0.25">
      <c r="H140" s="147"/>
    </row>
    <row r="141" spans="1:13" ht="18" x14ac:dyDescent="0.25">
      <c r="H141" s="147"/>
    </row>
    <row r="142" spans="1:13" ht="18" x14ac:dyDescent="0.25">
      <c r="H142" s="147"/>
    </row>
    <row r="143" spans="1:13" ht="33" x14ac:dyDescent="0.35">
      <c r="A143" s="123" t="s">
        <v>673</v>
      </c>
      <c r="B143" s="240" t="s">
        <v>674</v>
      </c>
      <c r="C143" s="240" t="s">
        <v>675</v>
      </c>
      <c r="D143" s="240" t="s">
        <v>339</v>
      </c>
      <c r="E143" s="124"/>
      <c r="F143" s="124"/>
      <c r="H143" s="125" t="s">
        <v>676</v>
      </c>
      <c r="I143" s="240" t="s">
        <v>677</v>
      </c>
      <c r="J143" s="240" t="s">
        <v>675</v>
      </c>
      <c r="K143" s="240" t="s">
        <v>339</v>
      </c>
      <c r="L143" s="240"/>
      <c r="M143" s="240"/>
    </row>
    <row r="144" spans="1:13" x14ac:dyDescent="0.25">
      <c r="A144" s="116" t="s">
        <v>678</v>
      </c>
      <c r="B144" s="122" t="s">
        <v>153</v>
      </c>
      <c r="C144" s="122" t="s">
        <v>154</v>
      </c>
      <c r="D144" s="122" t="s">
        <v>155</v>
      </c>
      <c r="E144" s="122" t="s">
        <v>156</v>
      </c>
      <c r="F144" s="122" t="s">
        <v>157</v>
      </c>
      <c r="H144" s="116" t="s">
        <v>679</v>
      </c>
      <c r="I144" s="122" t="s">
        <v>153</v>
      </c>
      <c r="J144" s="122" t="s">
        <v>154</v>
      </c>
      <c r="K144" s="122" t="s">
        <v>155</v>
      </c>
      <c r="L144" s="122" t="s">
        <v>156</v>
      </c>
      <c r="M144" s="122" t="s">
        <v>157</v>
      </c>
    </row>
    <row r="145" spans="1:13" ht="18" x14ac:dyDescent="0.25">
      <c r="A145" s="118" t="s">
        <v>343</v>
      </c>
      <c r="B145" s="133" t="s">
        <v>680</v>
      </c>
      <c r="C145" s="133" t="s">
        <v>681</v>
      </c>
      <c r="D145" s="133" t="s">
        <v>682</v>
      </c>
      <c r="E145" s="116" t="s">
        <v>683</v>
      </c>
      <c r="F145" s="133" t="s">
        <v>684</v>
      </c>
      <c r="H145" s="118" t="s">
        <v>343</v>
      </c>
      <c r="I145" s="116"/>
      <c r="J145" s="116"/>
      <c r="K145" s="116"/>
      <c r="L145" s="116"/>
      <c r="M145" s="116"/>
    </row>
    <row r="146" spans="1:13" ht="18" x14ac:dyDescent="0.25">
      <c r="A146" s="118" t="s">
        <v>349</v>
      </c>
      <c r="B146" s="133" t="s">
        <v>680</v>
      </c>
      <c r="C146" s="133" t="s">
        <v>681</v>
      </c>
      <c r="D146" s="133" t="s">
        <v>682</v>
      </c>
      <c r="E146" s="116" t="s">
        <v>683</v>
      </c>
      <c r="F146" s="133" t="s">
        <v>684</v>
      </c>
      <c r="H146" s="118" t="s">
        <v>349</v>
      </c>
      <c r="I146" s="116"/>
      <c r="J146" s="116"/>
      <c r="K146" s="116"/>
      <c r="L146" s="116"/>
      <c r="M146" s="116"/>
    </row>
    <row r="147" spans="1:13" ht="18" x14ac:dyDescent="0.25">
      <c r="A147" s="118" t="s">
        <v>305</v>
      </c>
      <c r="B147" s="133" t="s">
        <v>680</v>
      </c>
      <c r="C147" s="133" t="s">
        <v>681</v>
      </c>
      <c r="D147" s="133" t="s">
        <v>682</v>
      </c>
      <c r="E147" s="116" t="s">
        <v>683</v>
      </c>
      <c r="F147" s="133" t="s">
        <v>684</v>
      </c>
      <c r="H147" s="118" t="s">
        <v>305</v>
      </c>
      <c r="I147" s="116"/>
      <c r="J147" s="116"/>
      <c r="K147" s="116"/>
      <c r="L147" s="116"/>
      <c r="M147" s="116"/>
    </row>
    <row r="148" spans="1:13" ht="18" x14ac:dyDescent="0.25">
      <c r="A148" s="118" t="s">
        <v>308</v>
      </c>
      <c r="B148" s="133" t="s">
        <v>680</v>
      </c>
      <c r="C148" s="133" t="s">
        <v>681</v>
      </c>
      <c r="D148" s="133" t="s">
        <v>682</v>
      </c>
      <c r="E148" s="116" t="s">
        <v>683</v>
      </c>
      <c r="F148" s="133" t="s">
        <v>684</v>
      </c>
      <c r="H148" s="118" t="s">
        <v>308</v>
      </c>
      <c r="I148" s="116"/>
      <c r="J148" s="116"/>
      <c r="K148" s="116"/>
      <c r="L148" s="116"/>
      <c r="M148" s="116"/>
    </row>
    <row r="149" spans="1:13" ht="18" x14ac:dyDescent="0.25">
      <c r="A149" s="118" t="s">
        <v>310</v>
      </c>
      <c r="B149" s="133" t="s">
        <v>680</v>
      </c>
      <c r="C149" s="133" t="s">
        <v>681</v>
      </c>
      <c r="D149" s="133" t="s">
        <v>682</v>
      </c>
      <c r="E149" s="116" t="s">
        <v>683</v>
      </c>
      <c r="F149" s="133" t="s">
        <v>684</v>
      </c>
      <c r="H149" s="118" t="s">
        <v>310</v>
      </c>
      <c r="I149" s="116"/>
      <c r="J149" s="116"/>
      <c r="K149" s="116"/>
      <c r="L149" s="116"/>
      <c r="M149" s="116"/>
    </row>
    <row r="150" spans="1:13" ht="18" x14ac:dyDescent="0.25">
      <c r="A150" s="118" t="s">
        <v>312</v>
      </c>
      <c r="B150" s="133" t="s">
        <v>680</v>
      </c>
      <c r="C150" s="133" t="s">
        <v>681</v>
      </c>
      <c r="D150" s="133" t="s">
        <v>682</v>
      </c>
      <c r="E150" s="116" t="s">
        <v>683</v>
      </c>
      <c r="F150" s="133" t="s">
        <v>684</v>
      </c>
      <c r="H150" s="118" t="s">
        <v>312</v>
      </c>
      <c r="I150" s="116"/>
      <c r="J150" s="116"/>
      <c r="K150" s="116"/>
      <c r="L150" s="116"/>
      <c r="M150" s="116"/>
    </row>
    <row r="151" spans="1:13" ht="18" x14ac:dyDescent="0.25">
      <c r="A151" s="118" t="s">
        <v>315</v>
      </c>
      <c r="B151" s="133" t="s">
        <v>680</v>
      </c>
      <c r="C151" s="133" t="s">
        <v>681</v>
      </c>
      <c r="D151" s="133" t="s">
        <v>682</v>
      </c>
      <c r="E151" s="116" t="s">
        <v>683</v>
      </c>
      <c r="F151" s="133" t="s">
        <v>684</v>
      </c>
      <c r="H151" s="118" t="s">
        <v>315</v>
      </c>
      <c r="I151" s="116"/>
      <c r="J151" s="116"/>
      <c r="K151" s="116"/>
      <c r="L151" s="116"/>
      <c r="M151" s="116"/>
    </row>
    <row r="152" spans="1:13" ht="18.75" thickBot="1" x14ac:dyDescent="0.3">
      <c r="A152" s="118" t="s">
        <v>352</v>
      </c>
      <c r="B152" s="134" t="s">
        <v>680</v>
      </c>
      <c r="C152" s="134" t="s">
        <v>681</v>
      </c>
      <c r="D152" s="134" t="s">
        <v>682</v>
      </c>
      <c r="E152" s="196" t="s">
        <v>683</v>
      </c>
      <c r="F152" s="134" t="s">
        <v>684</v>
      </c>
      <c r="H152" s="118" t="s">
        <v>352</v>
      </c>
      <c r="I152" s="196"/>
      <c r="J152" s="196"/>
      <c r="K152" s="196"/>
      <c r="L152" s="196"/>
      <c r="M152" s="196"/>
    </row>
    <row r="153" spans="1:13" ht="18.75" thickTop="1" x14ac:dyDescent="0.25">
      <c r="A153" s="119" t="s">
        <v>353</v>
      </c>
      <c r="B153" s="568" t="s">
        <v>354</v>
      </c>
      <c r="C153" s="569"/>
      <c r="D153" s="569"/>
      <c r="E153" s="569"/>
      <c r="F153" s="570"/>
      <c r="H153" s="119" t="s">
        <v>353</v>
      </c>
      <c r="I153" s="562" t="s">
        <v>354</v>
      </c>
      <c r="J153" s="563"/>
      <c r="K153" s="563"/>
      <c r="L153" s="563"/>
      <c r="M153" s="564"/>
    </row>
    <row r="154" spans="1:13" ht="18.75" thickBot="1" x14ac:dyDescent="0.3">
      <c r="A154" s="119" t="s">
        <v>355</v>
      </c>
      <c r="B154" s="571"/>
      <c r="C154" s="572"/>
      <c r="D154" s="572"/>
      <c r="E154" s="572"/>
      <c r="F154" s="573"/>
      <c r="H154" s="119" t="s">
        <v>355</v>
      </c>
      <c r="I154" s="565"/>
      <c r="J154" s="566"/>
      <c r="K154" s="566"/>
      <c r="L154" s="566"/>
      <c r="M154" s="567"/>
    </row>
    <row r="155" spans="1:13" ht="18.75" thickTop="1" x14ac:dyDescent="0.25">
      <c r="A155" s="118" t="s">
        <v>318</v>
      </c>
      <c r="B155" s="132" t="s">
        <v>680</v>
      </c>
      <c r="C155" s="132" t="s">
        <v>681</v>
      </c>
      <c r="D155" s="132" t="s">
        <v>682</v>
      </c>
      <c r="E155" s="198" t="s">
        <v>683</v>
      </c>
      <c r="F155" s="132" t="s">
        <v>684</v>
      </c>
      <c r="H155" s="118" t="s">
        <v>318</v>
      </c>
      <c r="I155" s="198"/>
      <c r="J155" s="198"/>
      <c r="K155" s="198"/>
      <c r="L155" s="198"/>
      <c r="M155" s="198"/>
    </row>
    <row r="156" spans="1:13" ht="18" x14ac:dyDescent="0.25">
      <c r="A156" s="118" t="s">
        <v>321</v>
      </c>
      <c r="B156" s="133" t="s">
        <v>680</v>
      </c>
      <c r="C156" s="133" t="s">
        <v>681</v>
      </c>
      <c r="D156" s="133" t="s">
        <v>682</v>
      </c>
      <c r="E156" s="116" t="s">
        <v>683</v>
      </c>
      <c r="F156" s="133" t="s">
        <v>684</v>
      </c>
      <c r="H156" s="118" t="s">
        <v>321</v>
      </c>
      <c r="I156" s="116"/>
      <c r="J156" s="116"/>
      <c r="K156" s="116"/>
      <c r="L156" s="116"/>
      <c r="M156" s="116"/>
    </row>
    <row r="157" spans="1:13" ht="18" x14ac:dyDescent="0.25">
      <c r="A157" s="118" t="s">
        <v>324</v>
      </c>
      <c r="B157" s="133" t="s">
        <v>680</v>
      </c>
      <c r="C157" s="130" t="s">
        <v>685</v>
      </c>
      <c r="D157" s="133" t="s">
        <v>682</v>
      </c>
      <c r="E157" s="116" t="s">
        <v>683</v>
      </c>
      <c r="F157" s="133" t="s">
        <v>684</v>
      </c>
      <c r="H157" s="118" t="s">
        <v>324</v>
      </c>
      <c r="I157" s="116"/>
      <c r="J157" s="116"/>
      <c r="K157" s="116"/>
      <c r="L157" s="116"/>
      <c r="M157" s="116"/>
    </row>
    <row r="158" spans="1:13" ht="18" x14ac:dyDescent="0.25">
      <c r="A158" s="118" t="s">
        <v>325</v>
      </c>
      <c r="B158" s="133" t="s">
        <v>680</v>
      </c>
      <c r="C158" s="130" t="s">
        <v>685</v>
      </c>
      <c r="D158" s="133" t="s">
        <v>682</v>
      </c>
      <c r="E158" s="116" t="s">
        <v>683</v>
      </c>
      <c r="F158" s="133" t="s">
        <v>684</v>
      </c>
      <c r="H158" s="118" t="s">
        <v>325</v>
      </c>
      <c r="I158" s="116"/>
      <c r="J158" s="116"/>
      <c r="K158" s="116"/>
      <c r="L158" s="116"/>
      <c r="M158" s="116"/>
    </row>
    <row r="159" spans="1:13" ht="18" x14ac:dyDescent="0.25">
      <c r="A159" s="118" t="s">
        <v>357</v>
      </c>
      <c r="B159" s="133" t="s">
        <v>680</v>
      </c>
      <c r="C159" s="130" t="s">
        <v>685</v>
      </c>
      <c r="D159" s="133" t="s">
        <v>682</v>
      </c>
      <c r="E159" s="116" t="s">
        <v>683</v>
      </c>
      <c r="F159" s="133" t="s">
        <v>684</v>
      </c>
      <c r="H159" s="118" t="s">
        <v>357</v>
      </c>
      <c r="I159" s="116"/>
      <c r="J159" s="116"/>
      <c r="K159" s="116"/>
      <c r="L159" s="116"/>
      <c r="M159" s="116"/>
    </row>
    <row r="160" spans="1:13" ht="18" x14ac:dyDescent="0.25">
      <c r="A160" s="118" t="s">
        <v>358</v>
      </c>
      <c r="B160" s="133" t="s">
        <v>680</v>
      </c>
      <c r="C160" s="130" t="s">
        <v>685</v>
      </c>
      <c r="D160" s="133" t="s">
        <v>682</v>
      </c>
      <c r="E160" s="116" t="s">
        <v>683</v>
      </c>
      <c r="F160" s="133" t="s">
        <v>684</v>
      </c>
      <c r="H160" s="118" t="s">
        <v>358</v>
      </c>
      <c r="I160" s="116"/>
      <c r="J160" s="116"/>
      <c r="K160" s="116"/>
      <c r="L160" s="116"/>
      <c r="M160" s="116"/>
    </row>
  </sheetData>
  <mergeCells count="76">
    <mergeCell ref="V4:AA4"/>
    <mergeCell ref="O4:T4"/>
    <mergeCell ref="D1:E1"/>
    <mergeCell ref="B1:C1"/>
    <mergeCell ref="B2:C2"/>
    <mergeCell ref="D2:E2"/>
    <mergeCell ref="G2:J2"/>
    <mergeCell ref="B15:F16"/>
    <mergeCell ref="I15:M16"/>
    <mergeCell ref="P15:T16"/>
    <mergeCell ref="W15:AA16"/>
    <mergeCell ref="AD15:AH16"/>
    <mergeCell ref="A118:A119"/>
    <mergeCell ref="C118:C119"/>
    <mergeCell ref="E118:E119"/>
    <mergeCell ref="F118:F119"/>
    <mergeCell ref="H116:H117"/>
    <mergeCell ref="I116:I117"/>
    <mergeCell ref="J116:J117"/>
    <mergeCell ref="K116:K117"/>
    <mergeCell ref="M116:M117"/>
    <mergeCell ref="H118:H119"/>
    <mergeCell ref="I118:I119"/>
    <mergeCell ref="J118:J119"/>
    <mergeCell ref="K118:K119"/>
    <mergeCell ref="M118:M119"/>
    <mergeCell ref="A120:A121"/>
    <mergeCell ref="B120:B121"/>
    <mergeCell ref="C120:C121"/>
    <mergeCell ref="E120:E121"/>
    <mergeCell ref="F120:F121"/>
    <mergeCell ref="H122:H123"/>
    <mergeCell ref="I122:I123"/>
    <mergeCell ref="J122:J123"/>
    <mergeCell ref="K122:K123"/>
    <mergeCell ref="M122:M123"/>
    <mergeCell ref="H120:H121"/>
    <mergeCell ref="I120:I121"/>
    <mergeCell ref="J120:J121"/>
    <mergeCell ref="K120:K121"/>
    <mergeCell ref="M120:M121"/>
    <mergeCell ref="I126:I127"/>
    <mergeCell ref="J126:J127"/>
    <mergeCell ref="K126:K127"/>
    <mergeCell ref="M128:M129"/>
    <mergeCell ref="H124:H125"/>
    <mergeCell ref="I124:I125"/>
    <mergeCell ref="J124:J125"/>
    <mergeCell ref="K124:K125"/>
    <mergeCell ref="M124:M125"/>
    <mergeCell ref="A128:A129"/>
    <mergeCell ref="B128:B129"/>
    <mergeCell ref="C128:C129"/>
    <mergeCell ref="E128:E129"/>
    <mergeCell ref="F128:F129"/>
    <mergeCell ref="A130:A131"/>
    <mergeCell ref="B130:B131"/>
    <mergeCell ref="C130:C131"/>
    <mergeCell ref="E130:E131"/>
    <mergeCell ref="F130:F131"/>
    <mergeCell ref="I132:M133"/>
    <mergeCell ref="B153:F154"/>
    <mergeCell ref="I153:M154"/>
    <mergeCell ref="P65:T66"/>
    <mergeCell ref="H130:H131"/>
    <mergeCell ref="I130:I131"/>
    <mergeCell ref="J130:J131"/>
    <mergeCell ref="K130:K131"/>
    <mergeCell ref="M130:M131"/>
    <mergeCell ref="M126:M127"/>
    <mergeCell ref="H128:H129"/>
    <mergeCell ref="I128:I129"/>
    <mergeCell ref="J128:J129"/>
    <mergeCell ref="K128:K129"/>
    <mergeCell ref="B126:F127"/>
    <mergeCell ref="H126:H127"/>
  </mergeCells>
  <pageMargins left="0.7" right="0.7" top="0.75" bottom="0.75" header="0.3" footer="0.3"/>
  <pageSetup fitToWidth="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AB66-1F34-4554-8C08-C40BCFB7CFAE}">
  <sheetPr codeName="Sheet10"/>
  <dimension ref="A1:AQ365"/>
  <sheetViews>
    <sheetView zoomScale="50" zoomScaleNormal="50" workbookViewId="0">
      <selection activeCell="G26" sqref="G26"/>
    </sheetView>
  </sheetViews>
  <sheetFormatPr defaultRowHeight="21" x14ac:dyDescent="0.35"/>
  <cols>
    <col min="1" max="1" width="19.7109375" style="216" customWidth="1"/>
    <col min="2" max="2" width="30.42578125" style="216" customWidth="1"/>
    <col min="3" max="3" width="38.28515625" style="216" customWidth="1"/>
    <col min="4" max="4" width="39.7109375" style="216" customWidth="1"/>
    <col min="5" max="5" width="27.28515625" style="216" customWidth="1"/>
    <col min="6" max="6" width="37.42578125" style="216" customWidth="1"/>
    <col min="7" max="7" width="34.5703125" style="216" customWidth="1"/>
    <col min="8" max="8" width="26.28515625" style="216" customWidth="1"/>
    <col min="9" max="9" width="42.85546875" style="216" customWidth="1"/>
    <col min="10" max="10" width="33.140625" style="216" customWidth="1"/>
    <col min="11" max="11" width="32.140625" style="216" customWidth="1"/>
    <col min="12" max="12" width="35.140625" style="216" customWidth="1"/>
    <col min="13" max="13" width="42" style="216" customWidth="1"/>
    <col min="14" max="14" width="15.7109375" style="216" customWidth="1"/>
    <col min="15" max="15" width="23.42578125" style="216" customWidth="1"/>
    <col min="16" max="16" width="42.28515625" style="216" customWidth="1"/>
    <col min="17" max="17" width="39.42578125" style="216" customWidth="1"/>
    <col min="18" max="18" width="41.140625" style="216" customWidth="1"/>
    <col min="19" max="19" width="48.85546875" style="216" customWidth="1"/>
    <col min="20" max="20" width="37.140625" style="216" customWidth="1"/>
    <col min="21" max="21" width="15.7109375" style="216" customWidth="1"/>
    <col min="22" max="22" width="20.7109375" style="216" customWidth="1"/>
    <col min="23" max="23" width="33.5703125" style="216" customWidth="1"/>
    <col min="24" max="24" width="24.28515625" style="216" customWidth="1"/>
    <col min="25" max="25" width="31.140625" style="216" customWidth="1"/>
    <col min="26" max="26" width="29.42578125" style="216" customWidth="1"/>
    <col min="27" max="27" width="48.5703125" style="216" customWidth="1"/>
    <col min="28" max="42" width="15.7109375" style="216" customWidth="1"/>
    <col min="43" max="43" width="172.5703125" style="216" customWidth="1"/>
    <col min="44" max="153" width="15.7109375" style="216" customWidth="1"/>
    <col min="154" max="16384" width="9.140625" style="216"/>
  </cols>
  <sheetData>
    <row r="1" spans="1:43" ht="35.1" customHeight="1" x14ac:dyDescent="0.7">
      <c r="A1" s="465" t="s">
        <v>326</v>
      </c>
      <c r="B1" s="609" t="s">
        <v>686</v>
      </c>
      <c r="C1" s="609"/>
      <c r="D1" s="466" t="s">
        <v>328</v>
      </c>
      <c r="E1" s="468" t="s">
        <v>687</v>
      </c>
      <c r="F1" s="427"/>
      <c r="G1" s="468" t="s">
        <v>372</v>
      </c>
      <c r="H1" s="468"/>
      <c r="I1" s="464"/>
      <c r="J1" s="464"/>
      <c r="T1" s="217"/>
      <c r="U1" s="217"/>
      <c r="V1" s="217"/>
      <c r="AQ1" s="455" t="s">
        <v>373</v>
      </c>
    </row>
    <row r="2" spans="1:43" ht="35.1" customHeight="1" x14ac:dyDescent="0.35">
      <c r="A2" s="467" t="s">
        <v>331</v>
      </c>
      <c r="B2" s="468" t="s">
        <v>688</v>
      </c>
      <c r="C2" s="468"/>
      <c r="D2" s="468" t="s">
        <v>689</v>
      </c>
      <c r="E2" s="468"/>
      <c r="F2" s="427"/>
      <c r="G2" s="610" t="s">
        <v>374</v>
      </c>
      <c r="H2" s="610"/>
      <c r="I2" s="610"/>
      <c r="J2" s="610"/>
      <c r="L2" s="217"/>
      <c r="M2" s="217"/>
      <c r="N2" s="217"/>
    </row>
    <row r="3" spans="1:43" ht="35.1" customHeight="1" x14ac:dyDescent="0.35"/>
    <row r="4" spans="1:43" ht="35.1" customHeight="1" x14ac:dyDescent="0.5">
      <c r="I4" s="432"/>
      <c r="K4" s="316"/>
      <c r="M4" s="306"/>
      <c r="P4" s="441" t="s">
        <v>690</v>
      </c>
      <c r="S4" s="313"/>
      <c r="T4" s="306"/>
      <c r="AQ4" s="216" t="s">
        <v>756</v>
      </c>
    </row>
    <row r="5" spans="1:43" ht="35.1" customHeight="1" x14ac:dyDescent="0.35">
      <c r="A5" s="219" t="s">
        <v>691</v>
      </c>
      <c r="B5" s="219" t="s">
        <v>692</v>
      </c>
      <c r="C5" s="219" t="s">
        <v>693</v>
      </c>
      <c r="D5" s="219" t="s">
        <v>694</v>
      </c>
      <c r="E5" s="219"/>
      <c r="F5" s="219"/>
      <c r="H5" s="219" t="s">
        <v>695</v>
      </c>
      <c r="I5" s="219" t="s">
        <v>696</v>
      </c>
      <c r="J5" s="219" t="s">
        <v>697</v>
      </c>
      <c r="K5" s="219" t="s">
        <v>698</v>
      </c>
      <c r="L5" s="219"/>
      <c r="M5" s="219"/>
      <c r="O5" s="219" t="s">
        <v>699</v>
      </c>
      <c r="P5" s="219" t="s">
        <v>700</v>
      </c>
      <c r="Q5" s="219" t="s">
        <v>701</v>
      </c>
      <c r="R5" s="219" t="s">
        <v>702</v>
      </c>
      <c r="S5" s="219"/>
      <c r="T5" s="219"/>
      <c r="V5" s="219" t="s">
        <v>703</v>
      </c>
      <c r="W5" s="219" t="s">
        <v>704</v>
      </c>
      <c r="X5" s="219" t="s">
        <v>705</v>
      </c>
      <c r="Y5" s="219" t="s">
        <v>706</v>
      </c>
      <c r="Z5" s="219"/>
      <c r="AA5" s="219"/>
      <c r="AQ5" s="216" t="s">
        <v>757</v>
      </c>
    </row>
    <row r="6" spans="1:43" ht="35.1" customHeight="1" x14ac:dyDescent="0.35">
      <c r="A6" s="220"/>
      <c r="B6" s="221" t="s">
        <v>153</v>
      </c>
      <c r="C6" s="221" t="s">
        <v>154</v>
      </c>
      <c r="D6" s="221" t="s">
        <v>155</v>
      </c>
      <c r="E6" s="221" t="s">
        <v>156</v>
      </c>
      <c r="F6" s="221" t="s">
        <v>157</v>
      </c>
      <c r="H6" s="220"/>
      <c r="I6" s="221" t="s">
        <v>153</v>
      </c>
      <c r="J6" s="221" t="s">
        <v>154</v>
      </c>
      <c r="K6" s="221" t="s">
        <v>155</v>
      </c>
      <c r="L6" s="221" t="s">
        <v>156</v>
      </c>
      <c r="M6" s="221" t="s">
        <v>157</v>
      </c>
      <c r="N6" s="222"/>
      <c r="O6" s="220"/>
      <c r="P6" s="221" t="s">
        <v>153</v>
      </c>
      <c r="Q6" s="221" t="s">
        <v>154</v>
      </c>
      <c r="R6" s="221" t="s">
        <v>155</v>
      </c>
      <c r="S6" s="221" t="s">
        <v>156</v>
      </c>
      <c r="T6" s="221" t="s">
        <v>157</v>
      </c>
      <c r="U6" s="222"/>
      <c r="V6" s="220"/>
      <c r="W6" s="221" t="s">
        <v>153</v>
      </c>
      <c r="X6" s="221" t="s">
        <v>154</v>
      </c>
      <c r="Y6" s="221" t="s">
        <v>155</v>
      </c>
      <c r="Z6" s="221" t="s">
        <v>156</v>
      </c>
      <c r="AA6" s="221" t="s">
        <v>157</v>
      </c>
      <c r="AB6" s="222"/>
      <c r="AC6" s="222"/>
      <c r="AQ6" s="216" t="s">
        <v>758</v>
      </c>
    </row>
    <row r="7" spans="1:43" ht="48" customHeight="1" x14ac:dyDescent="0.4">
      <c r="A7" s="223" t="s">
        <v>343</v>
      </c>
      <c r="B7" s="288"/>
      <c r="C7" s="314"/>
      <c r="D7" s="314"/>
      <c r="E7" s="365" t="s">
        <v>380</v>
      </c>
      <c r="F7" s="314"/>
      <c r="H7" s="223" t="s">
        <v>343</v>
      </c>
      <c r="I7" s="255"/>
      <c r="J7" s="255"/>
      <c r="K7" s="255"/>
      <c r="L7" s="255"/>
      <c r="M7" s="255"/>
      <c r="O7" s="223" t="s">
        <v>343</v>
      </c>
      <c r="P7" s="254"/>
      <c r="Q7" s="416" t="s">
        <v>381</v>
      </c>
      <c r="R7" s="289"/>
      <c r="S7" s="255"/>
      <c r="T7" s="288"/>
      <c r="V7" s="223" t="s">
        <v>343</v>
      </c>
      <c r="W7" s="377"/>
      <c r="X7" s="314"/>
      <c r="Y7" s="314"/>
      <c r="AA7" s="255"/>
      <c r="AQ7" s="216" t="s">
        <v>759</v>
      </c>
    </row>
    <row r="8" spans="1:43" ht="48" customHeight="1" x14ac:dyDescent="0.4">
      <c r="A8" s="223" t="s">
        <v>349</v>
      </c>
      <c r="B8" s="288"/>
      <c r="C8" s="314"/>
      <c r="D8" s="314"/>
      <c r="E8" s="255"/>
      <c r="F8" s="314"/>
      <c r="H8" s="223" t="s">
        <v>349</v>
      </c>
      <c r="I8" s="255"/>
      <c r="J8" s="255"/>
      <c r="K8" s="255"/>
      <c r="L8" s="255"/>
      <c r="M8" s="263" t="s">
        <v>709</v>
      </c>
      <c r="O8" s="223" t="s">
        <v>349</v>
      </c>
      <c r="P8" s="254"/>
      <c r="Q8" s="378"/>
      <c r="R8" s="289"/>
      <c r="S8" s="433"/>
      <c r="T8" s="288"/>
      <c r="V8" s="223" t="s">
        <v>349</v>
      </c>
      <c r="W8" s="377"/>
      <c r="X8" s="314"/>
      <c r="Y8" s="314"/>
      <c r="Z8" s="314"/>
      <c r="AA8" s="255"/>
      <c r="AQ8" s="216" t="s">
        <v>760</v>
      </c>
    </row>
    <row r="9" spans="1:43" ht="48" customHeight="1" x14ac:dyDescent="0.4">
      <c r="A9" s="223" t="s">
        <v>305</v>
      </c>
      <c r="B9" s="288"/>
      <c r="C9" s="314"/>
      <c r="D9" s="365" t="s">
        <v>707</v>
      </c>
      <c r="E9" s="255"/>
      <c r="F9" s="314"/>
      <c r="H9" s="223" t="s">
        <v>305</v>
      </c>
      <c r="I9" s="255"/>
      <c r="J9" s="255"/>
      <c r="K9" s="255"/>
      <c r="L9" s="255"/>
      <c r="M9" s="263" t="s">
        <v>709</v>
      </c>
      <c r="O9" s="223" t="s">
        <v>305</v>
      </c>
      <c r="P9" s="254"/>
      <c r="Q9" s="255"/>
      <c r="R9" s="289"/>
      <c r="S9" s="433"/>
      <c r="T9" s="288"/>
      <c r="V9" s="223" t="s">
        <v>305</v>
      </c>
      <c r="W9" s="377"/>
      <c r="X9" s="314"/>
      <c r="Y9" s="314"/>
      <c r="Z9" s="314"/>
      <c r="AA9" s="255"/>
      <c r="AQ9" s="216" t="s">
        <v>761</v>
      </c>
    </row>
    <row r="10" spans="1:43" ht="48" customHeight="1" x14ac:dyDescent="0.4">
      <c r="A10" s="223" t="s">
        <v>308</v>
      </c>
      <c r="B10" s="288"/>
      <c r="C10" s="314"/>
      <c r="D10" s="365" t="s">
        <v>707</v>
      </c>
      <c r="E10" s="255"/>
      <c r="F10" s="314"/>
      <c r="H10" s="223" t="s">
        <v>308</v>
      </c>
      <c r="I10" s="255"/>
      <c r="J10" s="255"/>
      <c r="K10" s="255"/>
      <c r="L10" s="255"/>
      <c r="M10" s="255"/>
      <c r="O10" s="223" t="s">
        <v>308</v>
      </c>
      <c r="P10" s="254"/>
      <c r="Q10" s="255"/>
      <c r="R10" s="289"/>
      <c r="S10" s="433"/>
      <c r="T10" s="288"/>
      <c r="V10" s="223" t="s">
        <v>308</v>
      </c>
      <c r="W10" s="364" t="s">
        <v>710</v>
      </c>
      <c r="X10" s="314"/>
      <c r="Y10" s="314"/>
      <c r="Z10" s="314"/>
      <c r="AA10" s="255"/>
      <c r="AQ10" s="216" t="s">
        <v>762</v>
      </c>
    </row>
    <row r="11" spans="1:43" ht="48" customHeight="1" x14ac:dyDescent="0.4">
      <c r="A11" s="223" t="s">
        <v>712</v>
      </c>
      <c r="B11" s="288"/>
      <c r="C11" s="314"/>
      <c r="D11" s="365" t="s">
        <v>707</v>
      </c>
      <c r="E11" s="255"/>
      <c r="F11" s="314"/>
      <c r="H11" s="223" t="s">
        <v>712</v>
      </c>
      <c r="I11" s="255"/>
      <c r="J11" s="434" t="s">
        <v>713</v>
      </c>
      <c r="K11" s="318"/>
      <c r="L11" s="255"/>
      <c r="M11" s="255"/>
      <c r="O11" s="223" t="s">
        <v>712</v>
      </c>
      <c r="P11" s="254"/>
      <c r="Q11" s="255"/>
      <c r="R11" s="289"/>
      <c r="S11" s="416" t="s">
        <v>381</v>
      </c>
      <c r="T11" s="288"/>
      <c r="V11" s="223" t="s">
        <v>712</v>
      </c>
      <c r="W11" s="364" t="s">
        <v>710</v>
      </c>
      <c r="X11" s="314"/>
      <c r="Y11" s="314"/>
      <c r="Z11" s="314"/>
      <c r="AA11" s="255"/>
      <c r="AQ11" s="216" t="s">
        <v>763</v>
      </c>
    </row>
    <row r="12" spans="1:43" ht="48" customHeight="1" x14ac:dyDescent="0.4">
      <c r="A12" s="223" t="s">
        <v>714</v>
      </c>
      <c r="B12" s="288"/>
      <c r="C12" s="314"/>
      <c r="D12" s="365" t="s">
        <v>707</v>
      </c>
      <c r="E12" s="255"/>
      <c r="F12" s="314"/>
      <c r="H12" s="223" t="s">
        <v>714</v>
      </c>
      <c r="I12" s="255"/>
      <c r="J12" s="434" t="s">
        <v>713</v>
      </c>
      <c r="K12" s="434" t="s">
        <v>713</v>
      </c>
      <c r="L12" s="255"/>
      <c r="M12" s="263" t="s">
        <v>709</v>
      </c>
      <c r="O12" s="223" t="s">
        <v>714</v>
      </c>
      <c r="P12" s="254"/>
      <c r="Q12" s="255"/>
      <c r="R12" s="289"/>
      <c r="S12" s="255"/>
      <c r="T12" s="288"/>
      <c r="V12" s="223" t="s">
        <v>714</v>
      </c>
      <c r="W12" s="364" t="s">
        <v>710</v>
      </c>
      <c r="X12" s="314"/>
      <c r="Y12" s="314"/>
      <c r="Z12" s="314"/>
      <c r="AA12" s="255"/>
      <c r="AQ12" s="216" t="s">
        <v>764</v>
      </c>
    </row>
    <row r="13" spans="1:43" ht="48" customHeight="1" x14ac:dyDescent="0.4">
      <c r="A13" s="223" t="s">
        <v>715</v>
      </c>
      <c r="B13" s="288"/>
      <c r="C13" s="365" t="s">
        <v>380</v>
      </c>
      <c r="D13" s="314"/>
      <c r="E13" s="255"/>
      <c r="F13" s="314"/>
      <c r="H13" s="223" t="s">
        <v>715</v>
      </c>
      <c r="I13" s="255"/>
      <c r="J13" s="255"/>
      <c r="K13" s="434" t="s">
        <v>713</v>
      </c>
      <c r="L13" s="255"/>
      <c r="M13" s="263" t="s">
        <v>709</v>
      </c>
      <c r="O13" s="223" t="s">
        <v>715</v>
      </c>
      <c r="P13" s="254"/>
      <c r="Q13" s="255"/>
      <c r="R13" s="289"/>
      <c r="S13" s="255"/>
      <c r="T13" s="288"/>
      <c r="V13" s="223" t="s">
        <v>715</v>
      </c>
      <c r="W13" s="364" t="s">
        <v>710</v>
      </c>
      <c r="X13" s="314"/>
      <c r="Y13" s="314"/>
      <c r="Z13" s="314"/>
      <c r="AA13" s="255"/>
      <c r="AQ13" s="216" t="s">
        <v>765</v>
      </c>
    </row>
    <row r="14" spans="1:43" ht="48" customHeight="1" thickBot="1" x14ac:dyDescent="0.45">
      <c r="A14" s="223" t="s">
        <v>716</v>
      </c>
      <c r="B14" s="356"/>
      <c r="C14" s="367" t="s">
        <v>707</v>
      </c>
      <c r="D14" s="435"/>
      <c r="E14" s="357"/>
      <c r="F14" s="435"/>
      <c r="H14" s="223" t="s">
        <v>716</v>
      </c>
      <c r="I14" s="357"/>
      <c r="J14" s="357"/>
      <c r="K14" s="357"/>
      <c r="L14" s="436" t="s">
        <v>713</v>
      </c>
      <c r="M14" s="371" t="s">
        <v>709</v>
      </c>
      <c r="O14" s="223" t="s">
        <v>716</v>
      </c>
      <c r="P14" s="360"/>
      <c r="Q14" s="357"/>
      <c r="R14" s="361"/>
      <c r="S14" s="357"/>
      <c r="T14" s="356"/>
      <c r="V14" s="223" t="s">
        <v>716</v>
      </c>
      <c r="W14" s="366" t="s">
        <v>710</v>
      </c>
      <c r="X14" s="435"/>
      <c r="Y14" s="435"/>
      <c r="Z14" s="435"/>
      <c r="AA14" s="357"/>
      <c r="AQ14" s="216" t="s">
        <v>766</v>
      </c>
    </row>
    <row r="15" spans="1:43" ht="45" customHeight="1" x14ac:dyDescent="0.35">
      <c r="A15" s="355" t="s">
        <v>353</v>
      </c>
      <c r="B15" s="503" t="s">
        <v>354</v>
      </c>
      <c r="C15" s="504"/>
      <c r="D15" s="504"/>
      <c r="E15" s="504"/>
      <c r="F15" s="505"/>
      <c r="H15" s="355" t="s">
        <v>353</v>
      </c>
      <c r="I15" s="611" t="s">
        <v>354</v>
      </c>
      <c r="J15" s="612"/>
      <c r="K15" s="612"/>
      <c r="L15" s="612"/>
      <c r="M15" s="613"/>
      <c r="O15" s="355" t="s">
        <v>353</v>
      </c>
      <c r="P15" s="503" t="s">
        <v>354</v>
      </c>
      <c r="Q15" s="504"/>
      <c r="R15" s="504"/>
      <c r="S15" s="504"/>
      <c r="T15" s="505"/>
      <c r="V15" s="355" t="s">
        <v>353</v>
      </c>
      <c r="W15" s="503" t="s">
        <v>354</v>
      </c>
      <c r="X15" s="504"/>
      <c r="Y15" s="504"/>
      <c r="Z15" s="504"/>
      <c r="AA15" s="505"/>
      <c r="AQ15" s="216" t="s">
        <v>767</v>
      </c>
    </row>
    <row r="16" spans="1:43" ht="54.75" customHeight="1" thickBot="1" x14ac:dyDescent="0.4">
      <c r="A16" s="355" t="s">
        <v>355</v>
      </c>
      <c r="B16" s="506"/>
      <c r="C16" s="507"/>
      <c r="D16" s="507"/>
      <c r="E16" s="507"/>
      <c r="F16" s="508"/>
      <c r="H16" s="355" t="s">
        <v>355</v>
      </c>
      <c r="I16" s="614"/>
      <c r="J16" s="615"/>
      <c r="K16" s="615"/>
      <c r="L16" s="615"/>
      <c r="M16" s="616"/>
      <c r="O16" s="355" t="s">
        <v>355</v>
      </c>
      <c r="P16" s="506"/>
      <c r="Q16" s="507"/>
      <c r="R16" s="507"/>
      <c r="S16" s="507"/>
      <c r="T16" s="508"/>
      <c r="V16" s="355" t="s">
        <v>355</v>
      </c>
      <c r="W16" s="506"/>
      <c r="X16" s="507"/>
      <c r="Y16" s="507"/>
      <c r="Z16" s="507"/>
      <c r="AA16" s="508"/>
      <c r="AQ16" s="216" t="s">
        <v>768</v>
      </c>
    </row>
    <row r="17" spans="1:43" ht="48" customHeight="1" x14ac:dyDescent="0.4">
      <c r="A17" s="223" t="s">
        <v>318</v>
      </c>
      <c r="B17" s="365" t="s">
        <v>380</v>
      </c>
      <c r="C17" s="375" t="s">
        <v>707</v>
      </c>
      <c r="D17" s="375" t="s">
        <v>707</v>
      </c>
      <c r="E17" s="359"/>
      <c r="F17" s="437"/>
      <c r="H17" s="223" t="s">
        <v>318</v>
      </c>
      <c r="I17" s="362"/>
      <c r="J17" s="359"/>
      <c r="K17" s="438" t="s">
        <v>380</v>
      </c>
      <c r="L17" s="359"/>
      <c r="M17" s="358" t="s">
        <v>709</v>
      </c>
      <c r="O17" s="223" t="s">
        <v>318</v>
      </c>
      <c r="P17" s="439" t="s">
        <v>717</v>
      </c>
      <c r="Q17" s="362"/>
      <c r="R17" s="416" t="s">
        <v>381</v>
      </c>
      <c r="S17" s="362"/>
      <c r="T17" s="362"/>
      <c r="V17" s="223" t="s">
        <v>318</v>
      </c>
      <c r="W17" s="359"/>
      <c r="X17" s="372" t="s">
        <v>718</v>
      </c>
      <c r="Y17" s="372" t="s">
        <v>718</v>
      </c>
      <c r="Z17" s="363"/>
      <c r="AA17" s="359"/>
      <c r="AQ17" s="216" t="s">
        <v>769</v>
      </c>
    </row>
    <row r="18" spans="1:43" ht="48" customHeight="1" x14ac:dyDescent="0.4">
      <c r="A18" s="223" t="s">
        <v>321</v>
      </c>
      <c r="B18" s="365" t="s">
        <v>380</v>
      </c>
      <c r="C18" s="376" t="s">
        <v>707</v>
      </c>
      <c r="D18" s="376" t="s">
        <v>707</v>
      </c>
      <c r="E18" s="255"/>
      <c r="F18" s="376" t="s">
        <v>707</v>
      </c>
      <c r="H18" s="223" t="s">
        <v>321</v>
      </c>
      <c r="I18" s="288"/>
      <c r="J18" s="255"/>
      <c r="K18" s="255"/>
      <c r="L18" s="255"/>
      <c r="M18" s="263" t="s">
        <v>709</v>
      </c>
      <c r="O18" s="223" t="s">
        <v>321</v>
      </c>
      <c r="P18" s="440" t="s">
        <v>717</v>
      </c>
      <c r="Q18" s="288"/>
      <c r="R18" s="288"/>
      <c r="S18" s="288"/>
      <c r="T18" s="288"/>
      <c r="V18" s="223" t="s">
        <v>321</v>
      </c>
      <c r="W18" s="255"/>
      <c r="X18" s="364" t="s">
        <v>718</v>
      </c>
      <c r="Y18" s="364" t="s">
        <v>718</v>
      </c>
      <c r="Z18" s="256"/>
      <c r="AA18" s="255"/>
      <c r="AQ18" s="216" t="s">
        <v>770</v>
      </c>
    </row>
    <row r="19" spans="1:43" ht="48" customHeight="1" x14ac:dyDescent="0.4">
      <c r="A19" s="223" t="s">
        <v>324</v>
      </c>
      <c r="B19" s="365" t="s">
        <v>380</v>
      </c>
      <c r="C19" s="376" t="s">
        <v>707</v>
      </c>
      <c r="D19" s="376" t="s">
        <v>707</v>
      </c>
      <c r="E19" s="255"/>
      <c r="F19" s="376" t="s">
        <v>707</v>
      </c>
      <c r="H19" s="223" t="s">
        <v>324</v>
      </c>
      <c r="I19" s="288"/>
      <c r="J19" s="255"/>
      <c r="K19" s="255"/>
      <c r="L19" s="255"/>
      <c r="M19" s="263" t="s">
        <v>709</v>
      </c>
      <c r="O19" s="223" t="s">
        <v>324</v>
      </c>
      <c r="P19" s="440" t="s">
        <v>717</v>
      </c>
      <c r="Q19" s="416" t="s">
        <v>381</v>
      </c>
      <c r="R19" s="255"/>
      <c r="S19" s="255"/>
      <c r="T19" s="288"/>
      <c r="V19" s="223" t="s">
        <v>324</v>
      </c>
      <c r="W19" s="255"/>
      <c r="X19" s="364" t="s">
        <v>718</v>
      </c>
      <c r="Y19" s="364" t="s">
        <v>718</v>
      </c>
      <c r="Z19" s="257"/>
      <c r="AA19" s="255"/>
      <c r="AQ19" s="216" t="s">
        <v>771</v>
      </c>
    </row>
    <row r="20" spans="1:43" ht="48" customHeight="1" x14ac:dyDescent="0.4">
      <c r="A20" s="223" t="s">
        <v>325</v>
      </c>
      <c r="B20" s="365" t="s">
        <v>380</v>
      </c>
      <c r="C20" s="376" t="s">
        <v>707</v>
      </c>
      <c r="D20" s="376" t="s">
        <v>707</v>
      </c>
      <c r="E20" s="255"/>
      <c r="F20" s="376" t="s">
        <v>707</v>
      </c>
      <c r="H20" s="223" t="s">
        <v>325</v>
      </c>
      <c r="I20" s="288"/>
      <c r="J20" s="255"/>
      <c r="K20" s="255"/>
      <c r="L20" s="255"/>
      <c r="M20" s="263" t="s">
        <v>709</v>
      </c>
      <c r="O20" s="223" t="s">
        <v>325</v>
      </c>
      <c r="P20" s="440" t="s">
        <v>717</v>
      </c>
      <c r="Q20" s="255"/>
      <c r="R20" s="255"/>
      <c r="S20" s="255"/>
      <c r="T20" s="288"/>
      <c r="V20" s="223" t="s">
        <v>325</v>
      </c>
      <c r="W20" s="255"/>
      <c r="X20" s="364" t="s">
        <v>718</v>
      </c>
      <c r="Y20" s="364" t="s">
        <v>718</v>
      </c>
      <c r="Z20" s="257"/>
      <c r="AA20" s="255"/>
      <c r="AQ20" s="216" t="s">
        <v>772</v>
      </c>
    </row>
    <row r="21" spans="1:43" ht="48" customHeight="1" x14ac:dyDescent="0.4">
      <c r="A21" s="223" t="s">
        <v>357</v>
      </c>
      <c r="B21" s="377"/>
      <c r="C21" s="376" t="s">
        <v>707</v>
      </c>
      <c r="D21" s="376" t="s">
        <v>707</v>
      </c>
      <c r="E21" s="255"/>
      <c r="F21" s="376" t="s">
        <v>707</v>
      </c>
      <c r="H21" s="223" t="s">
        <v>357</v>
      </c>
      <c r="I21" s="288"/>
      <c r="J21" s="255"/>
      <c r="K21" s="434" t="s">
        <v>713</v>
      </c>
      <c r="L21" s="255"/>
      <c r="M21" s="263" t="s">
        <v>709</v>
      </c>
      <c r="O21" s="223" t="s">
        <v>357</v>
      </c>
      <c r="P21" s="440" t="s">
        <v>717</v>
      </c>
      <c r="Q21" s="255"/>
      <c r="R21" s="255"/>
      <c r="S21" s="255"/>
      <c r="T21" s="288"/>
      <c r="V21" s="223" t="s">
        <v>357</v>
      </c>
      <c r="W21" s="255"/>
      <c r="X21" s="364" t="s">
        <v>718</v>
      </c>
      <c r="Y21" s="364" t="s">
        <v>718</v>
      </c>
      <c r="Z21" s="255"/>
      <c r="AA21" s="255"/>
      <c r="AQ21" s="216" t="s">
        <v>773</v>
      </c>
    </row>
    <row r="22" spans="1:43" ht="48" customHeight="1" x14ac:dyDescent="0.4">
      <c r="A22" s="223" t="s">
        <v>358</v>
      </c>
      <c r="B22" s="377"/>
      <c r="C22" s="376" t="s">
        <v>707</v>
      </c>
      <c r="D22" s="376" t="s">
        <v>707</v>
      </c>
      <c r="E22" s="255"/>
      <c r="F22" s="376" t="s">
        <v>707</v>
      </c>
      <c r="H22" s="223" t="s">
        <v>358</v>
      </c>
      <c r="I22" s="288"/>
      <c r="J22" s="255"/>
      <c r="K22" s="434" t="s">
        <v>713</v>
      </c>
      <c r="L22" s="255"/>
      <c r="M22" s="288"/>
      <c r="O22" s="223" t="s">
        <v>358</v>
      </c>
      <c r="P22" s="255"/>
      <c r="Q22" s="255"/>
      <c r="R22" s="255"/>
      <c r="S22" s="255"/>
      <c r="T22" s="288"/>
      <c r="V22" s="223" t="s">
        <v>358</v>
      </c>
      <c r="W22" s="255"/>
      <c r="X22" s="364" t="s">
        <v>718</v>
      </c>
      <c r="Y22" s="364" t="s">
        <v>718</v>
      </c>
      <c r="Z22" s="255"/>
      <c r="AA22" s="255"/>
      <c r="AQ22" s="216" t="s">
        <v>774</v>
      </c>
    </row>
    <row r="23" spans="1:43" ht="35.1" customHeight="1" x14ac:dyDescent="0.35">
      <c r="AQ23" s="216" t="s">
        <v>775</v>
      </c>
    </row>
    <row r="24" spans="1:43" ht="35.1" customHeight="1" x14ac:dyDescent="0.35">
      <c r="AQ24" s="216" t="s">
        <v>776</v>
      </c>
    </row>
    <row r="25" spans="1:43" ht="35.1" customHeight="1" x14ac:dyDescent="0.35">
      <c r="AQ25" s="216" t="s">
        <v>777</v>
      </c>
    </row>
    <row r="26" spans="1:43" ht="90" customHeight="1" x14ac:dyDescent="0.35">
      <c r="AQ26" s="216" t="s">
        <v>778</v>
      </c>
    </row>
    <row r="27" spans="1:43" ht="35.1" customHeight="1" x14ac:dyDescent="0.35">
      <c r="AQ27" s="216" t="s">
        <v>779</v>
      </c>
    </row>
    <row r="28" spans="1:43" ht="77.25" customHeight="1" x14ac:dyDescent="0.35">
      <c r="A28" s="222"/>
      <c r="B28" s="222"/>
      <c r="AQ28" s="216" t="s">
        <v>780</v>
      </c>
    </row>
    <row r="29" spans="1:43" ht="140.25" customHeight="1" x14ac:dyDescent="0.35">
      <c r="AQ29" s="216" t="s">
        <v>781</v>
      </c>
    </row>
    <row r="30" spans="1:43" ht="140.25" customHeight="1" x14ac:dyDescent="0.35">
      <c r="AQ30" s="216" t="s">
        <v>782</v>
      </c>
    </row>
    <row r="31" spans="1:43" ht="168.75" customHeight="1" x14ac:dyDescent="0.35"/>
    <row r="32" spans="1:43" ht="171.75" customHeight="1" x14ac:dyDescent="0.35"/>
    <row r="33" ht="169.5" customHeight="1" x14ac:dyDescent="0.35"/>
    <row r="34" ht="141.75" customHeight="1" x14ac:dyDescent="0.35"/>
    <row r="35" ht="111.75" customHeight="1" x14ac:dyDescent="0.35"/>
    <row r="36" ht="89.25" customHeight="1" x14ac:dyDescent="0.35"/>
    <row r="37" ht="96.75" customHeight="1" x14ac:dyDescent="0.35"/>
    <row r="38" ht="87.75" customHeight="1" x14ac:dyDescent="0.35"/>
    <row r="39" ht="153.75" customHeight="1" x14ac:dyDescent="0.35"/>
    <row r="40" ht="111.75" customHeight="1" x14ac:dyDescent="0.35"/>
    <row r="41" ht="96.75" customHeight="1" x14ac:dyDescent="0.35"/>
    <row r="42" ht="66" customHeight="1" x14ac:dyDescent="0.35"/>
    <row r="43" ht="70.5" customHeight="1" x14ac:dyDescent="0.35"/>
    <row r="44" ht="35.1" customHeight="1" x14ac:dyDescent="0.35"/>
    <row r="45" ht="35.1" customHeight="1" x14ac:dyDescent="0.35"/>
    <row r="46" ht="35.1" customHeight="1" x14ac:dyDescent="0.35"/>
    <row r="47" ht="35.1" customHeight="1" x14ac:dyDescent="0.35"/>
    <row r="48" ht="35.1" customHeight="1" x14ac:dyDescent="0.35"/>
    <row r="49" ht="35.1" customHeight="1" x14ac:dyDescent="0.35"/>
    <row r="50" ht="35.1" customHeight="1" x14ac:dyDescent="0.35"/>
    <row r="51" ht="35.1" customHeight="1" x14ac:dyDescent="0.35"/>
    <row r="52" ht="35.1" customHeight="1" x14ac:dyDescent="0.35"/>
    <row r="53" ht="35.1" customHeight="1" x14ac:dyDescent="0.35"/>
    <row r="54" ht="35.1" customHeight="1" x14ac:dyDescent="0.35"/>
    <row r="55" ht="35.1" customHeight="1" x14ac:dyDescent="0.35"/>
    <row r="56" ht="35.1" customHeight="1" x14ac:dyDescent="0.35"/>
    <row r="57" ht="35.1" customHeight="1" x14ac:dyDescent="0.35"/>
    <row r="58" ht="35.1" customHeight="1" x14ac:dyDescent="0.35"/>
    <row r="59" ht="35.1" customHeight="1" x14ac:dyDescent="0.35"/>
    <row r="60" ht="35.1" customHeight="1" x14ac:dyDescent="0.35"/>
    <row r="61" ht="35.1" customHeight="1" x14ac:dyDescent="0.35"/>
    <row r="62" ht="35.1" customHeight="1" x14ac:dyDescent="0.35"/>
    <row r="63" ht="35.1" customHeight="1" x14ac:dyDescent="0.35"/>
    <row r="64" ht="35.1" customHeight="1" x14ac:dyDescent="0.35"/>
    <row r="65" ht="35.1" customHeight="1" x14ac:dyDescent="0.35"/>
    <row r="66" ht="35.1" customHeight="1" x14ac:dyDescent="0.35"/>
    <row r="67" ht="35.1" customHeight="1" x14ac:dyDescent="0.35"/>
    <row r="68" ht="35.1" customHeight="1" x14ac:dyDescent="0.35"/>
    <row r="69" ht="35.1" customHeight="1" x14ac:dyDescent="0.35"/>
    <row r="70" ht="35.1" customHeight="1" x14ac:dyDescent="0.35"/>
    <row r="71" ht="35.1" customHeight="1" x14ac:dyDescent="0.35"/>
    <row r="72" ht="35.1" customHeight="1" x14ac:dyDescent="0.35"/>
    <row r="73" ht="35.1" customHeight="1" x14ac:dyDescent="0.35"/>
    <row r="74" ht="35.1" customHeight="1" x14ac:dyDescent="0.35"/>
    <row r="75" ht="35.1" customHeight="1" x14ac:dyDescent="0.35"/>
    <row r="76" ht="35.1" customHeight="1" x14ac:dyDescent="0.35"/>
    <row r="77" ht="35.1" customHeight="1" x14ac:dyDescent="0.35"/>
    <row r="78" ht="35.1" customHeight="1" x14ac:dyDescent="0.35"/>
    <row r="79" ht="35.1" customHeight="1" x14ac:dyDescent="0.35"/>
    <row r="80" ht="35.1" customHeight="1" x14ac:dyDescent="0.35"/>
    <row r="81" ht="35.1" customHeight="1" x14ac:dyDescent="0.35"/>
    <row r="82" ht="35.1" customHeight="1" x14ac:dyDescent="0.35"/>
    <row r="83" ht="35.1" customHeight="1" x14ac:dyDescent="0.35"/>
    <row r="84" ht="35.1" customHeight="1" x14ac:dyDescent="0.35"/>
    <row r="85" ht="35.1" customHeight="1" x14ac:dyDescent="0.35"/>
    <row r="86" ht="35.1" customHeight="1" x14ac:dyDescent="0.35"/>
    <row r="87" ht="35.1" customHeight="1" x14ac:dyDescent="0.35"/>
    <row r="88" ht="35.1" customHeight="1" x14ac:dyDescent="0.35"/>
    <row r="89" ht="35.1" customHeight="1" x14ac:dyDescent="0.35"/>
    <row r="90" ht="35.1" customHeight="1" x14ac:dyDescent="0.35"/>
    <row r="91" ht="35.1" customHeight="1" x14ac:dyDescent="0.35"/>
    <row r="92" ht="35.1" customHeight="1" x14ac:dyDescent="0.35"/>
    <row r="93" ht="35.1" customHeight="1" x14ac:dyDescent="0.35"/>
    <row r="94" ht="35.1" customHeight="1" x14ac:dyDescent="0.35"/>
    <row r="95" ht="35.1" customHeight="1" x14ac:dyDescent="0.35"/>
    <row r="96" ht="35.1" customHeight="1" x14ac:dyDescent="0.35"/>
    <row r="97" ht="35.1" customHeight="1" x14ac:dyDescent="0.35"/>
    <row r="98" ht="35.1" customHeight="1" x14ac:dyDescent="0.35"/>
    <row r="99" ht="35.1" customHeight="1" x14ac:dyDescent="0.35"/>
    <row r="100" ht="35.1" customHeight="1" x14ac:dyDescent="0.35"/>
    <row r="101" ht="35.1" customHeight="1" x14ac:dyDescent="0.35"/>
    <row r="102" ht="35.1" customHeight="1" x14ac:dyDescent="0.35"/>
    <row r="103" ht="35.1" customHeight="1" x14ac:dyDescent="0.35"/>
    <row r="104" ht="35.1" customHeight="1" x14ac:dyDescent="0.35"/>
    <row r="105" ht="39.950000000000003" customHeight="1" x14ac:dyDescent="0.35"/>
    <row r="325" spans="1:13" ht="42" x14ac:dyDescent="0.35">
      <c r="A325" s="230" t="s">
        <v>719</v>
      </c>
      <c r="B325" s="231" t="s">
        <v>720</v>
      </c>
      <c r="C325" s="231" t="s">
        <v>721</v>
      </c>
      <c r="D325" s="231" t="s">
        <v>722</v>
      </c>
      <c r="E325" s="231"/>
      <c r="F325" s="231"/>
      <c r="H325" s="230" t="s">
        <v>723</v>
      </c>
      <c r="I325" s="231" t="s">
        <v>724</v>
      </c>
      <c r="J325" s="231" t="s">
        <v>725</v>
      </c>
      <c r="K325" s="231" t="s">
        <v>726</v>
      </c>
      <c r="L325" s="231"/>
      <c r="M325" s="231"/>
    </row>
    <row r="326" spans="1:13" x14ac:dyDescent="0.35">
      <c r="A326" s="220"/>
      <c r="B326" s="221" t="s">
        <v>153</v>
      </c>
      <c r="C326" s="221" t="s">
        <v>154</v>
      </c>
      <c r="D326" s="221" t="s">
        <v>155</v>
      </c>
      <c r="E326" s="221" t="s">
        <v>156</v>
      </c>
      <c r="F326" s="221" t="s">
        <v>157</v>
      </c>
      <c r="H326" s="220"/>
      <c r="I326" s="221" t="s">
        <v>153</v>
      </c>
      <c r="J326" s="221" t="s">
        <v>154</v>
      </c>
      <c r="K326" s="221" t="s">
        <v>155</v>
      </c>
      <c r="L326" s="221" t="s">
        <v>156</v>
      </c>
      <c r="M326" s="221" t="s">
        <v>157</v>
      </c>
    </row>
    <row r="327" spans="1:13" ht="105" x14ac:dyDescent="0.35">
      <c r="A327" s="223" t="s">
        <v>343</v>
      </c>
      <c r="B327" s="246" t="s">
        <v>727</v>
      </c>
      <c r="C327" s="225"/>
      <c r="D327" s="232"/>
      <c r="E327" s="225"/>
      <c r="F327" s="233" t="s">
        <v>728</v>
      </c>
      <c r="H327" s="223" t="s">
        <v>343</v>
      </c>
      <c r="I327" s="229"/>
      <c r="J327" s="224" t="s">
        <v>729</v>
      </c>
      <c r="K327" s="226"/>
      <c r="L327" s="248" t="s">
        <v>730</v>
      </c>
      <c r="M327" s="225"/>
    </row>
    <row r="328" spans="1:13" ht="126" x14ac:dyDescent="0.35">
      <c r="A328" s="223" t="s">
        <v>349</v>
      </c>
      <c r="B328" s="246" t="s">
        <v>727</v>
      </c>
      <c r="C328" s="225"/>
      <c r="D328" s="232"/>
      <c r="E328" s="225"/>
      <c r="F328" s="233" t="s">
        <v>728</v>
      </c>
      <c r="H328" s="223" t="s">
        <v>349</v>
      </c>
      <c r="I328" s="229"/>
      <c r="J328" s="224" t="s">
        <v>729</v>
      </c>
      <c r="K328" s="226"/>
      <c r="L328" s="248" t="s">
        <v>731</v>
      </c>
      <c r="M328" s="225"/>
    </row>
    <row r="329" spans="1:13" ht="126" x14ac:dyDescent="0.35">
      <c r="A329" s="223" t="s">
        <v>305</v>
      </c>
      <c r="B329" s="247" t="s">
        <v>732</v>
      </c>
      <c r="C329" s="225"/>
      <c r="D329" s="232"/>
      <c r="E329" s="234" t="s">
        <v>733</v>
      </c>
      <c r="F329" s="233" t="s">
        <v>728</v>
      </c>
      <c r="H329" s="223" t="s">
        <v>305</v>
      </c>
      <c r="I329" s="229"/>
      <c r="J329" s="224" t="s">
        <v>729</v>
      </c>
      <c r="K329" s="225"/>
      <c r="L329" s="248" t="s">
        <v>731</v>
      </c>
      <c r="M329" s="225"/>
    </row>
    <row r="330" spans="1:13" ht="189" x14ac:dyDescent="0.35">
      <c r="A330" s="223" t="s">
        <v>308</v>
      </c>
      <c r="B330" s="247" t="s">
        <v>734</v>
      </c>
      <c r="C330" s="225"/>
      <c r="D330" s="232"/>
      <c r="E330" s="234" t="s">
        <v>733</v>
      </c>
      <c r="F330" s="233" t="s">
        <v>728</v>
      </c>
      <c r="H330" s="223" t="s">
        <v>308</v>
      </c>
      <c r="I330" s="229"/>
      <c r="J330" s="224" t="s">
        <v>729</v>
      </c>
      <c r="K330" s="225"/>
      <c r="L330" s="248" t="s">
        <v>731</v>
      </c>
      <c r="M330" s="225"/>
    </row>
    <row r="331" spans="1:13" ht="189" x14ac:dyDescent="0.35">
      <c r="A331" s="223" t="s">
        <v>310</v>
      </c>
      <c r="B331" s="227" t="s">
        <v>734</v>
      </c>
      <c r="C331" s="235" t="s">
        <v>735</v>
      </c>
      <c r="D331" s="232"/>
      <c r="E331" s="224" t="s">
        <v>736</v>
      </c>
      <c r="F331" s="233" t="s">
        <v>728</v>
      </c>
      <c r="H331" s="223" t="s">
        <v>310</v>
      </c>
      <c r="I331" s="224" t="s">
        <v>737</v>
      </c>
      <c r="J331" s="236" t="s">
        <v>738</v>
      </c>
      <c r="K331" s="235" t="s">
        <v>739</v>
      </c>
      <c r="L331" s="248" t="s">
        <v>740</v>
      </c>
      <c r="M331" s="224" t="s">
        <v>741</v>
      </c>
    </row>
    <row r="332" spans="1:13" ht="189" x14ac:dyDescent="0.35">
      <c r="A332" s="223" t="s">
        <v>312</v>
      </c>
      <c r="B332" s="227" t="s">
        <v>734</v>
      </c>
      <c r="C332" s="235" t="s">
        <v>735</v>
      </c>
      <c r="D332" s="232"/>
      <c r="E332" s="224" t="s">
        <v>736</v>
      </c>
      <c r="F332" s="225"/>
      <c r="H332" s="223" t="s">
        <v>312</v>
      </c>
      <c r="I332" s="224" t="s">
        <v>737</v>
      </c>
      <c r="J332" s="236" t="s">
        <v>738</v>
      </c>
      <c r="K332" s="235" t="s">
        <v>739</v>
      </c>
      <c r="L332" s="248" t="s">
        <v>740</v>
      </c>
      <c r="M332" s="224" t="s">
        <v>741</v>
      </c>
    </row>
    <row r="333" spans="1:13" ht="189" x14ac:dyDescent="0.35">
      <c r="A333" s="223" t="s">
        <v>315</v>
      </c>
      <c r="B333" s="224" t="s">
        <v>742</v>
      </c>
      <c r="C333" s="235" t="s">
        <v>735</v>
      </c>
      <c r="D333" s="232"/>
      <c r="E333" s="225"/>
      <c r="F333" s="225"/>
      <c r="H333" s="223" t="s">
        <v>315</v>
      </c>
      <c r="I333" s="229"/>
      <c r="J333" s="236" t="s">
        <v>738</v>
      </c>
      <c r="K333" s="235" t="s">
        <v>739</v>
      </c>
      <c r="L333" s="248" t="s">
        <v>740</v>
      </c>
      <c r="M333" s="224" t="s">
        <v>743</v>
      </c>
    </row>
    <row r="334" spans="1:13" ht="189" x14ac:dyDescent="0.35">
      <c r="A334" s="223" t="s">
        <v>352</v>
      </c>
      <c r="B334" s="224" t="s">
        <v>742</v>
      </c>
      <c r="C334" s="235" t="s">
        <v>735</v>
      </c>
      <c r="D334" s="224" t="s">
        <v>744</v>
      </c>
      <c r="E334" s="225"/>
      <c r="F334" s="228" t="s">
        <v>370</v>
      </c>
      <c r="H334" s="223" t="s">
        <v>352</v>
      </c>
      <c r="I334" s="229"/>
      <c r="J334" s="236" t="s">
        <v>738</v>
      </c>
      <c r="K334" s="235" t="s">
        <v>739</v>
      </c>
      <c r="L334" s="248" t="s">
        <v>740</v>
      </c>
      <c r="M334" s="224" t="s">
        <v>743</v>
      </c>
    </row>
    <row r="335" spans="1:13" x14ac:dyDescent="0.35">
      <c r="A335" s="223" t="s">
        <v>353</v>
      </c>
      <c r="B335" s="513" t="s">
        <v>354</v>
      </c>
      <c r="C335" s="513"/>
      <c r="D335" s="513"/>
      <c r="E335" s="513"/>
      <c r="F335" s="513"/>
      <c r="H335" s="223" t="s">
        <v>353</v>
      </c>
      <c r="I335" s="513" t="s">
        <v>354</v>
      </c>
      <c r="J335" s="513"/>
      <c r="K335" s="513"/>
      <c r="L335" s="513"/>
      <c r="M335" s="513"/>
    </row>
    <row r="336" spans="1:13" x14ac:dyDescent="0.35">
      <c r="A336" s="223" t="s">
        <v>355</v>
      </c>
      <c r="B336" s="513"/>
      <c r="C336" s="513"/>
      <c r="D336" s="513"/>
      <c r="E336" s="513"/>
      <c r="F336" s="513"/>
      <c r="H336" s="223" t="s">
        <v>355</v>
      </c>
      <c r="I336" s="513"/>
      <c r="J336" s="513"/>
      <c r="K336" s="513"/>
      <c r="L336" s="513"/>
      <c r="M336" s="513"/>
    </row>
    <row r="337" spans="1:13" ht="63" x14ac:dyDescent="0.35">
      <c r="A337" s="223" t="s">
        <v>318</v>
      </c>
      <c r="B337" s="226"/>
      <c r="C337" s="225"/>
      <c r="D337" s="232"/>
      <c r="E337" s="220"/>
      <c r="F337" s="237"/>
      <c r="H337" s="223" t="s">
        <v>318</v>
      </c>
      <c r="I337" s="224" t="s">
        <v>745</v>
      </c>
      <c r="J337" s="224" t="s">
        <v>746</v>
      </c>
      <c r="K337" s="225"/>
      <c r="L337" s="225"/>
      <c r="M337" s="225"/>
    </row>
    <row r="338" spans="1:13" ht="84" x14ac:dyDescent="0.35">
      <c r="A338" s="223" t="s">
        <v>321</v>
      </c>
      <c r="B338" s="226"/>
      <c r="C338" s="225"/>
      <c r="D338" s="232"/>
      <c r="E338" s="226"/>
      <c r="F338" s="237"/>
      <c r="H338" s="223" t="s">
        <v>321</v>
      </c>
      <c r="I338" s="224" t="s">
        <v>745</v>
      </c>
      <c r="J338" s="224" t="s">
        <v>746</v>
      </c>
      <c r="K338" s="224" t="s">
        <v>747</v>
      </c>
      <c r="L338" s="225" t="s">
        <v>500</v>
      </c>
      <c r="M338" s="225"/>
    </row>
    <row r="339" spans="1:13" ht="63" x14ac:dyDescent="0.35">
      <c r="A339" s="223" t="s">
        <v>324</v>
      </c>
      <c r="B339" s="226"/>
      <c r="C339" s="226"/>
      <c r="D339" s="232"/>
      <c r="E339" s="224" t="s">
        <v>742</v>
      </c>
      <c r="F339" s="225"/>
      <c r="H339" s="223" t="s">
        <v>324</v>
      </c>
      <c r="I339" s="224" t="s">
        <v>745</v>
      </c>
      <c r="J339" s="224" t="s">
        <v>748</v>
      </c>
      <c r="K339" s="224" t="s">
        <v>749</v>
      </c>
      <c r="L339" s="225"/>
      <c r="M339" s="225"/>
    </row>
    <row r="340" spans="1:13" ht="63" x14ac:dyDescent="0.35">
      <c r="A340" s="223" t="s">
        <v>325</v>
      </c>
      <c r="B340" s="226"/>
      <c r="C340" s="226"/>
      <c r="D340" s="232"/>
      <c r="E340" s="224" t="s">
        <v>742</v>
      </c>
      <c r="F340" s="225"/>
      <c r="H340" s="223" t="s">
        <v>325</v>
      </c>
      <c r="I340" s="224" t="s">
        <v>745</v>
      </c>
      <c r="J340" s="224" t="s">
        <v>748</v>
      </c>
      <c r="K340" s="224" t="s">
        <v>749</v>
      </c>
      <c r="L340" s="225"/>
      <c r="M340" s="225"/>
    </row>
    <row r="341" spans="1:13" ht="42" x14ac:dyDescent="0.35">
      <c r="A341" s="223" t="s">
        <v>357</v>
      </c>
      <c r="B341" s="225"/>
      <c r="C341" s="238" t="s">
        <v>750</v>
      </c>
      <c r="D341" s="224" t="s">
        <v>751</v>
      </c>
      <c r="E341" s="226"/>
      <c r="F341" s="225"/>
      <c r="H341" s="223" t="s">
        <v>357</v>
      </c>
      <c r="I341" s="224" t="s">
        <v>752</v>
      </c>
      <c r="J341" s="226"/>
      <c r="K341" s="226"/>
      <c r="L341" s="224" t="s">
        <v>753</v>
      </c>
      <c r="M341" s="225"/>
    </row>
    <row r="342" spans="1:13" x14ac:dyDescent="0.35">
      <c r="A342" s="223" t="s">
        <v>358</v>
      </c>
      <c r="B342" s="220"/>
      <c r="C342" s="238" t="s">
        <v>750</v>
      </c>
      <c r="D342" s="220"/>
      <c r="E342" s="220"/>
      <c r="F342" s="220"/>
      <c r="H342" s="223" t="s">
        <v>358</v>
      </c>
      <c r="I342" s="224" t="s">
        <v>752</v>
      </c>
      <c r="J342" s="226"/>
      <c r="K342" s="228"/>
      <c r="L342" s="224" t="s">
        <v>753</v>
      </c>
      <c r="M342" s="225"/>
    </row>
    <row r="347" spans="1:13" x14ac:dyDescent="0.35">
      <c r="A347" s="239" t="s">
        <v>754</v>
      </c>
      <c r="B347" s="240" t="s">
        <v>361</v>
      </c>
      <c r="C347" s="240" t="s">
        <v>362</v>
      </c>
      <c r="D347" s="240" t="s">
        <v>339</v>
      </c>
      <c r="E347" s="240"/>
      <c r="F347" s="240"/>
    </row>
    <row r="348" spans="1:13" x14ac:dyDescent="0.35">
      <c r="A348" s="220"/>
      <c r="B348" s="221" t="s">
        <v>153</v>
      </c>
      <c r="C348" s="221" t="s">
        <v>154</v>
      </c>
      <c r="D348" s="221" t="s">
        <v>155</v>
      </c>
      <c r="E348" s="221" t="s">
        <v>156</v>
      </c>
      <c r="F348" s="221" t="s">
        <v>157</v>
      </c>
    </row>
    <row r="349" spans="1:13" x14ac:dyDescent="0.35">
      <c r="A349" s="223" t="s">
        <v>343</v>
      </c>
      <c r="B349" s="232"/>
      <c r="C349" s="241" t="s">
        <v>755</v>
      </c>
      <c r="D349" s="241" t="s">
        <v>755</v>
      </c>
      <c r="E349" s="241" t="s">
        <v>755</v>
      </c>
      <c r="F349" s="225"/>
    </row>
    <row r="350" spans="1:13" x14ac:dyDescent="0.35">
      <c r="A350" s="223" t="s">
        <v>349</v>
      </c>
      <c r="B350" s="232"/>
      <c r="C350" s="241" t="s">
        <v>755</v>
      </c>
      <c r="D350" s="241" t="s">
        <v>755</v>
      </c>
      <c r="E350" s="241" t="s">
        <v>755</v>
      </c>
      <c r="F350" s="232"/>
    </row>
    <row r="351" spans="1:13" x14ac:dyDescent="0.35">
      <c r="A351" s="223" t="s">
        <v>305</v>
      </c>
      <c r="B351" s="232"/>
      <c r="C351" s="241" t="s">
        <v>755</v>
      </c>
      <c r="D351" s="241" t="s">
        <v>755</v>
      </c>
      <c r="E351" s="241" t="s">
        <v>755</v>
      </c>
      <c r="F351" s="232"/>
    </row>
    <row r="352" spans="1:13" x14ac:dyDescent="0.35">
      <c r="A352" s="223" t="s">
        <v>308</v>
      </c>
      <c r="B352" s="232"/>
      <c r="C352" s="241" t="s">
        <v>755</v>
      </c>
      <c r="D352" s="241" t="s">
        <v>755</v>
      </c>
      <c r="E352" s="241" t="s">
        <v>755</v>
      </c>
      <c r="F352" s="232"/>
    </row>
    <row r="353" spans="1:6" x14ac:dyDescent="0.35">
      <c r="A353" s="223" t="s">
        <v>310</v>
      </c>
      <c r="B353" s="232"/>
      <c r="C353" s="241" t="s">
        <v>755</v>
      </c>
      <c r="D353" s="241" t="s">
        <v>755</v>
      </c>
      <c r="E353" s="241" t="s">
        <v>755</v>
      </c>
      <c r="F353" s="232"/>
    </row>
    <row r="354" spans="1:6" x14ac:dyDescent="0.35">
      <c r="A354" s="223" t="s">
        <v>312</v>
      </c>
      <c r="B354" s="232"/>
      <c r="C354" s="241" t="s">
        <v>755</v>
      </c>
      <c r="D354" s="241" t="s">
        <v>755</v>
      </c>
      <c r="E354" s="241" t="s">
        <v>755</v>
      </c>
      <c r="F354" s="232"/>
    </row>
    <row r="355" spans="1:6" x14ac:dyDescent="0.35">
      <c r="A355" s="223" t="s">
        <v>315</v>
      </c>
      <c r="B355" s="232"/>
      <c r="C355" s="241" t="s">
        <v>755</v>
      </c>
      <c r="D355" s="241" t="s">
        <v>755</v>
      </c>
      <c r="E355" s="241" t="s">
        <v>755</v>
      </c>
      <c r="F355" s="232"/>
    </row>
    <row r="356" spans="1:6" x14ac:dyDescent="0.35">
      <c r="A356" s="223" t="s">
        <v>352</v>
      </c>
      <c r="B356" s="220"/>
      <c r="C356" s="220"/>
      <c r="D356" s="220"/>
      <c r="E356" s="220"/>
      <c r="F356" s="220"/>
    </row>
    <row r="357" spans="1:6" x14ac:dyDescent="0.35">
      <c r="A357" s="223" t="s">
        <v>353</v>
      </c>
      <c r="B357" s="513" t="s">
        <v>354</v>
      </c>
      <c r="C357" s="513"/>
      <c r="D357" s="513"/>
      <c r="E357" s="513"/>
      <c r="F357" s="513"/>
    </row>
    <row r="358" spans="1:6" x14ac:dyDescent="0.35">
      <c r="A358" s="223" t="s">
        <v>355</v>
      </c>
      <c r="B358" s="513"/>
      <c r="C358" s="513"/>
      <c r="D358" s="513"/>
      <c r="E358" s="513"/>
      <c r="F358" s="513"/>
    </row>
    <row r="359" spans="1:6" x14ac:dyDescent="0.35">
      <c r="A359" s="223" t="s">
        <v>318</v>
      </c>
      <c r="B359" s="232"/>
      <c r="C359" s="241" t="s">
        <v>755</v>
      </c>
      <c r="D359" s="241" t="s">
        <v>755</v>
      </c>
      <c r="E359" s="241" t="s">
        <v>755</v>
      </c>
      <c r="F359" s="225"/>
    </row>
    <row r="360" spans="1:6" x14ac:dyDescent="0.35">
      <c r="A360" s="223" t="s">
        <v>321</v>
      </c>
      <c r="B360" s="232"/>
      <c r="C360" s="241" t="s">
        <v>755</v>
      </c>
      <c r="D360" s="241" t="s">
        <v>755</v>
      </c>
      <c r="E360" s="241" t="s">
        <v>755</v>
      </c>
      <c r="F360" s="225"/>
    </row>
    <row r="361" spans="1:6" x14ac:dyDescent="0.35">
      <c r="A361" s="223" t="s">
        <v>324</v>
      </c>
      <c r="B361" s="232"/>
      <c r="C361" s="241" t="s">
        <v>755</v>
      </c>
      <c r="D361" s="241" t="s">
        <v>755</v>
      </c>
      <c r="E361" s="241" t="s">
        <v>755</v>
      </c>
      <c r="F361" s="225"/>
    </row>
    <row r="362" spans="1:6" x14ac:dyDescent="0.35">
      <c r="A362" s="223" t="s">
        <v>325</v>
      </c>
      <c r="B362" s="232"/>
      <c r="C362" s="241" t="s">
        <v>755</v>
      </c>
      <c r="D362" s="241" t="s">
        <v>755</v>
      </c>
      <c r="E362" s="241" t="s">
        <v>755</v>
      </c>
      <c r="F362" s="225"/>
    </row>
    <row r="363" spans="1:6" x14ac:dyDescent="0.35">
      <c r="A363" s="223" t="s">
        <v>357</v>
      </c>
      <c r="B363" s="232"/>
      <c r="C363" s="241" t="s">
        <v>755</v>
      </c>
      <c r="D363" s="241" t="s">
        <v>755</v>
      </c>
      <c r="E363" s="241" t="s">
        <v>755</v>
      </c>
      <c r="F363" s="225"/>
    </row>
    <row r="364" spans="1:6" x14ac:dyDescent="0.35">
      <c r="A364" s="223" t="s">
        <v>358</v>
      </c>
      <c r="B364" s="232"/>
      <c r="C364" s="241" t="s">
        <v>755</v>
      </c>
      <c r="D364" s="241" t="s">
        <v>755</v>
      </c>
      <c r="E364" s="241" t="s">
        <v>755</v>
      </c>
      <c r="F364" s="225"/>
    </row>
    <row r="365" spans="1:6" x14ac:dyDescent="0.35">
      <c r="D365" s="249"/>
    </row>
  </sheetData>
  <mergeCells count="9">
    <mergeCell ref="W15:AA16"/>
    <mergeCell ref="B335:F336"/>
    <mergeCell ref="I335:M336"/>
    <mergeCell ref="B357:F358"/>
    <mergeCell ref="B1:C1"/>
    <mergeCell ref="G2:J2"/>
    <mergeCell ref="B15:F16"/>
    <mergeCell ref="I15:M16"/>
    <mergeCell ref="P15:T16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8752A-C2EE-4FD7-8CD2-C192BC3A5763}">
  <sheetPr codeName="Sheet11">
    <pageSetUpPr fitToPage="1"/>
  </sheetPr>
  <dimension ref="A1:AO145"/>
  <sheetViews>
    <sheetView topLeftCell="A4" zoomScale="85" zoomScaleNormal="85" workbookViewId="0">
      <selection activeCell="F22" sqref="A6:F22"/>
    </sheetView>
  </sheetViews>
  <sheetFormatPr defaultRowHeight="15" x14ac:dyDescent="0.25"/>
  <cols>
    <col min="1" max="1" width="15.7109375" customWidth="1"/>
    <col min="2" max="2" width="35.7109375" customWidth="1"/>
    <col min="3" max="3" width="21.42578125" customWidth="1"/>
    <col min="4" max="4" width="27.5703125" customWidth="1"/>
    <col min="5" max="5" width="21" customWidth="1"/>
    <col min="6" max="6" width="19.85546875" customWidth="1"/>
    <col min="7" max="7" width="20" customWidth="1"/>
    <col min="8" max="8" width="15.7109375" customWidth="1"/>
    <col min="9" max="9" width="22.42578125" customWidth="1"/>
    <col min="10" max="10" width="22.7109375" customWidth="1"/>
    <col min="11" max="11" width="20.28515625" customWidth="1"/>
    <col min="12" max="12" width="20.140625" customWidth="1"/>
    <col min="13" max="13" width="22.140625" customWidth="1"/>
    <col min="14" max="15" width="15.7109375" customWidth="1"/>
    <col min="16" max="16" width="32.28515625" customWidth="1"/>
    <col min="17" max="17" width="38" customWidth="1"/>
    <col min="18" max="18" width="32" customWidth="1"/>
    <col min="19" max="19" width="41.140625" customWidth="1"/>
    <col min="20" max="20" width="28.28515625" customWidth="1"/>
    <col min="21" max="22" width="15.7109375" customWidth="1"/>
    <col min="23" max="23" width="29.7109375" customWidth="1"/>
    <col min="24" max="24" width="32.85546875" customWidth="1"/>
    <col min="25" max="25" width="34" customWidth="1"/>
    <col min="26" max="26" width="37.28515625" customWidth="1"/>
    <col min="27" max="27" width="43" customWidth="1"/>
    <col min="28" max="40" width="15.7109375" customWidth="1"/>
    <col min="41" max="41" width="82.28515625" customWidth="1"/>
    <col min="42" max="153" width="15.7109375" customWidth="1"/>
  </cols>
  <sheetData>
    <row r="1" spans="1:41" ht="35.1" customHeight="1" x14ac:dyDescent="0.5">
      <c r="A1" s="459" t="s">
        <v>326</v>
      </c>
      <c r="B1" s="609" t="s">
        <v>783</v>
      </c>
      <c r="C1" s="609"/>
      <c r="D1" s="427"/>
      <c r="E1" s="427"/>
      <c r="F1" s="460" t="s">
        <v>328</v>
      </c>
      <c r="G1" s="468" t="s">
        <v>784</v>
      </c>
      <c r="H1" s="468"/>
      <c r="I1" s="468"/>
      <c r="J1" s="468"/>
      <c r="K1" s="468"/>
      <c r="L1" s="461" t="s">
        <v>785</v>
      </c>
      <c r="M1" s="468" t="s">
        <v>786</v>
      </c>
      <c r="N1" s="427"/>
      <c r="O1" s="427"/>
      <c r="P1" s="427"/>
      <c r="Q1" s="202"/>
    </row>
    <row r="2" spans="1:41" ht="35.1" customHeight="1" x14ac:dyDescent="0.4">
      <c r="A2" s="462" t="s">
        <v>331</v>
      </c>
      <c r="B2" s="492" t="s">
        <v>787</v>
      </c>
      <c r="C2" s="492"/>
      <c r="D2" s="463"/>
      <c r="E2" s="427"/>
      <c r="F2" s="427"/>
      <c r="G2" s="609" t="s">
        <v>788</v>
      </c>
      <c r="H2" s="609"/>
      <c r="I2" s="609"/>
      <c r="J2" s="464"/>
      <c r="K2" s="464"/>
      <c r="L2" s="464"/>
      <c r="M2" s="610" t="s">
        <v>789</v>
      </c>
      <c r="N2" s="610"/>
      <c r="O2" s="610"/>
      <c r="P2" s="610"/>
      <c r="AO2" s="453" t="s">
        <v>373</v>
      </c>
    </row>
    <row r="3" spans="1:41" ht="35.1" customHeight="1" x14ac:dyDescent="0.25"/>
    <row r="4" spans="1:41" ht="35.1" customHeight="1" x14ac:dyDescent="0.25">
      <c r="E4" s="268"/>
      <c r="F4" s="268"/>
      <c r="Q4" s="479"/>
      <c r="AO4" t="s">
        <v>790</v>
      </c>
    </row>
    <row r="5" spans="1:41" ht="35.1" customHeight="1" x14ac:dyDescent="0.25">
      <c r="A5" s="115" t="s">
        <v>791</v>
      </c>
      <c r="B5" s="115" t="s">
        <v>792</v>
      </c>
      <c r="C5" s="115" t="s">
        <v>793</v>
      </c>
      <c r="D5" s="115" t="s">
        <v>794</v>
      </c>
      <c r="E5" s="115"/>
      <c r="F5" s="115"/>
      <c r="H5" s="115" t="s">
        <v>545</v>
      </c>
      <c r="I5" s="115" t="s">
        <v>795</v>
      </c>
      <c r="J5" s="115" t="s">
        <v>796</v>
      </c>
      <c r="K5" s="115" t="s">
        <v>797</v>
      </c>
      <c r="L5" s="115"/>
      <c r="M5" s="115"/>
      <c r="O5" s="115" t="s">
        <v>537</v>
      </c>
      <c r="P5" s="115" t="s">
        <v>798</v>
      </c>
      <c r="Q5" s="115" t="s">
        <v>799</v>
      </c>
      <c r="R5" s="115" t="s">
        <v>800</v>
      </c>
      <c r="S5" s="115"/>
      <c r="T5" s="115"/>
      <c r="V5" s="115" t="s">
        <v>541</v>
      </c>
      <c r="W5" s="115" t="s">
        <v>801</v>
      </c>
      <c r="X5" s="115" t="s">
        <v>802</v>
      </c>
      <c r="Y5" s="115" t="s">
        <v>339</v>
      </c>
      <c r="Z5" s="115"/>
      <c r="AA5" s="115"/>
      <c r="AO5" t="s">
        <v>803</v>
      </c>
    </row>
    <row r="6" spans="1:41" ht="35.1" customHeight="1" x14ac:dyDescent="0.3">
      <c r="A6" s="116"/>
      <c r="B6" s="117" t="s">
        <v>153</v>
      </c>
      <c r="C6" s="122" t="s">
        <v>154</v>
      </c>
      <c r="D6" s="122" t="s">
        <v>155</v>
      </c>
      <c r="E6" s="122" t="s">
        <v>156</v>
      </c>
      <c r="F6" s="122" t="s">
        <v>157</v>
      </c>
      <c r="H6" s="116"/>
      <c r="I6" s="117" t="s">
        <v>153</v>
      </c>
      <c r="J6" s="122" t="s">
        <v>154</v>
      </c>
      <c r="K6" s="122" t="s">
        <v>155</v>
      </c>
      <c r="L6" s="122" t="s">
        <v>156</v>
      </c>
      <c r="M6" s="122" t="s">
        <v>157</v>
      </c>
      <c r="N6" s="112"/>
      <c r="O6" s="116"/>
      <c r="P6" s="117" t="s">
        <v>153</v>
      </c>
      <c r="Q6" s="122" t="s">
        <v>154</v>
      </c>
      <c r="R6" s="122" t="s">
        <v>155</v>
      </c>
      <c r="S6" s="122" t="s">
        <v>156</v>
      </c>
      <c r="T6" s="122" t="s">
        <v>157</v>
      </c>
      <c r="U6" s="112"/>
      <c r="V6" s="116"/>
      <c r="W6" s="117" t="s">
        <v>153</v>
      </c>
      <c r="X6" s="122" t="s">
        <v>154</v>
      </c>
      <c r="Y6" s="122" t="s">
        <v>155</v>
      </c>
      <c r="Z6" s="122" t="s">
        <v>156</v>
      </c>
      <c r="AA6" s="122" t="s">
        <v>157</v>
      </c>
      <c r="AB6" s="112"/>
      <c r="AC6" s="112"/>
      <c r="AD6" s="112"/>
      <c r="AO6" t="s">
        <v>804</v>
      </c>
    </row>
    <row r="7" spans="1:41" ht="35.1" customHeight="1" x14ac:dyDescent="0.35">
      <c r="A7" s="118" t="s">
        <v>343</v>
      </c>
      <c r="B7" s="417" t="s">
        <v>381</v>
      </c>
      <c r="C7" s="288"/>
      <c r="D7" s="391"/>
      <c r="E7" s="288"/>
      <c r="F7" s="391"/>
      <c r="H7" s="118" t="s">
        <v>343</v>
      </c>
      <c r="I7" s="263" t="s">
        <v>805</v>
      </c>
      <c r="J7" s="263" t="s">
        <v>805</v>
      </c>
      <c r="K7" s="209"/>
      <c r="L7" s="213"/>
      <c r="M7" s="209"/>
      <c r="O7" s="118" t="s">
        <v>343</v>
      </c>
      <c r="P7" s="263" t="s">
        <v>711</v>
      </c>
      <c r="Q7" s="288"/>
      <c r="R7" s="225"/>
      <c r="S7" s="442" t="s">
        <v>380</v>
      </c>
      <c r="T7" s="226"/>
      <c r="V7" s="118" t="s">
        <v>343</v>
      </c>
      <c r="W7" s="288"/>
      <c r="X7" s="288"/>
      <c r="Y7" s="288"/>
      <c r="Z7" s="417" t="s">
        <v>381</v>
      </c>
      <c r="AA7" s="225"/>
      <c r="AO7" t="s">
        <v>806</v>
      </c>
    </row>
    <row r="8" spans="1:41" ht="43.5" customHeight="1" x14ac:dyDescent="0.35">
      <c r="A8" s="118" t="s">
        <v>349</v>
      </c>
      <c r="B8" s="391"/>
      <c r="C8" s="263" t="s">
        <v>807</v>
      </c>
      <c r="D8" s="391"/>
      <c r="E8" s="288"/>
      <c r="F8" s="392"/>
      <c r="H8" s="118" t="s">
        <v>349</v>
      </c>
      <c r="I8" s="263" t="s">
        <v>805</v>
      </c>
      <c r="J8" s="263" t="s">
        <v>805</v>
      </c>
      <c r="K8" s="209"/>
      <c r="L8" s="213"/>
      <c r="M8" s="187"/>
      <c r="O8" s="118" t="s">
        <v>349</v>
      </c>
      <c r="P8" s="263" t="s">
        <v>711</v>
      </c>
      <c r="Q8" s="263" t="s">
        <v>808</v>
      </c>
      <c r="R8" s="225"/>
      <c r="S8" s="288"/>
      <c r="T8" s="220"/>
      <c r="V8" s="118" t="s">
        <v>349</v>
      </c>
      <c r="W8" s="263" t="s">
        <v>809</v>
      </c>
      <c r="X8" s="288"/>
      <c r="Y8" s="263" t="s">
        <v>809</v>
      </c>
      <c r="Z8" s="391"/>
      <c r="AA8" s="417" t="s">
        <v>381</v>
      </c>
      <c r="AO8" t="s">
        <v>810</v>
      </c>
    </row>
    <row r="9" spans="1:41" ht="35.1" customHeight="1" x14ac:dyDescent="0.35">
      <c r="A9" s="118" t="s">
        <v>305</v>
      </c>
      <c r="B9" s="391"/>
      <c r="C9" s="263" t="s">
        <v>807</v>
      </c>
      <c r="D9" s="391"/>
      <c r="E9" s="288"/>
      <c r="F9" s="288"/>
      <c r="H9" s="118" t="s">
        <v>305</v>
      </c>
      <c r="I9" s="263" t="s">
        <v>805</v>
      </c>
      <c r="J9" s="263" t="s">
        <v>805</v>
      </c>
      <c r="K9" s="209"/>
      <c r="L9" s="213"/>
      <c r="M9" s="213"/>
      <c r="O9" s="118" t="s">
        <v>305</v>
      </c>
      <c r="P9" s="225"/>
      <c r="Q9" s="263" t="s">
        <v>808</v>
      </c>
      <c r="R9" s="225"/>
      <c r="S9" s="288"/>
      <c r="T9" s="442" t="s">
        <v>380</v>
      </c>
      <c r="V9" s="118" t="s">
        <v>305</v>
      </c>
      <c r="W9" s="263" t="s">
        <v>809</v>
      </c>
      <c r="X9" s="288"/>
      <c r="Y9" s="263" t="s">
        <v>809</v>
      </c>
      <c r="Z9" s="391"/>
      <c r="AA9" s="391"/>
      <c r="AO9" t="s">
        <v>811</v>
      </c>
    </row>
    <row r="10" spans="1:41" ht="35.1" customHeight="1" x14ac:dyDescent="0.35">
      <c r="A10" s="118" t="s">
        <v>308</v>
      </c>
      <c r="B10" s="417" t="s">
        <v>381</v>
      </c>
      <c r="C10" s="263" t="s">
        <v>807</v>
      </c>
      <c r="D10" s="391"/>
      <c r="E10" s="288"/>
      <c r="F10" s="288"/>
      <c r="H10" s="118" t="s">
        <v>308</v>
      </c>
      <c r="I10" s="263" t="s">
        <v>805</v>
      </c>
      <c r="J10" s="263" t="s">
        <v>805</v>
      </c>
      <c r="K10" s="209"/>
      <c r="L10" s="213"/>
      <c r="M10" s="213"/>
      <c r="O10" s="118" t="s">
        <v>308</v>
      </c>
      <c r="P10" s="225"/>
      <c r="Q10" s="263" t="s">
        <v>808</v>
      </c>
      <c r="R10" s="225"/>
      <c r="S10" s="288"/>
      <c r="T10" s="288"/>
      <c r="V10" s="118" t="s">
        <v>308</v>
      </c>
      <c r="W10" s="263" t="s">
        <v>809</v>
      </c>
      <c r="X10" s="288"/>
      <c r="Y10" s="263" t="s">
        <v>809</v>
      </c>
      <c r="Z10" s="417" t="s">
        <v>381</v>
      </c>
      <c r="AA10" s="225"/>
      <c r="AO10" t="s">
        <v>812</v>
      </c>
    </row>
    <row r="11" spans="1:41" ht="35.1" customHeight="1" x14ac:dyDescent="0.35">
      <c r="A11" s="118" t="s">
        <v>310</v>
      </c>
      <c r="B11" s="391"/>
      <c r="C11" s="288"/>
      <c r="D11" s="391"/>
      <c r="E11" s="288"/>
      <c r="F11" s="391"/>
      <c r="H11" s="118" t="s">
        <v>310</v>
      </c>
      <c r="I11" s="288"/>
      <c r="J11" s="288"/>
      <c r="K11" s="209"/>
      <c r="L11" s="213"/>
      <c r="M11" s="209"/>
      <c r="O11" s="118" t="s">
        <v>310</v>
      </c>
      <c r="P11" s="225"/>
      <c r="Q11" s="263" t="s">
        <v>808</v>
      </c>
      <c r="R11" s="225"/>
      <c r="S11" s="288"/>
      <c r="T11" s="225"/>
      <c r="V11" s="118" t="s">
        <v>310</v>
      </c>
      <c r="W11" s="288"/>
      <c r="X11" s="288"/>
      <c r="Y11" s="288"/>
      <c r="Z11" s="391"/>
      <c r="AA11" s="225"/>
      <c r="AO11" t="s">
        <v>813</v>
      </c>
    </row>
    <row r="12" spans="1:41" ht="35.1" customHeight="1" x14ac:dyDescent="0.35">
      <c r="A12" s="118" t="s">
        <v>312</v>
      </c>
      <c r="B12" s="391"/>
      <c r="C12" s="263" t="s">
        <v>807</v>
      </c>
      <c r="D12" s="391"/>
      <c r="E12" s="288"/>
      <c r="F12" s="391"/>
      <c r="H12" s="118" t="s">
        <v>312</v>
      </c>
      <c r="I12" s="263" t="s">
        <v>805</v>
      </c>
      <c r="J12" s="263" t="s">
        <v>805</v>
      </c>
      <c r="K12" s="209"/>
      <c r="L12" s="213"/>
      <c r="M12" s="209"/>
      <c r="O12" s="118" t="s">
        <v>312</v>
      </c>
      <c r="P12" s="225"/>
      <c r="Q12" s="263" t="s">
        <v>808</v>
      </c>
      <c r="R12" s="225"/>
      <c r="S12" s="288"/>
      <c r="T12" s="225"/>
      <c r="V12" s="118" t="s">
        <v>312</v>
      </c>
      <c r="W12" s="263" t="s">
        <v>809</v>
      </c>
      <c r="X12" s="288"/>
      <c r="Y12" s="263" t="s">
        <v>809</v>
      </c>
      <c r="Z12" s="391"/>
      <c r="AA12" s="225"/>
      <c r="AO12" t="s">
        <v>814</v>
      </c>
    </row>
    <row r="13" spans="1:41" ht="35.1" customHeight="1" x14ac:dyDescent="0.35">
      <c r="A13" s="118" t="s">
        <v>315</v>
      </c>
      <c r="B13" s="393" t="s">
        <v>815</v>
      </c>
      <c r="C13" s="263" t="s">
        <v>807</v>
      </c>
      <c r="D13" s="391"/>
      <c r="E13" s="288"/>
      <c r="F13" s="391"/>
      <c r="H13" s="118" t="s">
        <v>315</v>
      </c>
      <c r="I13" s="263" t="s">
        <v>805</v>
      </c>
      <c r="J13" s="263" t="s">
        <v>805</v>
      </c>
      <c r="K13" s="213"/>
      <c r="L13" s="213"/>
      <c r="M13" s="209"/>
      <c r="O13" s="118" t="s">
        <v>315</v>
      </c>
      <c r="P13" s="228" t="s">
        <v>816</v>
      </c>
      <c r="Q13" s="263" t="s">
        <v>808</v>
      </c>
      <c r="R13" s="442" t="s">
        <v>380</v>
      </c>
      <c r="S13" s="288"/>
      <c r="T13" s="225"/>
      <c r="V13" s="118" t="s">
        <v>315</v>
      </c>
      <c r="W13" s="263" t="s">
        <v>809</v>
      </c>
      <c r="X13" s="288"/>
      <c r="Y13" s="263" t="s">
        <v>809</v>
      </c>
      <c r="Z13" s="391"/>
      <c r="AA13" s="225"/>
      <c r="AO13" t="s">
        <v>817</v>
      </c>
    </row>
    <row r="14" spans="1:41" ht="35.1" customHeight="1" x14ac:dyDescent="0.35">
      <c r="A14" s="118" t="s">
        <v>352</v>
      </c>
      <c r="B14" s="394" t="s">
        <v>815</v>
      </c>
      <c r="C14" s="371" t="s">
        <v>807</v>
      </c>
      <c r="D14" s="395"/>
      <c r="E14" s="356"/>
      <c r="F14" s="395"/>
      <c r="H14" s="118" t="s">
        <v>352</v>
      </c>
      <c r="I14" s="356"/>
      <c r="J14" s="356"/>
      <c r="K14" s="381"/>
      <c r="L14" s="381"/>
      <c r="M14" s="379"/>
      <c r="O14" s="118" t="s">
        <v>352</v>
      </c>
      <c r="P14" s="383" t="s">
        <v>816</v>
      </c>
      <c r="Q14" s="371" t="s">
        <v>808</v>
      </c>
      <c r="R14" s="356"/>
      <c r="S14" s="356"/>
      <c r="T14" s="384"/>
      <c r="V14" s="118" t="s">
        <v>352</v>
      </c>
      <c r="W14" s="371" t="s">
        <v>809</v>
      </c>
      <c r="X14" s="356"/>
      <c r="Y14" s="371" t="s">
        <v>809</v>
      </c>
      <c r="Z14" s="395"/>
      <c r="AA14" s="384"/>
      <c r="AO14" t="s">
        <v>818</v>
      </c>
    </row>
    <row r="15" spans="1:41" ht="35.1" customHeight="1" x14ac:dyDescent="0.25">
      <c r="A15" s="119" t="s">
        <v>353</v>
      </c>
      <c r="B15" s="520" t="s">
        <v>354</v>
      </c>
      <c r="C15" s="521"/>
      <c r="D15" s="521"/>
      <c r="E15" s="521"/>
      <c r="F15" s="522"/>
      <c r="H15" s="119" t="s">
        <v>353</v>
      </c>
      <c r="I15" s="520" t="s">
        <v>354</v>
      </c>
      <c r="J15" s="521"/>
      <c r="K15" s="521"/>
      <c r="L15" s="521"/>
      <c r="M15" s="522"/>
      <c r="O15" s="119" t="s">
        <v>353</v>
      </c>
      <c r="P15" s="520" t="s">
        <v>354</v>
      </c>
      <c r="Q15" s="521"/>
      <c r="R15" s="521"/>
      <c r="S15" s="521"/>
      <c r="T15" s="522"/>
      <c r="V15" s="119" t="s">
        <v>353</v>
      </c>
      <c r="W15" s="520" t="s">
        <v>354</v>
      </c>
      <c r="X15" s="521"/>
      <c r="Y15" s="521"/>
      <c r="Z15" s="521"/>
      <c r="AA15" s="522"/>
      <c r="AO15" t="s">
        <v>819</v>
      </c>
    </row>
    <row r="16" spans="1:41" ht="35.1" customHeight="1" thickBot="1" x14ac:dyDescent="0.3">
      <c r="A16" s="119" t="s">
        <v>355</v>
      </c>
      <c r="B16" s="523"/>
      <c r="C16" s="524"/>
      <c r="D16" s="524"/>
      <c r="E16" s="524"/>
      <c r="F16" s="525"/>
      <c r="H16" s="119" t="s">
        <v>355</v>
      </c>
      <c r="I16" s="523"/>
      <c r="J16" s="524"/>
      <c r="K16" s="524"/>
      <c r="L16" s="524"/>
      <c r="M16" s="525"/>
      <c r="O16" s="119" t="s">
        <v>355</v>
      </c>
      <c r="P16" s="523"/>
      <c r="Q16" s="524"/>
      <c r="R16" s="524"/>
      <c r="S16" s="524"/>
      <c r="T16" s="525"/>
      <c r="V16" s="119" t="s">
        <v>355</v>
      </c>
      <c r="W16" s="523"/>
      <c r="X16" s="524"/>
      <c r="Y16" s="524"/>
      <c r="Z16" s="524"/>
      <c r="AA16" s="525"/>
      <c r="AO16" t="s">
        <v>820</v>
      </c>
    </row>
    <row r="17" spans="1:41" ht="35.1" customHeight="1" x14ac:dyDescent="0.35">
      <c r="A17" s="118" t="s">
        <v>318</v>
      </c>
      <c r="B17" s="244"/>
      <c r="C17" s="362"/>
      <c r="D17" s="472"/>
      <c r="E17" s="473"/>
      <c r="F17" s="362"/>
      <c r="H17" s="118" t="s">
        <v>318</v>
      </c>
      <c r="I17" s="380"/>
      <c r="J17" s="382"/>
      <c r="K17" s="244"/>
      <c r="L17" s="244"/>
      <c r="M17" s="380"/>
      <c r="O17" s="119" t="s">
        <v>318</v>
      </c>
      <c r="P17" s="385"/>
      <c r="Q17" s="471"/>
      <c r="R17" s="471"/>
      <c r="S17" s="386"/>
      <c r="T17" s="396" t="s">
        <v>821</v>
      </c>
      <c r="V17" s="118" t="s">
        <v>318</v>
      </c>
      <c r="W17" s="358" t="s">
        <v>809</v>
      </c>
      <c r="X17" s="442" t="s">
        <v>380</v>
      </c>
      <c r="Y17" s="358" t="s">
        <v>809</v>
      </c>
      <c r="Z17" s="362"/>
      <c r="AA17" s="362"/>
      <c r="AO17" t="s">
        <v>822</v>
      </c>
    </row>
    <row r="18" spans="1:41" ht="35.1" customHeight="1" x14ac:dyDescent="0.35">
      <c r="A18" s="118" t="s">
        <v>321</v>
      </c>
      <c r="B18" s="209"/>
      <c r="C18" s="263" t="s">
        <v>807</v>
      </c>
      <c r="D18" s="220"/>
      <c r="E18" s="226"/>
      <c r="F18" s="263" t="s">
        <v>807</v>
      </c>
      <c r="H18" s="118" t="s">
        <v>321</v>
      </c>
      <c r="I18" s="150"/>
      <c r="J18" s="213"/>
      <c r="K18" s="209"/>
      <c r="L18" s="209"/>
      <c r="M18" s="150"/>
      <c r="O18" s="119" t="s">
        <v>321</v>
      </c>
      <c r="P18" s="387"/>
      <c r="Q18" s="470"/>
      <c r="R18" s="388" t="s">
        <v>808</v>
      </c>
      <c r="S18" s="389"/>
      <c r="T18" s="397" t="s">
        <v>821</v>
      </c>
      <c r="V18" s="118" t="s">
        <v>321</v>
      </c>
      <c r="W18" s="263" t="s">
        <v>809</v>
      </c>
      <c r="X18" s="288"/>
      <c r="Y18" s="263" t="s">
        <v>809</v>
      </c>
      <c r="Z18" s="288"/>
      <c r="AA18" s="288"/>
      <c r="AO18" t="s">
        <v>823</v>
      </c>
    </row>
    <row r="19" spans="1:41" ht="48.75" customHeight="1" x14ac:dyDescent="0.35">
      <c r="A19" s="118" t="s">
        <v>324</v>
      </c>
      <c r="B19" s="209"/>
      <c r="C19" s="263" t="s">
        <v>807</v>
      </c>
      <c r="D19" s="226"/>
      <c r="E19" s="226"/>
      <c r="F19" s="263" t="s">
        <v>807</v>
      </c>
      <c r="H19" s="118" t="s">
        <v>324</v>
      </c>
      <c r="I19" s="150"/>
      <c r="J19" s="209"/>
      <c r="K19" s="209"/>
      <c r="L19" s="209"/>
      <c r="M19" s="150"/>
      <c r="O19" s="119" t="s">
        <v>324</v>
      </c>
      <c r="P19" s="389"/>
      <c r="Q19" s="417" t="s">
        <v>381</v>
      </c>
      <c r="R19" s="388" t="s">
        <v>808</v>
      </c>
      <c r="S19" s="389"/>
      <c r="T19" s="387"/>
      <c r="V19" s="118" t="s">
        <v>324</v>
      </c>
      <c r="W19" s="263" t="s">
        <v>809</v>
      </c>
      <c r="X19" s="288"/>
      <c r="Y19" s="263" t="s">
        <v>809</v>
      </c>
      <c r="Z19" s="288"/>
      <c r="AA19" s="288"/>
      <c r="AO19" t="s">
        <v>824</v>
      </c>
    </row>
    <row r="20" spans="1:41" ht="35.1" customHeight="1" x14ac:dyDescent="0.35">
      <c r="A20" s="118" t="s">
        <v>325</v>
      </c>
      <c r="B20" s="209"/>
      <c r="C20" s="263" t="s">
        <v>807</v>
      </c>
      <c r="D20" s="226"/>
      <c r="E20" s="226"/>
      <c r="F20" s="263" t="s">
        <v>807</v>
      </c>
      <c r="H20" s="118" t="s">
        <v>325</v>
      </c>
      <c r="I20" s="150"/>
      <c r="J20" s="209"/>
      <c r="K20" s="209"/>
      <c r="L20" s="209"/>
      <c r="M20" s="150"/>
      <c r="O20" s="119" t="s">
        <v>325</v>
      </c>
      <c r="P20" s="389"/>
      <c r="Q20" s="470"/>
      <c r="R20" s="388" t="s">
        <v>808</v>
      </c>
      <c r="S20" s="389"/>
      <c r="T20" s="387"/>
      <c r="V20" s="118" t="s">
        <v>325</v>
      </c>
      <c r="W20" s="263" t="s">
        <v>809</v>
      </c>
      <c r="X20" s="254"/>
      <c r="Y20" s="263" t="s">
        <v>809</v>
      </c>
      <c r="Z20" s="255"/>
      <c r="AA20" s="288"/>
      <c r="AO20" t="s">
        <v>825</v>
      </c>
    </row>
    <row r="21" spans="1:41" ht="35.1" customHeight="1" x14ac:dyDescent="0.35">
      <c r="A21" s="118" t="s">
        <v>357</v>
      </c>
      <c r="B21" s="209"/>
      <c r="C21" s="263" t="s">
        <v>807</v>
      </c>
      <c r="D21" s="226"/>
      <c r="E21" s="226"/>
      <c r="F21" s="263" t="s">
        <v>807</v>
      </c>
      <c r="H21" s="118" t="s">
        <v>357</v>
      </c>
      <c r="I21" s="150"/>
      <c r="J21" s="209"/>
      <c r="K21" s="213"/>
      <c r="L21" s="209"/>
      <c r="M21" s="150"/>
      <c r="O21" s="119" t="s">
        <v>357</v>
      </c>
      <c r="P21" s="390"/>
      <c r="Q21" s="390"/>
      <c r="R21" s="388" t="s">
        <v>808</v>
      </c>
      <c r="S21" s="389"/>
      <c r="T21" s="387"/>
      <c r="V21" s="118" t="s">
        <v>357</v>
      </c>
      <c r="W21" s="263" t="s">
        <v>809</v>
      </c>
      <c r="X21" s="254"/>
      <c r="Y21" s="263" t="s">
        <v>809</v>
      </c>
      <c r="Z21" s="255"/>
      <c r="AA21" s="288"/>
      <c r="AO21" t="s">
        <v>826</v>
      </c>
    </row>
    <row r="22" spans="1:41" ht="35.1" customHeight="1" x14ac:dyDescent="0.35">
      <c r="A22" s="118" t="s">
        <v>358</v>
      </c>
      <c r="B22" s="209"/>
      <c r="C22" s="263" t="s">
        <v>807</v>
      </c>
      <c r="D22" s="226"/>
      <c r="E22" s="226"/>
      <c r="F22" s="263" t="s">
        <v>807</v>
      </c>
      <c r="H22" s="118" t="s">
        <v>358</v>
      </c>
      <c r="I22" s="150"/>
      <c r="J22" s="209"/>
      <c r="K22" s="213"/>
      <c r="L22" s="209"/>
      <c r="M22" s="150"/>
      <c r="O22" s="119" t="s">
        <v>358</v>
      </c>
      <c r="P22" s="389"/>
      <c r="Q22" s="390"/>
      <c r="R22" s="470"/>
      <c r="S22" s="389"/>
      <c r="T22" s="387"/>
      <c r="V22" s="118" t="s">
        <v>358</v>
      </c>
      <c r="W22" s="263" t="s">
        <v>809</v>
      </c>
      <c r="X22" s="254"/>
      <c r="Y22" s="263" t="s">
        <v>809</v>
      </c>
      <c r="Z22" s="255"/>
      <c r="AA22" s="288"/>
      <c r="AO22" t="s">
        <v>827</v>
      </c>
    </row>
    <row r="23" spans="1:41" ht="35.1" customHeight="1" x14ac:dyDescent="0.25">
      <c r="AO23" t="s">
        <v>828</v>
      </c>
    </row>
    <row r="24" spans="1:41" ht="35.1" customHeight="1" x14ac:dyDescent="0.25">
      <c r="AO24" t="s">
        <v>829</v>
      </c>
    </row>
    <row r="25" spans="1:41" ht="35.1" customHeight="1" x14ac:dyDescent="0.25">
      <c r="AO25" t="s">
        <v>830</v>
      </c>
    </row>
    <row r="26" spans="1:41" ht="69.95" customHeight="1" x14ac:dyDescent="0.25">
      <c r="AO26" t="s">
        <v>831</v>
      </c>
    </row>
    <row r="27" spans="1:41" ht="69.95" customHeight="1" x14ac:dyDescent="0.25">
      <c r="AO27" t="s">
        <v>832</v>
      </c>
    </row>
    <row r="28" spans="1:41" ht="69.95" customHeight="1" x14ac:dyDescent="0.25">
      <c r="AO28" t="s">
        <v>833</v>
      </c>
    </row>
    <row r="29" spans="1:41" ht="69.95" customHeight="1" x14ac:dyDescent="0.25">
      <c r="AO29" t="s">
        <v>834</v>
      </c>
    </row>
    <row r="30" spans="1:41" ht="69.95" customHeight="1" x14ac:dyDescent="0.25">
      <c r="AO30" t="s">
        <v>835</v>
      </c>
    </row>
    <row r="31" spans="1:41" ht="69.95" customHeight="1" x14ac:dyDescent="0.25"/>
    <row r="32" spans="1:41" ht="69.95" customHeight="1" x14ac:dyDescent="0.25"/>
    <row r="33" ht="69.95" customHeight="1" x14ac:dyDescent="0.25"/>
    <row r="34" ht="69.95" customHeight="1" x14ac:dyDescent="0.25"/>
    <row r="35" ht="69.95" customHeight="1" x14ac:dyDescent="0.25"/>
    <row r="36" ht="69.95" customHeight="1" x14ac:dyDescent="0.25"/>
    <row r="37" ht="69.95" customHeight="1" x14ac:dyDescent="0.25"/>
    <row r="38" ht="69.95" customHeight="1" x14ac:dyDescent="0.25"/>
    <row r="39" ht="69.95" customHeight="1" x14ac:dyDescent="0.25"/>
    <row r="40" ht="69.95" customHeight="1" x14ac:dyDescent="0.25"/>
    <row r="41" ht="69.95" customHeight="1" x14ac:dyDescent="0.25"/>
    <row r="42" ht="69.95" customHeight="1" x14ac:dyDescent="0.25"/>
    <row r="43" ht="69.95" customHeight="1" x14ac:dyDescent="0.25"/>
    <row r="44" ht="35.1" customHeight="1" x14ac:dyDescent="0.25"/>
    <row r="45" ht="35.1" customHeight="1" x14ac:dyDescent="0.25"/>
    <row r="46" ht="35.1" customHeight="1" x14ac:dyDescent="0.25"/>
    <row r="47" ht="35.1" customHeight="1" x14ac:dyDescent="0.25"/>
    <row r="48" ht="35.1" customHeight="1" x14ac:dyDescent="0.25"/>
    <row r="49" ht="35.1" customHeight="1" x14ac:dyDescent="0.25"/>
    <row r="50" ht="35.1" customHeight="1" x14ac:dyDescent="0.25"/>
    <row r="51" ht="35.1" customHeight="1" x14ac:dyDescent="0.25"/>
    <row r="52" ht="35.1" customHeight="1" x14ac:dyDescent="0.25"/>
    <row r="53" ht="35.1" customHeight="1" x14ac:dyDescent="0.25"/>
    <row r="54" ht="35.1" customHeight="1" x14ac:dyDescent="0.25"/>
    <row r="55" ht="35.1" customHeight="1" x14ac:dyDescent="0.25"/>
    <row r="56" ht="35.1" customHeight="1" x14ac:dyDescent="0.25"/>
    <row r="57" ht="35.1" customHeight="1" x14ac:dyDescent="0.25"/>
    <row r="58" ht="35.1" customHeight="1" x14ac:dyDescent="0.25"/>
    <row r="59" ht="35.1" customHeight="1" x14ac:dyDescent="0.25"/>
    <row r="60" ht="35.1" customHeight="1" x14ac:dyDescent="0.25"/>
    <row r="61" ht="35.1" customHeight="1" x14ac:dyDescent="0.25"/>
    <row r="62" ht="35.1" customHeight="1" x14ac:dyDescent="0.25"/>
    <row r="63" ht="35.1" customHeight="1" x14ac:dyDescent="0.25"/>
    <row r="64" ht="35.1" customHeight="1" x14ac:dyDescent="0.25"/>
    <row r="65" ht="35.1" customHeight="1" x14ac:dyDescent="0.25"/>
    <row r="66" ht="35.1" customHeight="1" x14ac:dyDescent="0.25"/>
    <row r="67" ht="35.1" customHeight="1" x14ac:dyDescent="0.25"/>
    <row r="68" ht="35.1" customHeight="1" x14ac:dyDescent="0.25"/>
    <row r="69" ht="35.1" customHeight="1" x14ac:dyDescent="0.25"/>
    <row r="70" ht="35.1" customHeight="1" x14ac:dyDescent="0.25"/>
    <row r="71" ht="35.1" customHeight="1" x14ac:dyDescent="0.25"/>
    <row r="72" ht="35.1" customHeight="1" x14ac:dyDescent="0.25"/>
    <row r="73" ht="35.1" customHeight="1" x14ac:dyDescent="0.25"/>
    <row r="74" ht="35.1" customHeight="1" x14ac:dyDescent="0.25"/>
    <row r="75" ht="35.1" customHeight="1" x14ac:dyDescent="0.25"/>
    <row r="76" ht="35.1" customHeight="1" x14ac:dyDescent="0.25"/>
    <row r="77" ht="35.1" customHeight="1" x14ac:dyDescent="0.25"/>
    <row r="78" ht="35.1" customHeight="1" x14ac:dyDescent="0.25"/>
    <row r="79" ht="35.1" customHeight="1" x14ac:dyDescent="0.25"/>
    <row r="80" ht="35.1" customHeight="1" x14ac:dyDescent="0.25"/>
    <row r="81" ht="35.1" customHeight="1" x14ac:dyDescent="0.25"/>
    <row r="82" ht="35.1" customHeight="1" x14ac:dyDescent="0.25"/>
    <row r="83" ht="35.1" customHeight="1" x14ac:dyDescent="0.25"/>
    <row r="84" ht="35.1" customHeight="1" x14ac:dyDescent="0.25"/>
    <row r="85" ht="35.1" customHeight="1" x14ac:dyDescent="0.25"/>
    <row r="86" ht="35.1" customHeight="1" x14ac:dyDescent="0.25"/>
    <row r="87" ht="35.1" customHeight="1" x14ac:dyDescent="0.25"/>
    <row r="88" ht="35.1" customHeight="1" x14ac:dyDescent="0.25"/>
    <row r="89" ht="35.1" customHeight="1" x14ac:dyDescent="0.25"/>
    <row r="90" ht="35.1" customHeight="1" x14ac:dyDescent="0.25"/>
    <row r="91" ht="35.1" customHeight="1" x14ac:dyDescent="0.25"/>
    <row r="92" ht="35.1" customHeight="1" x14ac:dyDescent="0.25"/>
    <row r="93" ht="35.1" customHeight="1" x14ac:dyDescent="0.25"/>
    <row r="94" ht="35.1" customHeight="1" x14ac:dyDescent="0.25"/>
    <row r="95" ht="35.1" customHeight="1" x14ac:dyDescent="0.25"/>
    <row r="96" ht="35.1" customHeight="1" x14ac:dyDescent="0.25"/>
    <row r="97" spans="1:13" ht="35.1" customHeight="1" x14ac:dyDescent="0.25"/>
    <row r="98" spans="1:13" ht="35.1" customHeight="1" x14ac:dyDescent="0.25"/>
    <row r="99" spans="1:13" ht="35.1" customHeight="1" x14ac:dyDescent="0.25"/>
    <row r="100" spans="1:13" ht="35.1" customHeight="1" x14ac:dyDescent="0.25"/>
    <row r="101" spans="1:13" ht="35.1" customHeight="1" x14ac:dyDescent="0.25"/>
    <row r="102" spans="1:13" ht="35.1" customHeight="1" x14ac:dyDescent="0.25"/>
    <row r="103" spans="1:13" ht="35.1" customHeight="1" x14ac:dyDescent="0.25"/>
    <row r="104" spans="1:13" ht="35.1" customHeight="1" x14ac:dyDescent="0.25"/>
    <row r="105" spans="1:13" ht="39.950000000000003" customHeight="1" x14ac:dyDescent="0.25"/>
    <row r="106" spans="1:13" ht="46.5" x14ac:dyDescent="0.25">
      <c r="A106" s="120" t="s">
        <v>836</v>
      </c>
      <c r="B106" s="121" t="s">
        <v>837</v>
      </c>
      <c r="C106" s="121" t="s">
        <v>838</v>
      </c>
      <c r="D106" s="121" t="s">
        <v>839</v>
      </c>
      <c r="E106" s="121"/>
      <c r="F106" s="121"/>
      <c r="H106" s="120" t="s">
        <v>840</v>
      </c>
      <c r="I106" s="121" t="s">
        <v>841</v>
      </c>
      <c r="J106" s="121" t="s">
        <v>842</v>
      </c>
      <c r="K106" s="121" t="s">
        <v>339</v>
      </c>
      <c r="L106" s="121"/>
      <c r="M106" s="121"/>
    </row>
    <row r="107" spans="1:13" ht="18.75" x14ac:dyDescent="0.3">
      <c r="A107" s="116"/>
      <c r="B107" s="117" t="s">
        <v>153</v>
      </c>
      <c r="C107" s="117" t="s">
        <v>154</v>
      </c>
      <c r="D107" s="117" t="s">
        <v>155</v>
      </c>
      <c r="E107" s="117" t="s">
        <v>156</v>
      </c>
      <c r="F107" s="117" t="s">
        <v>157</v>
      </c>
      <c r="H107" s="116"/>
      <c r="I107" s="117" t="s">
        <v>153</v>
      </c>
      <c r="J107" s="117" t="s">
        <v>154</v>
      </c>
      <c r="K107" s="117" t="s">
        <v>155</v>
      </c>
      <c r="L107" s="117" t="s">
        <v>156</v>
      </c>
      <c r="M107" s="117" t="s">
        <v>157</v>
      </c>
    </row>
    <row r="108" spans="1:13" ht="75" x14ac:dyDescent="0.25">
      <c r="A108" s="118" t="s">
        <v>343</v>
      </c>
      <c r="B108" s="153" t="s">
        <v>843</v>
      </c>
      <c r="C108" s="149"/>
      <c r="D108" s="493" t="s">
        <v>844</v>
      </c>
      <c r="E108" s="151" t="s">
        <v>845</v>
      </c>
      <c r="F108" s="150"/>
      <c r="H108" s="118" t="s">
        <v>343</v>
      </c>
      <c r="I108" s="149"/>
      <c r="J108" s="162" t="s">
        <v>846</v>
      </c>
      <c r="K108" s="209"/>
      <c r="L108" s="170" t="s">
        <v>847</v>
      </c>
      <c r="M108" s="209"/>
    </row>
    <row r="109" spans="1:13" ht="75" x14ac:dyDescent="0.25">
      <c r="A109" s="118" t="s">
        <v>349</v>
      </c>
      <c r="B109" s="153" t="s">
        <v>843</v>
      </c>
      <c r="C109" s="149"/>
      <c r="D109" s="493" t="s">
        <v>844</v>
      </c>
      <c r="E109" s="151" t="s">
        <v>845</v>
      </c>
      <c r="F109" s="150"/>
      <c r="H109" s="118" t="s">
        <v>349</v>
      </c>
      <c r="I109" s="150"/>
      <c r="J109" s="162" t="s">
        <v>846</v>
      </c>
      <c r="K109" s="150"/>
      <c r="L109" s="170" t="s">
        <v>847</v>
      </c>
      <c r="M109" s="150"/>
    </row>
    <row r="110" spans="1:13" ht="90" x14ac:dyDescent="0.25">
      <c r="A110" s="118" t="s">
        <v>305</v>
      </c>
      <c r="B110" s="150"/>
      <c r="C110" s="155" t="s">
        <v>848</v>
      </c>
      <c r="D110" s="493" t="s">
        <v>844</v>
      </c>
      <c r="E110" s="151" t="s">
        <v>849</v>
      </c>
      <c r="F110" s="150"/>
      <c r="H110" s="118" t="s">
        <v>305</v>
      </c>
      <c r="I110" s="150"/>
      <c r="J110" s="171" t="s">
        <v>850</v>
      </c>
      <c r="K110" s="150"/>
      <c r="L110" s="150"/>
      <c r="M110" s="150"/>
    </row>
    <row r="111" spans="1:13" ht="90" x14ac:dyDescent="0.25">
      <c r="A111" s="118" t="s">
        <v>308</v>
      </c>
      <c r="B111" s="150"/>
      <c r="C111" s="155" t="s">
        <v>848</v>
      </c>
      <c r="D111" s="493" t="s">
        <v>844</v>
      </c>
      <c r="E111" s="151" t="s">
        <v>849</v>
      </c>
      <c r="F111" s="150"/>
      <c r="H111" s="118" t="s">
        <v>308</v>
      </c>
      <c r="I111" s="150"/>
      <c r="J111" s="171" t="s">
        <v>850</v>
      </c>
      <c r="K111" s="150"/>
      <c r="L111" s="150"/>
      <c r="M111" s="150"/>
    </row>
    <row r="112" spans="1:13" ht="90" x14ac:dyDescent="0.25">
      <c r="A112" s="118" t="s">
        <v>310</v>
      </c>
      <c r="B112" s="150"/>
      <c r="C112" s="168" t="s">
        <v>851</v>
      </c>
      <c r="D112" s="168" t="s">
        <v>852</v>
      </c>
      <c r="E112" s="151" t="s">
        <v>849</v>
      </c>
      <c r="F112" s="150"/>
      <c r="H112" s="118" t="s">
        <v>310</v>
      </c>
      <c r="I112" s="150"/>
      <c r="J112" s="171" t="s">
        <v>850</v>
      </c>
      <c r="K112" s="165" t="s">
        <v>853</v>
      </c>
      <c r="L112" s="150"/>
      <c r="M112" s="150"/>
    </row>
    <row r="113" spans="1:13" ht="105" x14ac:dyDescent="0.25">
      <c r="A113" s="118" t="s">
        <v>312</v>
      </c>
      <c r="B113" s="150"/>
      <c r="C113" s="168" t="s">
        <v>851</v>
      </c>
      <c r="D113" s="168" t="s">
        <v>852</v>
      </c>
      <c r="E113" s="151" t="s">
        <v>854</v>
      </c>
      <c r="F113" s="150"/>
      <c r="H113" s="118" t="s">
        <v>312</v>
      </c>
      <c r="I113" s="150"/>
      <c r="J113" s="171" t="s">
        <v>850</v>
      </c>
      <c r="K113" s="165" t="s">
        <v>855</v>
      </c>
      <c r="L113" s="150"/>
      <c r="M113" s="150"/>
    </row>
    <row r="114" spans="1:13" ht="90" x14ac:dyDescent="0.25">
      <c r="A114" s="118" t="s">
        <v>315</v>
      </c>
      <c r="B114" s="152" t="s">
        <v>856</v>
      </c>
      <c r="C114" s="168" t="s">
        <v>857</v>
      </c>
      <c r="D114" s="168" t="s">
        <v>852</v>
      </c>
      <c r="E114" s="151" t="s">
        <v>858</v>
      </c>
      <c r="F114" s="150"/>
      <c r="H114" s="118" t="s">
        <v>315</v>
      </c>
      <c r="I114" s="150"/>
      <c r="J114" s="171" t="s">
        <v>850</v>
      </c>
      <c r="K114" s="142"/>
      <c r="L114" s="150"/>
      <c r="M114" s="150"/>
    </row>
    <row r="115" spans="1:13" ht="90" x14ac:dyDescent="0.25">
      <c r="A115" s="118" t="s">
        <v>352</v>
      </c>
      <c r="B115" s="152" t="s">
        <v>856</v>
      </c>
      <c r="C115" s="168" t="s">
        <v>857</v>
      </c>
      <c r="D115" s="168" t="s">
        <v>852</v>
      </c>
      <c r="E115" s="151" t="s">
        <v>858</v>
      </c>
      <c r="F115" s="150"/>
      <c r="H115" s="118" t="s">
        <v>352</v>
      </c>
      <c r="I115" s="150"/>
      <c r="J115" s="171" t="s">
        <v>850</v>
      </c>
      <c r="K115" s="143"/>
      <c r="L115" s="150"/>
      <c r="M115" s="150"/>
    </row>
    <row r="116" spans="1:13" ht="36" x14ac:dyDescent="0.25">
      <c r="A116" s="118" t="s">
        <v>353</v>
      </c>
      <c r="B116" s="499" t="s">
        <v>354</v>
      </c>
      <c r="C116" s="499"/>
      <c r="D116" s="499"/>
      <c r="E116" s="499"/>
      <c r="F116" s="499"/>
      <c r="H116" s="118" t="s">
        <v>353</v>
      </c>
      <c r="I116" s="499" t="s">
        <v>354</v>
      </c>
      <c r="J116" s="499"/>
      <c r="K116" s="499"/>
      <c r="L116" s="499"/>
      <c r="M116" s="499"/>
    </row>
    <row r="117" spans="1:13" ht="18" x14ac:dyDescent="0.25">
      <c r="A117" s="118" t="s">
        <v>355</v>
      </c>
      <c r="B117" s="499"/>
      <c r="C117" s="499"/>
      <c r="D117" s="499"/>
      <c r="E117" s="499"/>
      <c r="F117" s="499"/>
      <c r="H117" s="118" t="s">
        <v>355</v>
      </c>
      <c r="I117" s="499"/>
      <c r="J117" s="499"/>
      <c r="K117" s="499"/>
      <c r="L117" s="499"/>
      <c r="M117" s="499"/>
    </row>
    <row r="118" spans="1:13" ht="45" x14ac:dyDescent="0.25">
      <c r="A118" s="118" t="s">
        <v>318</v>
      </c>
      <c r="B118" s="618" t="s">
        <v>859</v>
      </c>
      <c r="C118" s="150"/>
      <c r="D118" s="493" t="s">
        <v>844</v>
      </c>
      <c r="E118" s="209"/>
      <c r="F118" s="209"/>
      <c r="H118" s="118" t="s">
        <v>318</v>
      </c>
      <c r="I118" s="209"/>
      <c r="J118" s="171" t="s">
        <v>850</v>
      </c>
      <c r="K118" s="150"/>
      <c r="L118" s="209"/>
      <c r="M118" s="150"/>
    </row>
    <row r="119" spans="1:13" ht="45" x14ac:dyDescent="0.25">
      <c r="A119" s="118" t="s">
        <v>321</v>
      </c>
      <c r="B119" s="618"/>
      <c r="C119" s="150"/>
      <c r="D119" s="493" t="s">
        <v>844</v>
      </c>
      <c r="E119" s="209"/>
      <c r="F119" s="209"/>
      <c r="H119" s="118" t="s">
        <v>321</v>
      </c>
      <c r="I119" s="209"/>
      <c r="J119" s="171" t="s">
        <v>850</v>
      </c>
      <c r="K119" s="209"/>
      <c r="L119" s="209"/>
      <c r="M119" s="150"/>
    </row>
    <row r="120" spans="1:13" ht="60" x14ac:dyDescent="0.25">
      <c r="A120" s="118" t="s">
        <v>324</v>
      </c>
      <c r="B120" s="150"/>
      <c r="C120" s="169" t="s">
        <v>860</v>
      </c>
      <c r="D120" s="493" t="s">
        <v>844</v>
      </c>
      <c r="E120" s="209"/>
      <c r="F120" s="209"/>
      <c r="H120" s="118" t="s">
        <v>324</v>
      </c>
      <c r="I120" s="209"/>
      <c r="J120" s="168" t="s">
        <v>861</v>
      </c>
      <c r="K120" s="209"/>
      <c r="L120" s="209"/>
      <c r="M120" s="150"/>
    </row>
    <row r="121" spans="1:13" ht="45" x14ac:dyDescent="0.25">
      <c r="A121" s="118" t="s">
        <v>325</v>
      </c>
      <c r="B121" s="150"/>
      <c r="C121" s="150"/>
      <c r="D121" s="493" t="s">
        <v>844</v>
      </c>
      <c r="E121" s="151" t="s">
        <v>862</v>
      </c>
      <c r="F121" s="209"/>
      <c r="H121" s="118" t="s">
        <v>325</v>
      </c>
      <c r="I121" s="209"/>
      <c r="J121" s="168" t="s">
        <v>861</v>
      </c>
      <c r="K121" s="209"/>
      <c r="L121" s="150"/>
      <c r="M121" s="150"/>
    </row>
    <row r="122" spans="1:13" ht="45" x14ac:dyDescent="0.25">
      <c r="A122" s="118" t="s">
        <v>357</v>
      </c>
      <c r="B122" s="150"/>
      <c r="C122" s="150"/>
      <c r="D122" s="493" t="s">
        <v>844</v>
      </c>
      <c r="E122" s="151" t="s">
        <v>862</v>
      </c>
      <c r="F122" s="209"/>
      <c r="H122" s="118" t="s">
        <v>357</v>
      </c>
      <c r="I122" s="209"/>
      <c r="J122" s="150"/>
      <c r="K122" s="150"/>
      <c r="L122" s="150"/>
      <c r="M122" s="150"/>
    </row>
    <row r="123" spans="1:13" ht="45" x14ac:dyDescent="0.25">
      <c r="A123" s="118" t="s">
        <v>358</v>
      </c>
      <c r="B123" s="150"/>
      <c r="C123" s="150"/>
      <c r="D123" s="493" t="s">
        <v>844</v>
      </c>
      <c r="E123" s="151" t="s">
        <v>862</v>
      </c>
      <c r="F123" s="209"/>
      <c r="H123" s="118" t="s">
        <v>358</v>
      </c>
      <c r="I123" s="209"/>
      <c r="J123" s="150"/>
      <c r="K123" s="150"/>
      <c r="L123" s="150"/>
      <c r="M123" s="150"/>
    </row>
    <row r="128" spans="1:13" ht="31.5" x14ac:dyDescent="0.25">
      <c r="A128" s="123" t="s">
        <v>863</v>
      </c>
      <c r="B128" s="124" t="s">
        <v>361</v>
      </c>
      <c r="C128" s="124" t="s">
        <v>864</v>
      </c>
      <c r="D128" s="124" t="s">
        <v>339</v>
      </c>
      <c r="E128" s="124"/>
      <c r="F128" s="124"/>
    </row>
    <row r="129" spans="1:6" ht="18.75" x14ac:dyDescent="0.3">
      <c r="A129" s="116"/>
      <c r="B129" s="117" t="s">
        <v>153</v>
      </c>
      <c r="C129" s="117" t="s">
        <v>154</v>
      </c>
      <c r="D129" s="117" t="s">
        <v>155</v>
      </c>
      <c r="E129" s="117" t="s">
        <v>156</v>
      </c>
      <c r="F129" s="117" t="s">
        <v>157</v>
      </c>
    </row>
    <row r="130" spans="1:6" ht="75" x14ac:dyDescent="0.25">
      <c r="A130" s="118" t="s">
        <v>343</v>
      </c>
      <c r="B130" s="150" t="s">
        <v>865</v>
      </c>
      <c r="C130" s="150" t="s">
        <v>865</v>
      </c>
      <c r="D130" s="150" t="s">
        <v>865</v>
      </c>
      <c r="E130" s="150" t="s">
        <v>865</v>
      </c>
      <c r="F130" s="150" t="s">
        <v>865</v>
      </c>
    </row>
    <row r="131" spans="1:6" ht="75" x14ac:dyDescent="0.25">
      <c r="A131" s="118" t="s">
        <v>349</v>
      </c>
      <c r="B131" s="150" t="s">
        <v>865</v>
      </c>
      <c r="C131" s="150" t="s">
        <v>865</v>
      </c>
      <c r="D131" s="150" t="s">
        <v>865</v>
      </c>
      <c r="E131" s="150" t="s">
        <v>865</v>
      </c>
      <c r="F131" s="150" t="s">
        <v>865</v>
      </c>
    </row>
    <row r="132" spans="1:6" ht="75" x14ac:dyDescent="0.25">
      <c r="A132" s="118" t="s">
        <v>305</v>
      </c>
      <c r="B132" s="150" t="s">
        <v>865</v>
      </c>
      <c r="C132" s="150" t="s">
        <v>865</v>
      </c>
      <c r="D132" s="150" t="s">
        <v>865</v>
      </c>
      <c r="E132" s="150" t="s">
        <v>865</v>
      </c>
      <c r="F132" s="150" t="s">
        <v>865</v>
      </c>
    </row>
    <row r="133" spans="1:6" ht="75" x14ac:dyDescent="0.25">
      <c r="A133" s="118" t="s">
        <v>308</v>
      </c>
      <c r="B133" s="150" t="s">
        <v>865</v>
      </c>
      <c r="C133" s="150" t="s">
        <v>865</v>
      </c>
      <c r="D133" s="150" t="s">
        <v>865</v>
      </c>
      <c r="E133" s="150" t="s">
        <v>865</v>
      </c>
      <c r="F133" s="150" t="s">
        <v>865</v>
      </c>
    </row>
    <row r="134" spans="1:6" ht="36" x14ac:dyDescent="0.25">
      <c r="A134" s="118" t="s">
        <v>310</v>
      </c>
      <c r="B134" s="166" t="s">
        <v>866</v>
      </c>
      <c r="C134" s="166" t="s">
        <v>866</v>
      </c>
      <c r="D134" s="167" t="s">
        <v>867</v>
      </c>
      <c r="E134" s="166" t="s">
        <v>866</v>
      </c>
      <c r="F134" s="166" t="s">
        <v>866</v>
      </c>
    </row>
    <row r="135" spans="1:6" ht="36" x14ac:dyDescent="0.25">
      <c r="A135" s="118" t="s">
        <v>312</v>
      </c>
      <c r="B135" s="166" t="s">
        <v>866</v>
      </c>
      <c r="C135" s="166" t="s">
        <v>866</v>
      </c>
      <c r="D135" s="167" t="s">
        <v>867</v>
      </c>
      <c r="E135" s="166" t="s">
        <v>866</v>
      </c>
      <c r="F135" s="166" t="s">
        <v>866</v>
      </c>
    </row>
    <row r="136" spans="1:6" ht="75" x14ac:dyDescent="0.25">
      <c r="A136" s="118" t="s">
        <v>315</v>
      </c>
      <c r="B136" s="167" t="s">
        <v>868</v>
      </c>
      <c r="C136" s="150" t="s">
        <v>865</v>
      </c>
      <c r="D136" s="150" t="s">
        <v>865</v>
      </c>
      <c r="E136" s="150" t="s">
        <v>865</v>
      </c>
      <c r="F136" s="150" t="s">
        <v>865</v>
      </c>
    </row>
    <row r="137" spans="1:6" ht="75.75" thickBot="1" x14ac:dyDescent="0.3">
      <c r="A137" s="118" t="s">
        <v>352</v>
      </c>
      <c r="B137" s="167" t="s">
        <v>868</v>
      </c>
      <c r="C137" s="150" t="s">
        <v>865</v>
      </c>
      <c r="D137" s="150" t="s">
        <v>865</v>
      </c>
      <c r="E137" s="150" t="s">
        <v>865</v>
      </c>
      <c r="F137" s="150" t="s">
        <v>865</v>
      </c>
    </row>
    <row r="138" spans="1:6" ht="36.75" thickTop="1" x14ac:dyDescent="0.25">
      <c r="A138" s="119" t="s">
        <v>353</v>
      </c>
      <c r="B138" s="617" t="s">
        <v>354</v>
      </c>
      <c r="C138" s="569"/>
      <c r="D138" s="569"/>
      <c r="E138" s="569"/>
      <c r="F138" s="570"/>
    </row>
    <row r="139" spans="1:6" ht="18.75" thickBot="1" x14ac:dyDescent="0.3">
      <c r="A139" s="119" t="s">
        <v>355</v>
      </c>
      <c r="B139" s="571"/>
      <c r="C139" s="572"/>
      <c r="D139" s="572"/>
      <c r="E139" s="572"/>
      <c r="F139" s="573"/>
    </row>
    <row r="140" spans="1:6" ht="18.75" thickTop="1" x14ac:dyDescent="0.25">
      <c r="A140" s="118" t="s">
        <v>318</v>
      </c>
      <c r="B140" s="158" t="s">
        <v>869</v>
      </c>
      <c r="C140" s="158" t="s">
        <v>869</v>
      </c>
      <c r="D140" s="158" t="s">
        <v>869</v>
      </c>
      <c r="E140" s="158" t="s">
        <v>869</v>
      </c>
      <c r="F140" s="158" t="s">
        <v>869</v>
      </c>
    </row>
    <row r="141" spans="1:6" ht="18" x14ac:dyDescent="0.25">
      <c r="A141" s="118" t="s">
        <v>321</v>
      </c>
      <c r="B141" s="158" t="s">
        <v>869</v>
      </c>
      <c r="C141" s="158" t="s">
        <v>869</v>
      </c>
      <c r="D141" s="158" t="s">
        <v>869</v>
      </c>
      <c r="E141" s="158" t="s">
        <v>869</v>
      </c>
      <c r="F141" s="158" t="s">
        <v>869</v>
      </c>
    </row>
    <row r="142" spans="1:6" ht="75" x14ac:dyDescent="0.25">
      <c r="A142" s="118" t="s">
        <v>324</v>
      </c>
      <c r="B142" s="150" t="s">
        <v>865</v>
      </c>
      <c r="C142" s="150" t="s">
        <v>865</v>
      </c>
      <c r="D142" s="150" t="s">
        <v>865</v>
      </c>
      <c r="E142" s="150" t="s">
        <v>865</v>
      </c>
      <c r="F142" s="150" t="s">
        <v>865</v>
      </c>
    </row>
    <row r="143" spans="1:6" ht="75" x14ac:dyDescent="0.25">
      <c r="A143" s="118" t="s">
        <v>325</v>
      </c>
      <c r="B143" s="150" t="s">
        <v>865</v>
      </c>
      <c r="C143" s="150" t="s">
        <v>865</v>
      </c>
      <c r="D143" s="150" t="s">
        <v>865</v>
      </c>
      <c r="E143" s="157" t="s">
        <v>870</v>
      </c>
      <c r="F143" s="150" t="s">
        <v>865</v>
      </c>
    </row>
    <row r="144" spans="1:6" ht="75" x14ac:dyDescent="0.25">
      <c r="A144" s="118" t="s">
        <v>357</v>
      </c>
      <c r="B144" s="150" t="s">
        <v>865</v>
      </c>
      <c r="C144" s="150" t="s">
        <v>865</v>
      </c>
      <c r="D144" s="150" t="s">
        <v>865</v>
      </c>
      <c r="E144" s="157" t="s">
        <v>870</v>
      </c>
      <c r="F144" s="150" t="s">
        <v>865</v>
      </c>
    </row>
    <row r="145" spans="1:6" ht="75" x14ac:dyDescent="0.25">
      <c r="A145" s="118" t="s">
        <v>358</v>
      </c>
      <c r="B145" s="150" t="s">
        <v>865</v>
      </c>
      <c r="C145" s="150" t="s">
        <v>865</v>
      </c>
      <c r="D145" s="150" t="s">
        <v>865</v>
      </c>
      <c r="E145" s="150" t="s">
        <v>865</v>
      </c>
      <c r="F145" s="150" t="s">
        <v>865</v>
      </c>
    </row>
  </sheetData>
  <mergeCells count="11">
    <mergeCell ref="W15:AA16"/>
    <mergeCell ref="B116:F117"/>
    <mergeCell ref="I116:M117"/>
    <mergeCell ref="B118:B119"/>
    <mergeCell ref="B1:C1"/>
    <mergeCell ref="B15:F16"/>
    <mergeCell ref="G2:I2"/>
    <mergeCell ref="B138:F139"/>
    <mergeCell ref="I15:M16"/>
    <mergeCell ref="M2:P2"/>
    <mergeCell ref="P15:T16"/>
  </mergeCells>
  <pageMargins left="0.7" right="0.7" top="0.75" bottom="0.75" header="0.3" footer="0.3"/>
  <pageSetup scale="22" fitToWidth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>1</_ip_UnifiedCompliancePolicyUIAction>
    <_ip_UnifiedCompliancePolicyProperties xmlns="http://schemas.microsoft.com/sharepoint/v3" xsi:nil="true"/>
    <SharedWithUsers xmlns="d12d3791-7863-4e35-bf7e-b82e77103b74">
      <UserInfo>
        <DisplayName>Hart, Natalie</DisplayName>
        <AccountId>8670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DADE7438D1D844819D186225181470" ma:contentTypeVersion="9" ma:contentTypeDescription="Create a new document." ma:contentTypeScope="" ma:versionID="36c484e62360c69de820b2d3f0bbfc00">
  <xsd:schema xmlns:xsd="http://www.w3.org/2001/XMLSchema" xmlns:xs="http://www.w3.org/2001/XMLSchema" xmlns:p="http://schemas.microsoft.com/office/2006/metadata/properties" xmlns:ns1="http://schemas.microsoft.com/sharepoint/v3" xmlns:ns2="3f637522-1240-4614-8c52-1397e151d951" xmlns:ns3="d12d3791-7863-4e35-bf7e-b82e77103b74" targetNamespace="http://schemas.microsoft.com/office/2006/metadata/properties" ma:root="true" ma:fieldsID="b053679f8c12f392dd2655f911d7f4fb" ns1:_="" ns2:_="" ns3:_="">
    <xsd:import namespace="http://schemas.microsoft.com/sharepoint/v3"/>
    <xsd:import namespace="3f637522-1240-4614-8c52-1397e151d951"/>
    <xsd:import namespace="d12d3791-7863-4e35-bf7e-b82e77103b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637522-1240-4614-8c52-1397e151d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2d3791-7863-4e35-bf7e-b82e77103b7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81C7C5-BEC4-4058-A29B-634FFC96F3A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12d3791-7863-4e35-bf7e-b82e77103b74"/>
  </ds:schemaRefs>
</ds:datastoreItem>
</file>

<file path=customXml/itemProps2.xml><?xml version="1.0" encoding="utf-8"?>
<ds:datastoreItem xmlns:ds="http://schemas.openxmlformats.org/officeDocument/2006/customXml" ds:itemID="{1651BAE5-26B1-4152-8EDD-1C083A0178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f637522-1240-4614-8c52-1397e151d951"/>
    <ds:schemaRef ds:uri="d12d3791-7863-4e35-bf7e-b82e77103b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462280-B71A-46D5-89D2-26E8627101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Hines Bldg 1 Equip</vt:lpstr>
      <vt:lpstr>Hines Bldg 228</vt:lpstr>
      <vt:lpstr>Hines TeleEye Bldg 200 Rm 3063</vt:lpstr>
      <vt:lpstr>Aurora Old</vt:lpstr>
      <vt:lpstr>Lasalle OLD</vt:lpstr>
      <vt:lpstr>CombinedTable</vt:lpstr>
      <vt:lpstr>Aurora_table</vt:lpstr>
      <vt:lpstr>HoffmanEstates_table</vt:lpstr>
      <vt:lpstr>Joliet_table</vt:lpstr>
      <vt:lpstr>Kankakee_table</vt:lpstr>
      <vt:lpstr>Lasalle_table</vt:lpstr>
      <vt:lpstr>Oaklawn_table</vt:lpstr>
      <vt:lpstr>OakLawn102</vt:lpstr>
      <vt:lpstr>OakLawn103</vt:lpstr>
      <vt:lpstr>OakLawn104</vt:lpstr>
      <vt:lpstr>OakLawn105</vt:lpstr>
      <vt:lpstr>Aurora120</vt:lpstr>
      <vt:lpstr>Aurora121</vt:lpstr>
      <vt:lpstr>Joliet1010</vt:lpstr>
      <vt:lpstr>Joliet1011</vt:lpstr>
      <vt:lpstr>Joliet1012</vt:lpstr>
      <vt:lpstr>Joliet1013</vt:lpstr>
      <vt:lpstr>HoffmanEstates106</vt:lpstr>
      <vt:lpstr>HoffmanEstates104</vt:lpstr>
      <vt:lpstr>HoffmanEstates105</vt:lpstr>
      <vt:lpstr>HoffmanEstates103</vt:lpstr>
      <vt:lpstr>Kankakee101</vt:lpstr>
      <vt:lpstr>Kankakee102</vt:lpstr>
      <vt:lpstr>Kankakee103</vt:lpstr>
      <vt:lpstr>Kankakee104</vt:lpstr>
      <vt:lpstr>Kankakee113</vt:lpstr>
      <vt:lpstr>Lasalle130</vt:lpstr>
      <vt:lpstr>Lasalle129</vt:lpstr>
      <vt:lpstr>Lasalle128</vt:lpstr>
      <vt:lpstr>Lasalle127</vt:lpstr>
      <vt:lpstr>AuroraCBOC</vt:lpstr>
      <vt:lpstr>HoffmanEstatesCBOC</vt:lpstr>
      <vt:lpstr>JolietCBOC</vt:lpstr>
      <vt:lpstr>KankakeeCBOC</vt:lpstr>
      <vt:lpstr>LasalleCBOC</vt:lpstr>
      <vt:lpstr>OaklawnCBOC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2014-03-27T19:48:58Z</dcterms:created>
  <dcterms:modified xsi:type="dcterms:W3CDTF">2025-09-02T16:47:46Z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0x01010011DADE7438D1D844819D186225181470</vt:lpwstr>
  </property>
  <property fmtid="{D5CDD505-2E9C-101B-9397-08002B2CF9AE}" pid="3" name="Order">
    <vt:r8>600</vt:r8>
  </property>
</Properties>
</file>